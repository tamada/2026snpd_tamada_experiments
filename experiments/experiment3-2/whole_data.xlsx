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papers/2026snpd_tamada/data/experiment3/"/>
    </mc:Choice>
  </mc:AlternateContent>
  <xr:revisionPtr revIDLastSave="0" documentId="13_ncr:1_{3EDB41D7-7FFE-944D-A21B-5E5EEFEE8AAA}" xr6:coauthVersionLast="47" xr6:coauthVersionMax="47" xr10:uidLastSave="{00000000-0000-0000-0000-000000000000}"/>
  <bookViews>
    <workbookView xWindow="240" yWindow="2360" windowWidth="27900" windowHeight="16760" xr2:uid="{FC3427B6-B2A2-1E4B-942B-9C26512345B0}"/>
  </bookViews>
  <sheets>
    <sheet name="whole_data" sheetId="1" r:id="rId1"/>
    <sheet name="Bullet in Report" sheetId="5" r:id="rId2"/>
    <sheet name="Windows" sheetId="2" r:id="rId3"/>
    <sheet name="Rust" sheetId="4" r:id="rId4"/>
  </sheets>
  <definedNames>
    <definedName name="_xlnm._FilterDatabase" localSheetId="0" hidden="1">whole_data!$A$2:$BB$668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P6" i="1"/>
  <c r="Q6" i="1"/>
  <c r="R6" i="1"/>
  <c r="S6" i="1"/>
  <c r="T6" i="1"/>
  <c r="U6" i="1"/>
  <c r="V6" i="1"/>
  <c r="W6" i="1"/>
  <c r="X6" i="1"/>
  <c r="Y6" i="1"/>
  <c r="Z6" i="1"/>
  <c r="P7" i="1"/>
  <c r="Q7" i="1"/>
  <c r="R7" i="1"/>
  <c r="S7" i="1"/>
  <c r="T7" i="1"/>
  <c r="U7" i="1"/>
  <c r="V7" i="1"/>
  <c r="W7" i="1"/>
  <c r="X7" i="1"/>
  <c r="Y7" i="1"/>
  <c r="Z7" i="1"/>
  <c r="P8" i="1"/>
  <c r="Q8" i="1"/>
  <c r="R8" i="1"/>
  <c r="S8" i="1"/>
  <c r="T8" i="1"/>
  <c r="U8" i="1"/>
  <c r="V8" i="1"/>
  <c r="W8" i="1"/>
  <c r="X8" i="1"/>
  <c r="Y8" i="1"/>
  <c r="Z8" i="1"/>
  <c r="P9" i="1"/>
  <c r="Q9" i="1"/>
  <c r="R9" i="1"/>
  <c r="S9" i="1"/>
  <c r="T9" i="1"/>
  <c r="U9" i="1"/>
  <c r="V9" i="1"/>
  <c r="W9" i="1"/>
  <c r="X9" i="1"/>
  <c r="Y9" i="1"/>
  <c r="Z9" i="1"/>
  <c r="P10" i="1"/>
  <c r="Q10" i="1"/>
  <c r="R10" i="1"/>
  <c r="S10" i="1"/>
  <c r="T10" i="1"/>
  <c r="U10" i="1"/>
  <c r="V10" i="1"/>
  <c r="W10" i="1"/>
  <c r="X10" i="1"/>
  <c r="Y10" i="1"/>
  <c r="Z10" i="1"/>
  <c r="P11" i="1"/>
  <c r="Q11" i="1"/>
  <c r="R11" i="1"/>
  <c r="S11" i="1"/>
  <c r="T11" i="1"/>
  <c r="U11" i="1"/>
  <c r="V11" i="1"/>
  <c r="W11" i="1"/>
  <c r="X11" i="1"/>
  <c r="Y11" i="1"/>
  <c r="Z11" i="1"/>
  <c r="P12" i="1"/>
  <c r="Q12" i="1"/>
  <c r="R12" i="1"/>
  <c r="S12" i="1"/>
  <c r="T12" i="1"/>
  <c r="U12" i="1"/>
  <c r="V12" i="1"/>
  <c r="W12" i="1"/>
  <c r="X12" i="1"/>
  <c r="Y12" i="1"/>
  <c r="Z12" i="1"/>
  <c r="P13" i="1"/>
  <c r="Q13" i="1"/>
  <c r="R13" i="1"/>
  <c r="S13" i="1"/>
  <c r="T13" i="1"/>
  <c r="U13" i="1"/>
  <c r="V13" i="1"/>
  <c r="W13" i="1"/>
  <c r="X13" i="1"/>
  <c r="Y13" i="1"/>
  <c r="Z13" i="1"/>
  <c r="P14" i="1"/>
  <c r="Q14" i="1"/>
  <c r="R14" i="1"/>
  <c r="S14" i="1"/>
  <c r="T14" i="1"/>
  <c r="U14" i="1"/>
  <c r="V14" i="1"/>
  <c r="W14" i="1"/>
  <c r="X14" i="1"/>
  <c r="Y14" i="1"/>
  <c r="Z14" i="1"/>
  <c r="P15" i="1"/>
  <c r="Q15" i="1"/>
  <c r="R15" i="1"/>
  <c r="S15" i="1"/>
  <c r="T15" i="1"/>
  <c r="U15" i="1"/>
  <c r="V15" i="1"/>
  <c r="W15" i="1"/>
  <c r="X15" i="1"/>
  <c r="Y15" i="1"/>
  <c r="Z15" i="1"/>
  <c r="P16" i="1"/>
  <c r="Q16" i="1"/>
  <c r="R16" i="1"/>
  <c r="S16" i="1"/>
  <c r="T16" i="1"/>
  <c r="U16" i="1"/>
  <c r="V16" i="1"/>
  <c r="W16" i="1"/>
  <c r="X16" i="1"/>
  <c r="Y16" i="1"/>
  <c r="Z16" i="1"/>
  <c r="P17" i="1"/>
  <c r="Q17" i="1"/>
  <c r="R17" i="1"/>
  <c r="S17" i="1"/>
  <c r="T17" i="1"/>
  <c r="U17" i="1"/>
  <c r="V17" i="1"/>
  <c r="W17" i="1"/>
  <c r="X17" i="1"/>
  <c r="Y17" i="1"/>
  <c r="Z17" i="1"/>
  <c r="P18" i="1"/>
  <c r="Q18" i="1"/>
  <c r="R18" i="1"/>
  <c r="S18" i="1"/>
  <c r="T18" i="1"/>
  <c r="U18" i="1"/>
  <c r="V18" i="1"/>
  <c r="W18" i="1"/>
  <c r="X18" i="1"/>
  <c r="Y18" i="1"/>
  <c r="Z18" i="1"/>
  <c r="P19" i="1"/>
  <c r="Q19" i="1"/>
  <c r="R19" i="1"/>
  <c r="S19" i="1"/>
  <c r="T19" i="1"/>
  <c r="U19" i="1"/>
  <c r="V19" i="1"/>
  <c r="W19" i="1"/>
  <c r="X19" i="1"/>
  <c r="Y19" i="1"/>
  <c r="Z19" i="1"/>
  <c r="P20" i="1"/>
  <c r="Q20" i="1"/>
  <c r="R20" i="1"/>
  <c r="S20" i="1"/>
  <c r="T20" i="1"/>
  <c r="U20" i="1"/>
  <c r="V20" i="1"/>
  <c r="W20" i="1"/>
  <c r="X20" i="1"/>
  <c r="Y20" i="1"/>
  <c r="Z20" i="1"/>
  <c r="P21" i="1"/>
  <c r="Q21" i="1"/>
  <c r="R21" i="1"/>
  <c r="S21" i="1"/>
  <c r="T21" i="1"/>
  <c r="U21" i="1"/>
  <c r="V21" i="1"/>
  <c r="W21" i="1"/>
  <c r="X21" i="1"/>
  <c r="Y21" i="1"/>
  <c r="Z21" i="1"/>
  <c r="P22" i="1"/>
  <c r="Q22" i="1"/>
  <c r="R22" i="1"/>
  <c r="S22" i="1"/>
  <c r="T22" i="1"/>
  <c r="U22" i="1"/>
  <c r="V22" i="1"/>
  <c r="W22" i="1"/>
  <c r="X22" i="1"/>
  <c r="Y22" i="1"/>
  <c r="Z22" i="1"/>
  <c r="P23" i="1"/>
  <c r="Q23" i="1"/>
  <c r="R23" i="1"/>
  <c r="S23" i="1"/>
  <c r="T23" i="1"/>
  <c r="U23" i="1"/>
  <c r="V23" i="1"/>
  <c r="W23" i="1"/>
  <c r="X23" i="1"/>
  <c r="Y23" i="1"/>
  <c r="Z23" i="1"/>
  <c r="P24" i="1"/>
  <c r="Q24" i="1"/>
  <c r="R24" i="1"/>
  <c r="S24" i="1"/>
  <c r="T24" i="1"/>
  <c r="U24" i="1"/>
  <c r="V24" i="1"/>
  <c r="W24" i="1"/>
  <c r="X24" i="1"/>
  <c r="Y24" i="1"/>
  <c r="Z24" i="1"/>
  <c r="P25" i="1"/>
  <c r="Q25" i="1"/>
  <c r="R25" i="1"/>
  <c r="S25" i="1"/>
  <c r="T25" i="1"/>
  <c r="U25" i="1"/>
  <c r="V25" i="1"/>
  <c r="W25" i="1"/>
  <c r="X25" i="1"/>
  <c r="Y25" i="1"/>
  <c r="Z25" i="1"/>
  <c r="P26" i="1"/>
  <c r="Q26" i="1"/>
  <c r="R26" i="1"/>
  <c r="S26" i="1"/>
  <c r="T26" i="1"/>
  <c r="U26" i="1"/>
  <c r="V26" i="1"/>
  <c r="W26" i="1"/>
  <c r="X26" i="1"/>
  <c r="Y26" i="1"/>
  <c r="Z26" i="1"/>
  <c r="P27" i="1"/>
  <c r="Q27" i="1"/>
  <c r="R27" i="1"/>
  <c r="S27" i="1"/>
  <c r="T27" i="1"/>
  <c r="U27" i="1"/>
  <c r="V27" i="1"/>
  <c r="W27" i="1"/>
  <c r="X27" i="1"/>
  <c r="Y27" i="1"/>
  <c r="Z27" i="1"/>
  <c r="P28" i="1"/>
  <c r="Q28" i="1"/>
  <c r="R28" i="1"/>
  <c r="S28" i="1"/>
  <c r="T28" i="1"/>
  <c r="U28" i="1"/>
  <c r="V28" i="1"/>
  <c r="W28" i="1"/>
  <c r="X28" i="1"/>
  <c r="Y28" i="1"/>
  <c r="Z28" i="1"/>
  <c r="P29" i="1"/>
  <c r="Q29" i="1"/>
  <c r="R29" i="1"/>
  <c r="S29" i="1"/>
  <c r="T29" i="1"/>
  <c r="U29" i="1"/>
  <c r="V29" i="1"/>
  <c r="W29" i="1"/>
  <c r="X29" i="1"/>
  <c r="Y29" i="1"/>
  <c r="Z29" i="1"/>
  <c r="P30" i="1"/>
  <c r="Q30" i="1"/>
  <c r="R30" i="1"/>
  <c r="S30" i="1"/>
  <c r="T30" i="1"/>
  <c r="U30" i="1"/>
  <c r="V30" i="1"/>
  <c r="W30" i="1"/>
  <c r="X30" i="1"/>
  <c r="Y30" i="1"/>
  <c r="Z30" i="1"/>
  <c r="P31" i="1"/>
  <c r="Q31" i="1"/>
  <c r="R31" i="1"/>
  <c r="S31" i="1"/>
  <c r="T31" i="1"/>
  <c r="U31" i="1"/>
  <c r="V31" i="1"/>
  <c r="W31" i="1"/>
  <c r="X31" i="1"/>
  <c r="Y31" i="1"/>
  <c r="Z31" i="1"/>
  <c r="P32" i="1"/>
  <c r="Q32" i="1"/>
  <c r="R32" i="1"/>
  <c r="S32" i="1"/>
  <c r="T32" i="1"/>
  <c r="U32" i="1"/>
  <c r="V32" i="1"/>
  <c r="W32" i="1"/>
  <c r="X32" i="1"/>
  <c r="Y32" i="1"/>
  <c r="Z32" i="1"/>
  <c r="P33" i="1"/>
  <c r="Q33" i="1"/>
  <c r="R33" i="1"/>
  <c r="S33" i="1"/>
  <c r="T33" i="1"/>
  <c r="U33" i="1"/>
  <c r="V33" i="1"/>
  <c r="W33" i="1"/>
  <c r="X33" i="1"/>
  <c r="Y33" i="1"/>
  <c r="Z33" i="1"/>
  <c r="P34" i="1"/>
  <c r="Q34" i="1"/>
  <c r="R34" i="1"/>
  <c r="S34" i="1"/>
  <c r="T34" i="1"/>
  <c r="U34" i="1"/>
  <c r="V34" i="1"/>
  <c r="W34" i="1"/>
  <c r="X34" i="1"/>
  <c r="Y34" i="1"/>
  <c r="Z34" i="1"/>
  <c r="P35" i="1"/>
  <c r="Q35" i="1"/>
  <c r="R35" i="1"/>
  <c r="S35" i="1"/>
  <c r="T35" i="1"/>
  <c r="U35" i="1"/>
  <c r="V35" i="1"/>
  <c r="W35" i="1"/>
  <c r="X35" i="1"/>
  <c r="Y35" i="1"/>
  <c r="Z35" i="1"/>
  <c r="P36" i="1"/>
  <c r="Q36" i="1"/>
  <c r="R36" i="1"/>
  <c r="S36" i="1"/>
  <c r="T36" i="1"/>
  <c r="U36" i="1"/>
  <c r="V36" i="1"/>
  <c r="W36" i="1"/>
  <c r="X36" i="1"/>
  <c r="Y36" i="1"/>
  <c r="Z36" i="1"/>
  <c r="P37" i="1"/>
  <c r="Q37" i="1"/>
  <c r="R37" i="1"/>
  <c r="S37" i="1"/>
  <c r="T37" i="1"/>
  <c r="U37" i="1"/>
  <c r="V37" i="1"/>
  <c r="W37" i="1"/>
  <c r="X37" i="1"/>
  <c r="Y37" i="1"/>
  <c r="Z37" i="1"/>
  <c r="P38" i="1"/>
  <c r="Q38" i="1"/>
  <c r="R38" i="1"/>
  <c r="S38" i="1"/>
  <c r="T38" i="1"/>
  <c r="U38" i="1"/>
  <c r="V38" i="1"/>
  <c r="W38" i="1"/>
  <c r="X38" i="1"/>
  <c r="Y38" i="1"/>
  <c r="Z38" i="1"/>
  <c r="P39" i="1"/>
  <c r="Q39" i="1"/>
  <c r="R39" i="1"/>
  <c r="S39" i="1"/>
  <c r="T39" i="1"/>
  <c r="U39" i="1"/>
  <c r="V39" i="1"/>
  <c r="W39" i="1"/>
  <c r="X39" i="1"/>
  <c r="Y39" i="1"/>
  <c r="Z39" i="1"/>
  <c r="P40" i="1"/>
  <c r="Q40" i="1"/>
  <c r="R40" i="1"/>
  <c r="S40" i="1"/>
  <c r="T40" i="1"/>
  <c r="U40" i="1"/>
  <c r="V40" i="1"/>
  <c r="W40" i="1"/>
  <c r="X40" i="1"/>
  <c r="Y40" i="1"/>
  <c r="Z40" i="1"/>
  <c r="P41" i="1"/>
  <c r="Q41" i="1"/>
  <c r="R41" i="1"/>
  <c r="S41" i="1"/>
  <c r="T41" i="1"/>
  <c r="U41" i="1"/>
  <c r="V41" i="1"/>
  <c r="W41" i="1"/>
  <c r="X41" i="1"/>
  <c r="Y41" i="1"/>
  <c r="Z41" i="1"/>
  <c r="P42" i="1"/>
  <c r="Q42" i="1"/>
  <c r="R42" i="1"/>
  <c r="S42" i="1"/>
  <c r="T42" i="1"/>
  <c r="U42" i="1"/>
  <c r="V42" i="1"/>
  <c r="W42" i="1"/>
  <c r="X42" i="1"/>
  <c r="Y42" i="1"/>
  <c r="Z42" i="1"/>
  <c r="P43" i="1"/>
  <c r="Q43" i="1"/>
  <c r="R43" i="1"/>
  <c r="S43" i="1"/>
  <c r="T43" i="1"/>
  <c r="U43" i="1"/>
  <c r="V43" i="1"/>
  <c r="W43" i="1"/>
  <c r="X43" i="1"/>
  <c r="Y43" i="1"/>
  <c r="Z43" i="1"/>
  <c r="P44" i="1"/>
  <c r="Q44" i="1"/>
  <c r="R44" i="1"/>
  <c r="S44" i="1"/>
  <c r="T44" i="1"/>
  <c r="U44" i="1"/>
  <c r="V44" i="1"/>
  <c r="W44" i="1"/>
  <c r="X44" i="1"/>
  <c r="Y44" i="1"/>
  <c r="Z44" i="1"/>
  <c r="P45" i="1"/>
  <c r="Q45" i="1"/>
  <c r="R45" i="1"/>
  <c r="S45" i="1"/>
  <c r="T45" i="1"/>
  <c r="U45" i="1"/>
  <c r="V45" i="1"/>
  <c r="W45" i="1"/>
  <c r="X45" i="1"/>
  <c r="Y45" i="1"/>
  <c r="Z45" i="1"/>
  <c r="P46" i="1"/>
  <c r="Q46" i="1"/>
  <c r="R46" i="1"/>
  <c r="S46" i="1"/>
  <c r="T46" i="1"/>
  <c r="U46" i="1"/>
  <c r="V46" i="1"/>
  <c r="W46" i="1"/>
  <c r="X46" i="1"/>
  <c r="Y46" i="1"/>
  <c r="Z46" i="1"/>
  <c r="P47" i="1"/>
  <c r="Q47" i="1"/>
  <c r="R47" i="1"/>
  <c r="S47" i="1"/>
  <c r="T47" i="1"/>
  <c r="U47" i="1"/>
  <c r="V47" i="1"/>
  <c r="W47" i="1"/>
  <c r="X47" i="1"/>
  <c r="Y47" i="1"/>
  <c r="Z47" i="1"/>
  <c r="P48" i="1"/>
  <c r="Q48" i="1"/>
  <c r="R48" i="1"/>
  <c r="S48" i="1"/>
  <c r="T48" i="1"/>
  <c r="U48" i="1"/>
  <c r="V48" i="1"/>
  <c r="W48" i="1"/>
  <c r="X48" i="1"/>
  <c r="Y48" i="1"/>
  <c r="Z48" i="1"/>
  <c r="P49" i="1"/>
  <c r="Q49" i="1"/>
  <c r="R49" i="1"/>
  <c r="S49" i="1"/>
  <c r="T49" i="1"/>
  <c r="U49" i="1"/>
  <c r="V49" i="1"/>
  <c r="W49" i="1"/>
  <c r="X49" i="1"/>
  <c r="Y49" i="1"/>
  <c r="Z49" i="1"/>
  <c r="P50" i="1"/>
  <c r="Q50" i="1"/>
  <c r="R50" i="1"/>
  <c r="S50" i="1"/>
  <c r="T50" i="1"/>
  <c r="U50" i="1"/>
  <c r="V50" i="1"/>
  <c r="W50" i="1"/>
  <c r="X50" i="1"/>
  <c r="Y50" i="1"/>
  <c r="Z50" i="1"/>
  <c r="P51" i="1"/>
  <c r="Q51" i="1"/>
  <c r="R51" i="1"/>
  <c r="S51" i="1"/>
  <c r="T51" i="1"/>
  <c r="U51" i="1"/>
  <c r="V51" i="1"/>
  <c r="W51" i="1"/>
  <c r="X51" i="1"/>
  <c r="Y51" i="1"/>
  <c r="Z51" i="1"/>
  <c r="P52" i="1"/>
  <c r="Q52" i="1"/>
  <c r="R52" i="1"/>
  <c r="S52" i="1"/>
  <c r="T52" i="1"/>
  <c r="U52" i="1"/>
  <c r="V52" i="1"/>
  <c r="W52" i="1"/>
  <c r="X52" i="1"/>
  <c r="Y52" i="1"/>
  <c r="Z52" i="1"/>
  <c r="P53" i="1"/>
  <c r="Q53" i="1"/>
  <c r="R53" i="1"/>
  <c r="S53" i="1"/>
  <c r="T53" i="1"/>
  <c r="U53" i="1"/>
  <c r="V53" i="1"/>
  <c r="W53" i="1"/>
  <c r="X53" i="1"/>
  <c r="Y53" i="1"/>
  <c r="Z53" i="1"/>
  <c r="P54" i="1"/>
  <c r="Q54" i="1"/>
  <c r="R54" i="1"/>
  <c r="S54" i="1"/>
  <c r="T54" i="1"/>
  <c r="U54" i="1"/>
  <c r="V54" i="1"/>
  <c r="W54" i="1"/>
  <c r="X54" i="1"/>
  <c r="Y54" i="1"/>
  <c r="Z54" i="1"/>
  <c r="P55" i="1"/>
  <c r="Q55" i="1"/>
  <c r="R55" i="1"/>
  <c r="S55" i="1"/>
  <c r="T55" i="1"/>
  <c r="U55" i="1"/>
  <c r="V55" i="1"/>
  <c r="W55" i="1"/>
  <c r="X55" i="1"/>
  <c r="Y55" i="1"/>
  <c r="Z55" i="1"/>
  <c r="P56" i="1"/>
  <c r="Q56" i="1"/>
  <c r="R56" i="1"/>
  <c r="S56" i="1"/>
  <c r="T56" i="1"/>
  <c r="U56" i="1"/>
  <c r="V56" i="1"/>
  <c r="W56" i="1"/>
  <c r="X56" i="1"/>
  <c r="Y56" i="1"/>
  <c r="Z56" i="1"/>
  <c r="P57" i="1"/>
  <c r="Q57" i="1"/>
  <c r="R57" i="1"/>
  <c r="S57" i="1"/>
  <c r="T57" i="1"/>
  <c r="U57" i="1"/>
  <c r="V57" i="1"/>
  <c r="W57" i="1"/>
  <c r="X57" i="1"/>
  <c r="Y57" i="1"/>
  <c r="Z57" i="1"/>
  <c r="P58" i="1"/>
  <c r="Q58" i="1"/>
  <c r="R58" i="1"/>
  <c r="S58" i="1"/>
  <c r="T58" i="1"/>
  <c r="U58" i="1"/>
  <c r="V58" i="1"/>
  <c r="W58" i="1"/>
  <c r="X58" i="1"/>
  <c r="Y58" i="1"/>
  <c r="Z58" i="1"/>
  <c r="P59" i="1"/>
  <c r="Q59" i="1"/>
  <c r="R59" i="1"/>
  <c r="S59" i="1"/>
  <c r="T59" i="1"/>
  <c r="U59" i="1"/>
  <c r="V59" i="1"/>
  <c r="W59" i="1"/>
  <c r="X59" i="1"/>
  <c r="Y59" i="1"/>
  <c r="Z59" i="1"/>
  <c r="P60" i="1"/>
  <c r="Q60" i="1"/>
  <c r="R60" i="1"/>
  <c r="S60" i="1"/>
  <c r="T60" i="1"/>
  <c r="U60" i="1"/>
  <c r="V60" i="1"/>
  <c r="W60" i="1"/>
  <c r="X60" i="1"/>
  <c r="Y60" i="1"/>
  <c r="Z60" i="1"/>
  <c r="P61" i="1"/>
  <c r="Q61" i="1"/>
  <c r="R61" i="1"/>
  <c r="S61" i="1"/>
  <c r="T61" i="1"/>
  <c r="U61" i="1"/>
  <c r="V61" i="1"/>
  <c r="W61" i="1"/>
  <c r="X61" i="1"/>
  <c r="Y61" i="1"/>
  <c r="Z61" i="1"/>
  <c r="P62" i="1"/>
  <c r="Q62" i="1"/>
  <c r="R62" i="1"/>
  <c r="S62" i="1"/>
  <c r="T62" i="1"/>
  <c r="U62" i="1"/>
  <c r="V62" i="1"/>
  <c r="W62" i="1"/>
  <c r="X62" i="1"/>
  <c r="Y62" i="1"/>
  <c r="Z62" i="1"/>
  <c r="P63" i="1"/>
  <c r="Q63" i="1"/>
  <c r="R63" i="1"/>
  <c r="S63" i="1"/>
  <c r="T63" i="1"/>
  <c r="U63" i="1"/>
  <c r="V63" i="1"/>
  <c r="W63" i="1"/>
  <c r="X63" i="1"/>
  <c r="Y63" i="1"/>
  <c r="Z63" i="1"/>
  <c r="P64" i="1"/>
  <c r="Q64" i="1"/>
  <c r="R64" i="1"/>
  <c r="S64" i="1"/>
  <c r="T64" i="1"/>
  <c r="U64" i="1"/>
  <c r="V64" i="1"/>
  <c r="W64" i="1"/>
  <c r="X64" i="1"/>
  <c r="Y64" i="1"/>
  <c r="Z64" i="1"/>
  <c r="P65" i="1"/>
  <c r="Q65" i="1"/>
  <c r="R65" i="1"/>
  <c r="S65" i="1"/>
  <c r="T65" i="1"/>
  <c r="U65" i="1"/>
  <c r="V65" i="1"/>
  <c r="W65" i="1"/>
  <c r="X65" i="1"/>
  <c r="Y65" i="1"/>
  <c r="Z65" i="1"/>
  <c r="P66" i="1"/>
  <c r="Q66" i="1"/>
  <c r="R66" i="1"/>
  <c r="S66" i="1"/>
  <c r="T66" i="1"/>
  <c r="U66" i="1"/>
  <c r="V66" i="1"/>
  <c r="W66" i="1"/>
  <c r="X66" i="1"/>
  <c r="Y66" i="1"/>
  <c r="Z66" i="1"/>
  <c r="P67" i="1"/>
  <c r="Q67" i="1"/>
  <c r="R67" i="1"/>
  <c r="S67" i="1"/>
  <c r="T67" i="1"/>
  <c r="U67" i="1"/>
  <c r="V67" i="1"/>
  <c r="W67" i="1"/>
  <c r="X67" i="1"/>
  <c r="Y67" i="1"/>
  <c r="Z67" i="1"/>
  <c r="P68" i="1"/>
  <c r="Q68" i="1"/>
  <c r="R68" i="1"/>
  <c r="S68" i="1"/>
  <c r="T68" i="1"/>
  <c r="U68" i="1"/>
  <c r="V68" i="1"/>
  <c r="W68" i="1"/>
  <c r="X68" i="1"/>
  <c r="Y68" i="1"/>
  <c r="Z68" i="1"/>
  <c r="P69" i="1"/>
  <c r="Q69" i="1"/>
  <c r="R69" i="1"/>
  <c r="S69" i="1"/>
  <c r="T69" i="1"/>
  <c r="U69" i="1"/>
  <c r="V69" i="1"/>
  <c r="W69" i="1"/>
  <c r="X69" i="1"/>
  <c r="Y69" i="1"/>
  <c r="Z69" i="1"/>
  <c r="P70" i="1"/>
  <c r="Q70" i="1"/>
  <c r="R70" i="1"/>
  <c r="S70" i="1"/>
  <c r="T70" i="1"/>
  <c r="U70" i="1"/>
  <c r="V70" i="1"/>
  <c r="W70" i="1"/>
  <c r="X70" i="1"/>
  <c r="Y70" i="1"/>
  <c r="Z70" i="1"/>
  <c r="P71" i="1"/>
  <c r="Q71" i="1"/>
  <c r="R71" i="1"/>
  <c r="S71" i="1"/>
  <c r="T71" i="1"/>
  <c r="U71" i="1"/>
  <c r="V71" i="1"/>
  <c r="W71" i="1"/>
  <c r="X71" i="1"/>
  <c r="Y71" i="1"/>
  <c r="Z71" i="1"/>
  <c r="P72" i="1"/>
  <c r="Q72" i="1"/>
  <c r="R72" i="1"/>
  <c r="S72" i="1"/>
  <c r="T72" i="1"/>
  <c r="U72" i="1"/>
  <c r="V72" i="1"/>
  <c r="W72" i="1"/>
  <c r="X72" i="1"/>
  <c r="Y72" i="1"/>
  <c r="Z72" i="1"/>
  <c r="P73" i="1"/>
  <c r="Q73" i="1"/>
  <c r="R73" i="1"/>
  <c r="S73" i="1"/>
  <c r="T73" i="1"/>
  <c r="U73" i="1"/>
  <c r="V73" i="1"/>
  <c r="W73" i="1"/>
  <c r="X73" i="1"/>
  <c r="Y73" i="1"/>
  <c r="Z73" i="1"/>
  <c r="P74" i="1"/>
  <c r="Q74" i="1"/>
  <c r="R74" i="1"/>
  <c r="S74" i="1"/>
  <c r="T74" i="1"/>
  <c r="U74" i="1"/>
  <c r="V74" i="1"/>
  <c r="W74" i="1"/>
  <c r="X74" i="1"/>
  <c r="Y74" i="1"/>
  <c r="Z74" i="1"/>
  <c r="P75" i="1"/>
  <c r="Q75" i="1"/>
  <c r="R75" i="1"/>
  <c r="S75" i="1"/>
  <c r="T75" i="1"/>
  <c r="U75" i="1"/>
  <c r="V75" i="1"/>
  <c r="W75" i="1"/>
  <c r="X75" i="1"/>
  <c r="Y75" i="1"/>
  <c r="Z75" i="1"/>
  <c r="P76" i="1"/>
  <c r="Q76" i="1"/>
  <c r="R76" i="1"/>
  <c r="S76" i="1"/>
  <c r="T76" i="1"/>
  <c r="U76" i="1"/>
  <c r="V76" i="1"/>
  <c r="W76" i="1"/>
  <c r="X76" i="1"/>
  <c r="Y76" i="1"/>
  <c r="Z76" i="1"/>
  <c r="P77" i="1"/>
  <c r="Q77" i="1"/>
  <c r="R77" i="1"/>
  <c r="S77" i="1"/>
  <c r="T77" i="1"/>
  <c r="U77" i="1"/>
  <c r="V77" i="1"/>
  <c r="W77" i="1"/>
  <c r="X77" i="1"/>
  <c r="Y77" i="1"/>
  <c r="Z77" i="1"/>
  <c r="P78" i="1"/>
  <c r="Q78" i="1"/>
  <c r="R78" i="1"/>
  <c r="S78" i="1"/>
  <c r="T78" i="1"/>
  <c r="U78" i="1"/>
  <c r="V78" i="1"/>
  <c r="W78" i="1"/>
  <c r="X78" i="1"/>
  <c r="Y78" i="1"/>
  <c r="Z78" i="1"/>
  <c r="P79" i="1"/>
  <c r="Q79" i="1"/>
  <c r="R79" i="1"/>
  <c r="S79" i="1"/>
  <c r="T79" i="1"/>
  <c r="U79" i="1"/>
  <c r="V79" i="1"/>
  <c r="W79" i="1"/>
  <c r="X79" i="1"/>
  <c r="Y79" i="1"/>
  <c r="Z79" i="1"/>
  <c r="P80" i="1"/>
  <c r="Q80" i="1"/>
  <c r="R80" i="1"/>
  <c r="S80" i="1"/>
  <c r="T80" i="1"/>
  <c r="U80" i="1"/>
  <c r="V80" i="1"/>
  <c r="W80" i="1"/>
  <c r="X80" i="1"/>
  <c r="Y80" i="1"/>
  <c r="Z80" i="1"/>
  <c r="P81" i="1"/>
  <c r="Q81" i="1"/>
  <c r="R81" i="1"/>
  <c r="S81" i="1"/>
  <c r="T81" i="1"/>
  <c r="U81" i="1"/>
  <c r="V81" i="1"/>
  <c r="W81" i="1"/>
  <c r="X81" i="1"/>
  <c r="Y81" i="1"/>
  <c r="Z81" i="1"/>
  <c r="P82" i="1"/>
  <c r="Q82" i="1"/>
  <c r="R82" i="1"/>
  <c r="S82" i="1"/>
  <c r="T82" i="1"/>
  <c r="U82" i="1"/>
  <c r="V82" i="1"/>
  <c r="W82" i="1"/>
  <c r="X82" i="1"/>
  <c r="Y82" i="1"/>
  <c r="Z82" i="1"/>
  <c r="P83" i="1"/>
  <c r="Q83" i="1"/>
  <c r="R83" i="1"/>
  <c r="S83" i="1"/>
  <c r="T83" i="1"/>
  <c r="U83" i="1"/>
  <c r="V83" i="1"/>
  <c r="W83" i="1"/>
  <c r="X83" i="1"/>
  <c r="Y83" i="1"/>
  <c r="Z83" i="1"/>
  <c r="P84" i="1"/>
  <c r="Q84" i="1"/>
  <c r="R84" i="1"/>
  <c r="S84" i="1"/>
  <c r="T84" i="1"/>
  <c r="U84" i="1"/>
  <c r="V84" i="1"/>
  <c r="W84" i="1"/>
  <c r="X84" i="1"/>
  <c r="Y84" i="1"/>
  <c r="Z84" i="1"/>
  <c r="P85" i="1"/>
  <c r="Q85" i="1"/>
  <c r="R85" i="1"/>
  <c r="S85" i="1"/>
  <c r="T85" i="1"/>
  <c r="U85" i="1"/>
  <c r="V85" i="1"/>
  <c r="W85" i="1"/>
  <c r="X85" i="1"/>
  <c r="Y85" i="1"/>
  <c r="Z85" i="1"/>
  <c r="P86" i="1"/>
  <c r="Q86" i="1"/>
  <c r="R86" i="1"/>
  <c r="S86" i="1"/>
  <c r="T86" i="1"/>
  <c r="U86" i="1"/>
  <c r="V86" i="1"/>
  <c r="W86" i="1"/>
  <c r="X86" i="1"/>
  <c r="Y86" i="1"/>
  <c r="Z86" i="1"/>
  <c r="P87" i="1"/>
  <c r="Q87" i="1"/>
  <c r="R87" i="1"/>
  <c r="S87" i="1"/>
  <c r="T87" i="1"/>
  <c r="U87" i="1"/>
  <c r="V87" i="1"/>
  <c r="W87" i="1"/>
  <c r="X87" i="1"/>
  <c r="Y87" i="1"/>
  <c r="Z87" i="1"/>
  <c r="P88" i="1"/>
  <c r="Q88" i="1"/>
  <c r="R88" i="1"/>
  <c r="S88" i="1"/>
  <c r="T88" i="1"/>
  <c r="U88" i="1"/>
  <c r="V88" i="1"/>
  <c r="W88" i="1"/>
  <c r="X88" i="1"/>
  <c r="Y88" i="1"/>
  <c r="Z88" i="1"/>
  <c r="P89" i="1"/>
  <c r="Q89" i="1"/>
  <c r="R89" i="1"/>
  <c r="S89" i="1"/>
  <c r="T89" i="1"/>
  <c r="U89" i="1"/>
  <c r="V89" i="1"/>
  <c r="W89" i="1"/>
  <c r="X89" i="1"/>
  <c r="Y89" i="1"/>
  <c r="Z89" i="1"/>
  <c r="P90" i="1"/>
  <c r="Q90" i="1"/>
  <c r="R90" i="1"/>
  <c r="S90" i="1"/>
  <c r="T90" i="1"/>
  <c r="U90" i="1"/>
  <c r="V90" i="1"/>
  <c r="W90" i="1"/>
  <c r="X90" i="1"/>
  <c r="Y90" i="1"/>
  <c r="Z90" i="1"/>
  <c r="P91" i="1"/>
  <c r="Q91" i="1"/>
  <c r="R91" i="1"/>
  <c r="S91" i="1"/>
  <c r="T91" i="1"/>
  <c r="U91" i="1"/>
  <c r="V91" i="1"/>
  <c r="W91" i="1"/>
  <c r="X91" i="1"/>
  <c r="Y91" i="1"/>
  <c r="Z91" i="1"/>
  <c r="P92" i="1"/>
  <c r="Q92" i="1"/>
  <c r="R92" i="1"/>
  <c r="S92" i="1"/>
  <c r="T92" i="1"/>
  <c r="U92" i="1"/>
  <c r="V92" i="1"/>
  <c r="W92" i="1"/>
  <c r="X92" i="1"/>
  <c r="Y92" i="1"/>
  <c r="Z92" i="1"/>
  <c r="P93" i="1"/>
  <c r="Q93" i="1"/>
  <c r="R93" i="1"/>
  <c r="S93" i="1"/>
  <c r="T93" i="1"/>
  <c r="U93" i="1"/>
  <c r="V93" i="1"/>
  <c r="W93" i="1"/>
  <c r="X93" i="1"/>
  <c r="Y93" i="1"/>
  <c r="Z93" i="1"/>
  <c r="P94" i="1"/>
  <c r="Q94" i="1"/>
  <c r="R94" i="1"/>
  <c r="S94" i="1"/>
  <c r="T94" i="1"/>
  <c r="U94" i="1"/>
  <c r="V94" i="1"/>
  <c r="W94" i="1"/>
  <c r="X94" i="1"/>
  <c r="Y94" i="1"/>
  <c r="Z94" i="1"/>
  <c r="P95" i="1"/>
  <c r="Q95" i="1"/>
  <c r="R95" i="1"/>
  <c r="S95" i="1"/>
  <c r="T95" i="1"/>
  <c r="U95" i="1"/>
  <c r="V95" i="1"/>
  <c r="W95" i="1"/>
  <c r="X95" i="1"/>
  <c r="Y95" i="1"/>
  <c r="Z95" i="1"/>
  <c r="P96" i="1"/>
  <c r="Q96" i="1"/>
  <c r="R96" i="1"/>
  <c r="S96" i="1"/>
  <c r="T96" i="1"/>
  <c r="U96" i="1"/>
  <c r="V96" i="1"/>
  <c r="W96" i="1"/>
  <c r="X96" i="1"/>
  <c r="Y96" i="1"/>
  <c r="Z96" i="1"/>
  <c r="P97" i="1"/>
  <c r="Q97" i="1"/>
  <c r="R97" i="1"/>
  <c r="S97" i="1"/>
  <c r="T97" i="1"/>
  <c r="U97" i="1"/>
  <c r="V97" i="1"/>
  <c r="W97" i="1"/>
  <c r="X97" i="1"/>
  <c r="Y97" i="1"/>
  <c r="Z97" i="1"/>
  <c r="P98" i="1"/>
  <c r="Q98" i="1"/>
  <c r="R98" i="1"/>
  <c r="S98" i="1"/>
  <c r="T98" i="1"/>
  <c r="U98" i="1"/>
  <c r="V98" i="1"/>
  <c r="W98" i="1"/>
  <c r="X98" i="1"/>
  <c r="Y98" i="1"/>
  <c r="Z98" i="1"/>
  <c r="P99" i="1"/>
  <c r="Q99" i="1"/>
  <c r="R99" i="1"/>
  <c r="S99" i="1"/>
  <c r="T99" i="1"/>
  <c r="U99" i="1"/>
  <c r="V99" i="1"/>
  <c r="W99" i="1"/>
  <c r="X99" i="1"/>
  <c r="Y99" i="1"/>
  <c r="Z99" i="1"/>
  <c r="P100" i="1"/>
  <c r="Q100" i="1"/>
  <c r="R100" i="1"/>
  <c r="S100" i="1"/>
  <c r="T100" i="1"/>
  <c r="U100" i="1"/>
  <c r="V100" i="1"/>
  <c r="W100" i="1"/>
  <c r="X100" i="1"/>
  <c r="Y100" i="1"/>
  <c r="Z100" i="1"/>
  <c r="P101" i="1"/>
  <c r="Q101" i="1"/>
  <c r="R101" i="1"/>
  <c r="S101" i="1"/>
  <c r="T101" i="1"/>
  <c r="U101" i="1"/>
  <c r="V101" i="1"/>
  <c r="W101" i="1"/>
  <c r="X101" i="1"/>
  <c r="Y101" i="1"/>
  <c r="Z101" i="1"/>
  <c r="P102" i="1"/>
  <c r="Q102" i="1"/>
  <c r="R102" i="1"/>
  <c r="S102" i="1"/>
  <c r="T102" i="1"/>
  <c r="U102" i="1"/>
  <c r="V102" i="1"/>
  <c r="W102" i="1"/>
  <c r="X102" i="1"/>
  <c r="Y102" i="1"/>
  <c r="Z102" i="1"/>
  <c r="P103" i="1"/>
  <c r="Q103" i="1"/>
  <c r="R103" i="1"/>
  <c r="S103" i="1"/>
  <c r="T103" i="1"/>
  <c r="U103" i="1"/>
  <c r="V103" i="1"/>
  <c r="W103" i="1"/>
  <c r="X103" i="1"/>
  <c r="Y103" i="1"/>
  <c r="Z103" i="1"/>
  <c r="P104" i="1"/>
  <c r="Q104" i="1"/>
  <c r="R104" i="1"/>
  <c r="S104" i="1"/>
  <c r="T104" i="1"/>
  <c r="U104" i="1"/>
  <c r="V104" i="1"/>
  <c r="W104" i="1"/>
  <c r="X104" i="1"/>
  <c r="Y104" i="1"/>
  <c r="Z104" i="1"/>
  <c r="P105" i="1"/>
  <c r="Q105" i="1"/>
  <c r="R105" i="1"/>
  <c r="S105" i="1"/>
  <c r="T105" i="1"/>
  <c r="U105" i="1"/>
  <c r="V105" i="1"/>
  <c r="W105" i="1"/>
  <c r="X105" i="1"/>
  <c r="Y105" i="1"/>
  <c r="Z105" i="1"/>
  <c r="P106" i="1"/>
  <c r="Q106" i="1"/>
  <c r="R106" i="1"/>
  <c r="S106" i="1"/>
  <c r="T106" i="1"/>
  <c r="U106" i="1"/>
  <c r="V106" i="1"/>
  <c r="W106" i="1"/>
  <c r="X106" i="1"/>
  <c r="Y106" i="1"/>
  <c r="Z106" i="1"/>
  <c r="P107" i="1"/>
  <c r="Q107" i="1"/>
  <c r="R107" i="1"/>
  <c r="S107" i="1"/>
  <c r="T107" i="1"/>
  <c r="U107" i="1"/>
  <c r="V107" i="1"/>
  <c r="W107" i="1"/>
  <c r="X107" i="1"/>
  <c r="Y107" i="1"/>
  <c r="Z107" i="1"/>
  <c r="P108" i="1"/>
  <c r="Q108" i="1"/>
  <c r="R108" i="1"/>
  <c r="S108" i="1"/>
  <c r="T108" i="1"/>
  <c r="U108" i="1"/>
  <c r="V108" i="1"/>
  <c r="W108" i="1"/>
  <c r="X108" i="1"/>
  <c r="Y108" i="1"/>
  <c r="Z108" i="1"/>
  <c r="P109" i="1"/>
  <c r="Q109" i="1"/>
  <c r="R109" i="1"/>
  <c r="S109" i="1"/>
  <c r="T109" i="1"/>
  <c r="U109" i="1"/>
  <c r="V109" i="1"/>
  <c r="W109" i="1"/>
  <c r="X109" i="1"/>
  <c r="Y109" i="1"/>
  <c r="Z109" i="1"/>
  <c r="P110" i="1"/>
  <c r="Q110" i="1"/>
  <c r="R110" i="1"/>
  <c r="S110" i="1"/>
  <c r="T110" i="1"/>
  <c r="U110" i="1"/>
  <c r="V110" i="1"/>
  <c r="W110" i="1"/>
  <c r="X110" i="1"/>
  <c r="Y110" i="1"/>
  <c r="Z110" i="1"/>
  <c r="P111" i="1"/>
  <c r="Q111" i="1"/>
  <c r="R111" i="1"/>
  <c r="S111" i="1"/>
  <c r="T111" i="1"/>
  <c r="U111" i="1"/>
  <c r="V111" i="1"/>
  <c r="W111" i="1"/>
  <c r="X111" i="1"/>
  <c r="Y111" i="1"/>
  <c r="Z111" i="1"/>
  <c r="P112" i="1"/>
  <c r="Q112" i="1"/>
  <c r="R112" i="1"/>
  <c r="S112" i="1"/>
  <c r="T112" i="1"/>
  <c r="U112" i="1"/>
  <c r="V112" i="1"/>
  <c r="W112" i="1"/>
  <c r="X112" i="1"/>
  <c r="Y112" i="1"/>
  <c r="Z112" i="1"/>
  <c r="P113" i="1"/>
  <c r="Q113" i="1"/>
  <c r="R113" i="1"/>
  <c r="S113" i="1"/>
  <c r="T113" i="1"/>
  <c r="U113" i="1"/>
  <c r="V113" i="1"/>
  <c r="W113" i="1"/>
  <c r="X113" i="1"/>
  <c r="Y113" i="1"/>
  <c r="Z113" i="1"/>
  <c r="P114" i="1"/>
  <c r="Q114" i="1"/>
  <c r="R114" i="1"/>
  <c r="S114" i="1"/>
  <c r="T114" i="1"/>
  <c r="U114" i="1"/>
  <c r="V114" i="1"/>
  <c r="W114" i="1"/>
  <c r="X114" i="1"/>
  <c r="Y114" i="1"/>
  <c r="Z114" i="1"/>
  <c r="P115" i="1"/>
  <c r="Q115" i="1"/>
  <c r="R115" i="1"/>
  <c r="S115" i="1"/>
  <c r="T115" i="1"/>
  <c r="U115" i="1"/>
  <c r="V115" i="1"/>
  <c r="W115" i="1"/>
  <c r="X115" i="1"/>
  <c r="Y115" i="1"/>
  <c r="Z115" i="1"/>
  <c r="P116" i="1"/>
  <c r="Q116" i="1"/>
  <c r="R116" i="1"/>
  <c r="S116" i="1"/>
  <c r="T116" i="1"/>
  <c r="U116" i="1"/>
  <c r="V116" i="1"/>
  <c r="W116" i="1"/>
  <c r="X116" i="1"/>
  <c r="Y116" i="1"/>
  <c r="Z116" i="1"/>
  <c r="P117" i="1"/>
  <c r="Q117" i="1"/>
  <c r="R117" i="1"/>
  <c r="S117" i="1"/>
  <c r="T117" i="1"/>
  <c r="U117" i="1"/>
  <c r="V117" i="1"/>
  <c r="W117" i="1"/>
  <c r="X117" i="1"/>
  <c r="Y117" i="1"/>
  <c r="Z117" i="1"/>
  <c r="P118" i="1"/>
  <c r="Q118" i="1"/>
  <c r="R118" i="1"/>
  <c r="S118" i="1"/>
  <c r="T118" i="1"/>
  <c r="U118" i="1"/>
  <c r="V118" i="1"/>
  <c r="W118" i="1"/>
  <c r="X118" i="1"/>
  <c r="Y118" i="1"/>
  <c r="Z118" i="1"/>
  <c r="P119" i="1"/>
  <c r="Q119" i="1"/>
  <c r="R119" i="1"/>
  <c r="S119" i="1"/>
  <c r="T119" i="1"/>
  <c r="U119" i="1"/>
  <c r="V119" i="1"/>
  <c r="W119" i="1"/>
  <c r="X119" i="1"/>
  <c r="Y119" i="1"/>
  <c r="Z119" i="1"/>
  <c r="P120" i="1"/>
  <c r="Q120" i="1"/>
  <c r="R120" i="1"/>
  <c r="S120" i="1"/>
  <c r="T120" i="1"/>
  <c r="U120" i="1"/>
  <c r="V120" i="1"/>
  <c r="W120" i="1"/>
  <c r="X120" i="1"/>
  <c r="Y120" i="1"/>
  <c r="Z120" i="1"/>
  <c r="P121" i="1"/>
  <c r="Q121" i="1"/>
  <c r="R121" i="1"/>
  <c r="S121" i="1"/>
  <c r="T121" i="1"/>
  <c r="U121" i="1"/>
  <c r="V121" i="1"/>
  <c r="W121" i="1"/>
  <c r="X121" i="1"/>
  <c r="Y121" i="1"/>
  <c r="Z121" i="1"/>
  <c r="P122" i="1"/>
  <c r="Q122" i="1"/>
  <c r="R122" i="1"/>
  <c r="S122" i="1"/>
  <c r="T122" i="1"/>
  <c r="U122" i="1"/>
  <c r="V122" i="1"/>
  <c r="W122" i="1"/>
  <c r="X122" i="1"/>
  <c r="Y122" i="1"/>
  <c r="Z122" i="1"/>
  <c r="P123" i="1"/>
  <c r="Q123" i="1"/>
  <c r="R123" i="1"/>
  <c r="S123" i="1"/>
  <c r="T123" i="1"/>
  <c r="U123" i="1"/>
  <c r="V123" i="1"/>
  <c r="W123" i="1"/>
  <c r="X123" i="1"/>
  <c r="Y123" i="1"/>
  <c r="Z123" i="1"/>
  <c r="P124" i="1"/>
  <c r="Q124" i="1"/>
  <c r="R124" i="1"/>
  <c r="S124" i="1"/>
  <c r="T124" i="1"/>
  <c r="U124" i="1"/>
  <c r="V124" i="1"/>
  <c r="W124" i="1"/>
  <c r="X124" i="1"/>
  <c r="Y124" i="1"/>
  <c r="Z124" i="1"/>
  <c r="P125" i="1"/>
  <c r="Q125" i="1"/>
  <c r="R125" i="1"/>
  <c r="S125" i="1"/>
  <c r="T125" i="1"/>
  <c r="U125" i="1"/>
  <c r="V125" i="1"/>
  <c r="W125" i="1"/>
  <c r="X125" i="1"/>
  <c r="Y125" i="1"/>
  <c r="Z125" i="1"/>
  <c r="P126" i="1"/>
  <c r="Q126" i="1"/>
  <c r="R126" i="1"/>
  <c r="S126" i="1"/>
  <c r="T126" i="1"/>
  <c r="U126" i="1"/>
  <c r="V126" i="1"/>
  <c r="W126" i="1"/>
  <c r="X126" i="1"/>
  <c r="Y126" i="1"/>
  <c r="Z126" i="1"/>
  <c r="P127" i="1"/>
  <c r="Q127" i="1"/>
  <c r="R127" i="1"/>
  <c r="S127" i="1"/>
  <c r="T127" i="1"/>
  <c r="U127" i="1"/>
  <c r="V127" i="1"/>
  <c r="W127" i="1"/>
  <c r="X127" i="1"/>
  <c r="Y127" i="1"/>
  <c r="Z127" i="1"/>
  <c r="P128" i="1"/>
  <c r="Q128" i="1"/>
  <c r="R128" i="1"/>
  <c r="S128" i="1"/>
  <c r="T128" i="1"/>
  <c r="U128" i="1"/>
  <c r="V128" i="1"/>
  <c r="W128" i="1"/>
  <c r="X128" i="1"/>
  <c r="Y128" i="1"/>
  <c r="Z128" i="1"/>
  <c r="P129" i="1"/>
  <c r="Q129" i="1"/>
  <c r="R129" i="1"/>
  <c r="S129" i="1"/>
  <c r="T129" i="1"/>
  <c r="U129" i="1"/>
  <c r="V129" i="1"/>
  <c r="W129" i="1"/>
  <c r="X129" i="1"/>
  <c r="Y129" i="1"/>
  <c r="Z129" i="1"/>
  <c r="P130" i="1"/>
  <c r="Q130" i="1"/>
  <c r="R130" i="1"/>
  <c r="S130" i="1"/>
  <c r="T130" i="1"/>
  <c r="U130" i="1"/>
  <c r="V130" i="1"/>
  <c r="W130" i="1"/>
  <c r="X130" i="1"/>
  <c r="Y130" i="1"/>
  <c r="Z130" i="1"/>
  <c r="P131" i="1"/>
  <c r="Q131" i="1"/>
  <c r="R131" i="1"/>
  <c r="S131" i="1"/>
  <c r="T131" i="1"/>
  <c r="U131" i="1"/>
  <c r="V131" i="1"/>
  <c r="W131" i="1"/>
  <c r="X131" i="1"/>
  <c r="Y131" i="1"/>
  <c r="Z131" i="1"/>
  <c r="P132" i="1"/>
  <c r="Q132" i="1"/>
  <c r="R132" i="1"/>
  <c r="S132" i="1"/>
  <c r="T132" i="1"/>
  <c r="U132" i="1"/>
  <c r="V132" i="1"/>
  <c r="W132" i="1"/>
  <c r="X132" i="1"/>
  <c r="Y132" i="1"/>
  <c r="Z132" i="1"/>
  <c r="P133" i="1"/>
  <c r="Q133" i="1"/>
  <c r="R133" i="1"/>
  <c r="S133" i="1"/>
  <c r="T133" i="1"/>
  <c r="U133" i="1"/>
  <c r="V133" i="1"/>
  <c r="W133" i="1"/>
  <c r="X133" i="1"/>
  <c r="Y133" i="1"/>
  <c r="Z133" i="1"/>
  <c r="P134" i="1"/>
  <c r="Q134" i="1"/>
  <c r="R134" i="1"/>
  <c r="S134" i="1"/>
  <c r="T134" i="1"/>
  <c r="U134" i="1"/>
  <c r="V134" i="1"/>
  <c r="W134" i="1"/>
  <c r="X134" i="1"/>
  <c r="Y134" i="1"/>
  <c r="Z134" i="1"/>
  <c r="P135" i="1"/>
  <c r="Q135" i="1"/>
  <c r="R135" i="1"/>
  <c r="S135" i="1"/>
  <c r="T135" i="1"/>
  <c r="U135" i="1"/>
  <c r="V135" i="1"/>
  <c r="W135" i="1"/>
  <c r="X135" i="1"/>
  <c r="Y135" i="1"/>
  <c r="Z135" i="1"/>
  <c r="P136" i="1"/>
  <c r="Q136" i="1"/>
  <c r="R136" i="1"/>
  <c r="S136" i="1"/>
  <c r="T136" i="1"/>
  <c r="U136" i="1"/>
  <c r="V136" i="1"/>
  <c r="W136" i="1"/>
  <c r="X136" i="1"/>
  <c r="Y136" i="1"/>
  <c r="Z136" i="1"/>
  <c r="P137" i="1"/>
  <c r="Q137" i="1"/>
  <c r="R137" i="1"/>
  <c r="S137" i="1"/>
  <c r="T137" i="1"/>
  <c r="U137" i="1"/>
  <c r="V137" i="1"/>
  <c r="W137" i="1"/>
  <c r="X137" i="1"/>
  <c r="Y137" i="1"/>
  <c r="Z137" i="1"/>
  <c r="P138" i="1"/>
  <c r="Q138" i="1"/>
  <c r="R138" i="1"/>
  <c r="S138" i="1"/>
  <c r="T138" i="1"/>
  <c r="U138" i="1"/>
  <c r="V138" i="1"/>
  <c r="W138" i="1"/>
  <c r="X138" i="1"/>
  <c r="Y138" i="1"/>
  <c r="Z138" i="1"/>
  <c r="P139" i="1"/>
  <c r="Q139" i="1"/>
  <c r="R139" i="1"/>
  <c r="S139" i="1"/>
  <c r="T139" i="1"/>
  <c r="U139" i="1"/>
  <c r="V139" i="1"/>
  <c r="W139" i="1"/>
  <c r="X139" i="1"/>
  <c r="Y139" i="1"/>
  <c r="Z139" i="1"/>
  <c r="P140" i="1"/>
  <c r="Q140" i="1"/>
  <c r="R140" i="1"/>
  <c r="S140" i="1"/>
  <c r="T140" i="1"/>
  <c r="U140" i="1"/>
  <c r="V140" i="1"/>
  <c r="W140" i="1"/>
  <c r="X140" i="1"/>
  <c r="Y140" i="1"/>
  <c r="Z140" i="1"/>
  <c r="P141" i="1"/>
  <c r="Q141" i="1"/>
  <c r="R141" i="1"/>
  <c r="S141" i="1"/>
  <c r="T141" i="1"/>
  <c r="U141" i="1"/>
  <c r="V141" i="1"/>
  <c r="W141" i="1"/>
  <c r="X141" i="1"/>
  <c r="Y141" i="1"/>
  <c r="Z141" i="1"/>
  <c r="P142" i="1"/>
  <c r="Q142" i="1"/>
  <c r="R142" i="1"/>
  <c r="S142" i="1"/>
  <c r="T142" i="1"/>
  <c r="U142" i="1"/>
  <c r="V142" i="1"/>
  <c r="W142" i="1"/>
  <c r="X142" i="1"/>
  <c r="Y142" i="1"/>
  <c r="Z142" i="1"/>
  <c r="P143" i="1"/>
  <c r="Q143" i="1"/>
  <c r="R143" i="1"/>
  <c r="S143" i="1"/>
  <c r="T143" i="1"/>
  <c r="U143" i="1"/>
  <c r="V143" i="1"/>
  <c r="W143" i="1"/>
  <c r="X143" i="1"/>
  <c r="Y143" i="1"/>
  <c r="Z143" i="1"/>
  <c r="P144" i="1"/>
  <c r="Q144" i="1"/>
  <c r="R144" i="1"/>
  <c r="S144" i="1"/>
  <c r="T144" i="1"/>
  <c r="U144" i="1"/>
  <c r="V144" i="1"/>
  <c r="W144" i="1"/>
  <c r="X144" i="1"/>
  <c r="Y144" i="1"/>
  <c r="Z144" i="1"/>
  <c r="P145" i="1"/>
  <c r="Q145" i="1"/>
  <c r="R145" i="1"/>
  <c r="S145" i="1"/>
  <c r="T145" i="1"/>
  <c r="U145" i="1"/>
  <c r="V145" i="1"/>
  <c r="W145" i="1"/>
  <c r="X145" i="1"/>
  <c r="Y145" i="1"/>
  <c r="Z145" i="1"/>
  <c r="P146" i="1"/>
  <c r="Q146" i="1"/>
  <c r="R146" i="1"/>
  <c r="S146" i="1"/>
  <c r="T146" i="1"/>
  <c r="U146" i="1"/>
  <c r="V146" i="1"/>
  <c r="W146" i="1"/>
  <c r="X146" i="1"/>
  <c r="Y146" i="1"/>
  <c r="Z146" i="1"/>
  <c r="P147" i="1"/>
  <c r="Q147" i="1"/>
  <c r="R147" i="1"/>
  <c r="S147" i="1"/>
  <c r="T147" i="1"/>
  <c r="U147" i="1"/>
  <c r="V147" i="1"/>
  <c r="W147" i="1"/>
  <c r="X147" i="1"/>
  <c r="Y147" i="1"/>
  <c r="Z147" i="1"/>
  <c r="P148" i="1"/>
  <c r="Q148" i="1"/>
  <c r="R148" i="1"/>
  <c r="S148" i="1"/>
  <c r="T148" i="1"/>
  <c r="U148" i="1"/>
  <c r="V148" i="1"/>
  <c r="W148" i="1"/>
  <c r="X148" i="1"/>
  <c r="Y148" i="1"/>
  <c r="Z148" i="1"/>
  <c r="P149" i="1"/>
  <c r="Q149" i="1"/>
  <c r="R149" i="1"/>
  <c r="S149" i="1"/>
  <c r="T149" i="1"/>
  <c r="U149" i="1"/>
  <c r="V149" i="1"/>
  <c r="W149" i="1"/>
  <c r="X149" i="1"/>
  <c r="Y149" i="1"/>
  <c r="Z149" i="1"/>
  <c r="P150" i="1"/>
  <c r="Q150" i="1"/>
  <c r="R150" i="1"/>
  <c r="S150" i="1"/>
  <c r="T150" i="1"/>
  <c r="U150" i="1"/>
  <c r="V150" i="1"/>
  <c r="W150" i="1"/>
  <c r="X150" i="1"/>
  <c r="Y150" i="1"/>
  <c r="Z150" i="1"/>
  <c r="P151" i="1"/>
  <c r="Q151" i="1"/>
  <c r="R151" i="1"/>
  <c r="S151" i="1"/>
  <c r="T151" i="1"/>
  <c r="U151" i="1"/>
  <c r="V151" i="1"/>
  <c r="W151" i="1"/>
  <c r="X151" i="1"/>
  <c r="Y151" i="1"/>
  <c r="Z151" i="1"/>
  <c r="P152" i="1"/>
  <c r="Q152" i="1"/>
  <c r="R152" i="1"/>
  <c r="S152" i="1"/>
  <c r="T152" i="1"/>
  <c r="U152" i="1"/>
  <c r="V152" i="1"/>
  <c r="W152" i="1"/>
  <c r="X152" i="1"/>
  <c r="Y152" i="1"/>
  <c r="Z152" i="1"/>
  <c r="P153" i="1"/>
  <c r="Q153" i="1"/>
  <c r="R153" i="1"/>
  <c r="S153" i="1"/>
  <c r="T153" i="1"/>
  <c r="U153" i="1"/>
  <c r="V153" i="1"/>
  <c r="W153" i="1"/>
  <c r="X153" i="1"/>
  <c r="Y153" i="1"/>
  <c r="Z153" i="1"/>
  <c r="P154" i="1"/>
  <c r="Q154" i="1"/>
  <c r="R154" i="1"/>
  <c r="S154" i="1"/>
  <c r="T154" i="1"/>
  <c r="U154" i="1"/>
  <c r="V154" i="1"/>
  <c r="W154" i="1"/>
  <c r="X154" i="1"/>
  <c r="Y154" i="1"/>
  <c r="Z154" i="1"/>
  <c r="P155" i="1"/>
  <c r="Q155" i="1"/>
  <c r="R155" i="1"/>
  <c r="S155" i="1"/>
  <c r="T155" i="1"/>
  <c r="U155" i="1"/>
  <c r="V155" i="1"/>
  <c r="W155" i="1"/>
  <c r="X155" i="1"/>
  <c r="Y155" i="1"/>
  <c r="Z155" i="1"/>
  <c r="P156" i="1"/>
  <c r="Q156" i="1"/>
  <c r="R156" i="1"/>
  <c r="S156" i="1"/>
  <c r="T156" i="1"/>
  <c r="U156" i="1"/>
  <c r="V156" i="1"/>
  <c r="W156" i="1"/>
  <c r="X156" i="1"/>
  <c r="Y156" i="1"/>
  <c r="Z156" i="1"/>
  <c r="P157" i="1"/>
  <c r="Q157" i="1"/>
  <c r="R157" i="1"/>
  <c r="S157" i="1"/>
  <c r="T157" i="1"/>
  <c r="U157" i="1"/>
  <c r="V157" i="1"/>
  <c r="W157" i="1"/>
  <c r="X157" i="1"/>
  <c r="Y157" i="1"/>
  <c r="Z157" i="1"/>
  <c r="P158" i="1"/>
  <c r="Q158" i="1"/>
  <c r="R158" i="1"/>
  <c r="S158" i="1"/>
  <c r="T158" i="1"/>
  <c r="U158" i="1"/>
  <c r="V158" i="1"/>
  <c r="W158" i="1"/>
  <c r="X158" i="1"/>
  <c r="Y158" i="1"/>
  <c r="Z158" i="1"/>
  <c r="P159" i="1"/>
  <c r="Q159" i="1"/>
  <c r="R159" i="1"/>
  <c r="S159" i="1"/>
  <c r="T159" i="1"/>
  <c r="U159" i="1"/>
  <c r="V159" i="1"/>
  <c r="W159" i="1"/>
  <c r="X159" i="1"/>
  <c r="Y159" i="1"/>
  <c r="Z159" i="1"/>
  <c r="P160" i="1"/>
  <c r="Q160" i="1"/>
  <c r="R160" i="1"/>
  <c r="S160" i="1"/>
  <c r="T160" i="1"/>
  <c r="U160" i="1"/>
  <c r="V160" i="1"/>
  <c r="W160" i="1"/>
  <c r="X160" i="1"/>
  <c r="Y160" i="1"/>
  <c r="Z160" i="1"/>
  <c r="P161" i="1"/>
  <c r="Q161" i="1"/>
  <c r="R161" i="1"/>
  <c r="S161" i="1"/>
  <c r="T161" i="1"/>
  <c r="U161" i="1"/>
  <c r="V161" i="1"/>
  <c r="W161" i="1"/>
  <c r="X161" i="1"/>
  <c r="Y161" i="1"/>
  <c r="Z161" i="1"/>
  <c r="P162" i="1"/>
  <c r="Q162" i="1"/>
  <c r="R162" i="1"/>
  <c r="S162" i="1"/>
  <c r="T162" i="1"/>
  <c r="U162" i="1"/>
  <c r="V162" i="1"/>
  <c r="W162" i="1"/>
  <c r="X162" i="1"/>
  <c r="Y162" i="1"/>
  <c r="Z162" i="1"/>
  <c r="P163" i="1"/>
  <c r="Q163" i="1"/>
  <c r="R163" i="1"/>
  <c r="S163" i="1"/>
  <c r="T163" i="1"/>
  <c r="U163" i="1"/>
  <c r="V163" i="1"/>
  <c r="W163" i="1"/>
  <c r="X163" i="1"/>
  <c r="Y163" i="1"/>
  <c r="Z163" i="1"/>
  <c r="P164" i="1"/>
  <c r="Q164" i="1"/>
  <c r="R164" i="1"/>
  <c r="S164" i="1"/>
  <c r="T164" i="1"/>
  <c r="U164" i="1"/>
  <c r="V164" i="1"/>
  <c r="W164" i="1"/>
  <c r="X164" i="1"/>
  <c r="Y164" i="1"/>
  <c r="Z164" i="1"/>
  <c r="P165" i="1"/>
  <c r="Q165" i="1"/>
  <c r="R165" i="1"/>
  <c r="S165" i="1"/>
  <c r="T165" i="1"/>
  <c r="U165" i="1"/>
  <c r="V165" i="1"/>
  <c r="W165" i="1"/>
  <c r="X165" i="1"/>
  <c r="Y165" i="1"/>
  <c r="Z165" i="1"/>
  <c r="P166" i="1"/>
  <c r="Q166" i="1"/>
  <c r="R166" i="1"/>
  <c r="S166" i="1"/>
  <c r="T166" i="1"/>
  <c r="U166" i="1"/>
  <c r="V166" i="1"/>
  <c r="W166" i="1"/>
  <c r="X166" i="1"/>
  <c r="Y166" i="1"/>
  <c r="Z166" i="1"/>
  <c r="P167" i="1"/>
  <c r="Q167" i="1"/>
  <c r="R167" i="1"/>
  <c r="S167" i="1"/>
  <c r="T167" i="1"/>
  <c r="U167" i="1"/>
  <c r="V167" i="1"/>
  <c r="W167" i="1"/>
  <c r="X167" i="1"/>
  <c r="Y167" i="1"/>
  <c r="Z167" i="1"/>
  <c r="P168" i="1"/>
  <c r="Q168" i="1"/>
  <c r="R168" i="1"/>
  <c r="S168" i="1"/>
  <c r="T168" i="1"/>
  <c r="U168" i="1"/>
  <c r="V168" i="1"/>
  <c r="W168" i="1"/>
  <c r="X168" i="1"/>
  <c r="Y168" i="1"/>
  <c r="Z168" i="1"/>
  <c r="P169" i="1"/>
  <c r="Q169" i="1"/>
  <c r="R169" i="1"/>
  <c r="S169" i="1"/>
  <c r="T169" i="1"/>
  <c r="U169" i="1"/>
  <c r="V169" i="1"/>
  <c r="W169" i="1"/>
  <c r="X169" i="1"/>
  <c r="Y169" i="1"/>
  <c r="Z169" i="1"/>
  <c r="P170" i="1"/>
  <c r="Q170" i="1"/>
  <c r="R170" i="1"/>
  <c r="S170" i="1"/>
  <c r="T170" i="1"/>
  <c r="U170" i="1"/>
  <c r="V170" i="1"/>
  <c r="W170" i="1"/>
  <c r="X170" i="1"/>
  <c r="Y170" i="1"/>
  <c r="Z170" i="1"/>
  <c r="P171" i="1"/>
  <c r="Q171" i="1"/>
  <c r="R171" i="1"/>
  <c r="S171" i="1"/>
  <c r="T171" i="1"/>
  <c r="U171" i="1"/>
  <c r="V171" i="1"/>
  <c r="W171" i="1"/>
  <c r="X171" i="1"/>
  <c r="Y171" i="1"/>
  <c r="Z171" i="1"/>
  <c r="P172" i="1"/>
  <c r="Q172" i="1"/>
  <c r="R172" i="1"/>
  <c r="S172" i="1"/>
  <c r="T172" i="1"/>
  <c r="U172" i="1"/>
  <c r="V172" i="1"/>
  <c r="W172" i="1"/>
  <c r="X172" i="1"/>
  <c r="Y172" i="1"/>
  <c r="Z172" i="1"/>
  <c r="P173" i="1"/>
  <c r="Q173" i="1"/>
  <c r="R173" i="1"/>
  <c r="S173" i="1"/>
  <c r="T173" i="1"/>
  <c r="U173" i="1"/>
  <c r="V173" i="1"/>
  <c r="W173" i="1"/>
  <c r="X173" i="1"/>
  <c r="Y173" i="1"/>
  <c r="Z173" i="1"/>
  <c r="P174" i="1"/>
  <c r="Q174" i="1"/>
  <c r="R174" i="1"/>
  <c r="S174" i="1"/>
  <c r="T174" i="1"/>
  <c r="U174" i="1"/>
  <c r="V174" i="1"/>
  <c r="W174" i="1"/>
  <c r="X174" i="1"/>
  <c r="Y174" i="1"/>
  <c r="Z174" i="1"/>
  <c r="P175" i="1"/>
  <c r="Q175" i="1"/>
  <c r="R175" i="1"/>
  <c r="S175" i="1"/>
  <c r="T175" i="1"/>
  <c r="U175" i="1"/>
  <c r="V175" i="1"/>
  <c r="W175" i="1"/>
  <c r="X175" i="1"/>
  <c r="Y175" i="1"/>
  <c r="Z175" i="1"/>
  <c r="P176" i="1"/>
  <c r="Q176" i="1"/>
  <c r="R176" i="1"/>
  <c r="S176" i="1"/>
  <c r="T176" i="1"/>
  <c r="U176" i="1"/>
  <c r="V176" i="1"/>
  <c r="W176" i="1"/>
  <c r="X176" i="1"/>
  <c r="Y176" i="1"/>
  <c r="Z176" i="1"/>
  <c r="P177" i="1"/>
  <c r="Q177" i="1"/>
  <c r="R177" i="1"/>
  <c r="S177" i="1"/>
  <c r="T177" i="1"/>
  <c r="U177" i="1"/>
  <c r="V177" i="1"/>
  <c r="W177" i="1"/>
  <c r="X177" i="1"/>
  <c r="Y177" i="1"/>
  <c r="Z177" i="1"/>
  <c r="P178" i="1"/>
  <c r="Q178" i="1"/>
  <c r="R178" i="1"/>
  <c r="S178" i="1"/>
  <c r="T178" i="1"/>
  <c r="U178" i="1"/>
  <c r="V178" i="1"/>
  <c r="W178" i="1"/>
  <c r="X178" i="1"/>
  <c r="Y178" i="1"/>
  <c r="Z178" i="1"/>
  <c r="P179" i="1"/>
  <c r="Q179" i="1"/>
  <c r="R179" i="1"/>
  <c r="S179" i="1"/>
  <c r="T179" i="1"/>
  <c r="U179" i="1"/>
  <c r="V179" i="1"/>
  <c r="W179" i="1"/>
  <c r="X179" i="1"/>
  <c r="Y179" i="1"/>
  <c r="Z179" i="1"/>
  <c r="P180" i="1"/>
  <c r="Q180" i="1"/>
  <c r="R180" i="1"/>
  <c r="S180" i="1"/>
  <c r="T180" i="1"/>
  <c r="U180" i="1"/>
  <c r="V180" i="1"/>
  <c r="W180" i="1"/>
  <c r="X180" i="1"/>
  <c r="Y180" i="1"/>
  <c r="Z180" i="1"/>
  <c r="P181" i="1"/>
  <c r="Q181" i="1"/>
  <c r="R181" i="1"/>
  <c r="S181" i="1"/>
  <c r="T181" i="1"/>
  <c r="U181" i="1"/>
  <c r="V181" i="1"/>
  <c r="W181" i="1"/>
  <c r="X181" i="1"/>
  <c r="Y181" i="1"/>
  <c r="Z181" i="1"/>
  <c r="P182" i="1"/>
  <c r="Q182" i="1"/>
  <c r="R182" i="1"/>
  <c r="S182" i="1"/>
  <c r="T182" i="1"/>
  <c r="U182" i="1"/>
  <c r="V182" i="1"/>
  <c r="W182" i="1"/>
  <c r="X182" i="1"/>
  <c r="Y182" i="1"/>
  <c r="Z182" i="1"/>
  <c r="P183" i="1"/>
  <c r="Q183" i="1"/>
  <c r="R183" i="1"/>
  <c r="S183" i="1"/>
  <c r="T183" i="1"/>
  <c r="U183" i="1"/>
  <c r="V183" i="1"/>
  <c r="W183" i="1"/>
  <c r="X183" i="1"/>
  <c r="Y183" i="1"/>
  <c r="Z183" i="1"/>
  <c r="P184" i="1"/>
  <c r="Q184" i="1"/>
  <c r="R184" i="1"/>
  <c r="S184" i="1"/>
  <c r="T184" i="1"/>
  <c r="U184" i="1"/>
  <c r="V184" i="1"/>
  <c r="W184" i="1"/>
  <c r="X184" i="1"/>
  <c r="Y184" i="1"/>
  <c r="Z184" i="1"/>
  <c r="P185" i="1"/>
  <c r="Q185" i="1"/>
  <c r="R185" i="1"/>
  <c r="S185" i="1"/>
  <c r="T185" i="1"/>
  <c r="U185" i="1"/>
  <c r="V185" i="1"/>
  <c r="W185" i="1"/>
  <c r="X185" i="1"/>
  <c r="Y185" i="1"/>
  <c r="Z185" i="1"/>
  <c r="P186" i="1"/>
  <c r="Q186" i="1"/>
  <c r="R186" i="1"/>
  <c r="S186" i="1"/>
  <c r="T186" i="1"/>
  <c r="U186" i="1"/>
  <c r="V186" i="1"/>
  <c r="W186" i="1"/>
  <c r="X186" i="1"/>
  <c r="Y186" i="1"/>
  <c r="Z186" i="1"/>
  <c r="P187" i="1"/>
  <c r="Q187" i="1"/>
  <c r="R187" i="1"/>
  <c r="S187" i="1"/>
  <c r="T187" i="1"/>
  <c r="U187" i="1"/>
  <c r="V187" i="1"/>
  <c r="W187" i="1"/>
  <c r="X187" i="1"/>
  <c r="Y187" i="1"/>
  <c r="Z187" i="1"/>
  <c r="P188" i="1"/>
  <c r="Q188" i="1"/>
  <c r="R188" i="1"/>
  <c r="S188" i="1"/>
  <c r="T188" i="1"/>
  <c r="U188" i="1"/>
  <c r="V188" i="1"/>
  <c r="W188" i="1"/>
  <c r="X188" i="1"/>
  <c r="Y188" i="1"/>
  <c r="Z188" i="1"/>
  <c r="P189" i="1"/>
  <c r="Q189" i="1"/>
  <c r="R189" i="1"/>
  <c r="S189" i="1"/>
  <c r="T189" i="1"/>
  <c r="U189" i="1"/>
  <c r="V189" i="1"/>
  <c r="W189" i="1"/>
  <c r="X189" i="1"/>
  <c r="Y189" i="1"/>
  <c r="Z189" i="1"/>
  <c r="P190" i="1"/>
  <c r="Q190" i="1"/>
  <c r="R190" i="1"/>
  <c r="S190" i="1"/>
  <c r="T190" i="1"/>
  <c r="U190" i="1"/>
  <c r="V190" i="1"/>
  <c r="W190" i="1"/>
  <c r="X190" i="1"/>
  <c r="Y190" i="1"/>
  <c r="Z190" i="1"/>
  <c r="P191" i="1"/>
  <c r="Q191" i="1"/>
  <c r="R191" i="1"/>
  <c r="S191" i="1"/>
  <c r="T191" i="1"/>
  <c r="U191" i="1"/>
  <c r="V191" i="1"/>
  <c r="W191" i="1"/>
  <c r="X191" i="1"/>
  <c r="Y191" i="1"/>
  <c r="Z191" i="1"/>
  <c r="P192" i="1"/>
  <c r="Q192" i="1"/>
  <c r="R192" i="1"/>
  <c r="S192" i="1"/>
  <c r="T192" i="1"/>
  <c r="U192" i="1"/>
  <c r="V192" i="1"/>
  <c r="W192" i="1"/>
  <c r="X192" i="1"/>
  <c r="Y192" i="1"/>
  <c r="Z192" i="1"/>
  <c r="P193" i="1"/>
  <c r="Q193" i="1"/>
  <c r="R193" i="1"/>
  <c r="S193" i="1"/>
  <c r="T193" i="1"/>
  <c r="U193" i="1"/>
  <c r="V193" i="1"/>
  <c r="W193" i="1"/>
  <c r="X193" i="1"/>
  <c r="Y193" i="1"/>
  <c r="Z193" i="1"/>
  <c r="P194" i="1"/>
  <c r="Q194" i="1"/>
  <c r="R194" i="1"/>
  <c r="S194" i="1"/>
  <c r="T194" i="1"/>
  <c r="U194" i="1"/>
  <c r="V194" i="1"/>
  <c r="W194" i="1"/>
  <c r="X194" i="1"/>
  <c r="Y194" i="1"/>
  <c r="Z194" i="1"/>
  <c r="P195" i="1"/>
  <c r="Q195" i="1"/>
  <c r="R195" i="1"/>
  <c r="S195" i="1"/>
  <c r="T195" i="1"/>
  <c r="U195" i="1"/>
  <c r="V195" i="1"/>
  <c r="W195" i="1"/>
  <c r="X195" i="1"/>
  <c r="Y195" i="1"/>
  <c r="Z195" i="1"/>
  <c r="P196" i="1"/>
  <c r="Q196" i="1"/>
  <c r="R196" i="1"/>
  <c r="S196" i="1"/>
  <c r="T196" i="1"/>
  <c r="U196" i="1"/>
  <c r="V196" i="1"/>
  <c r="W196" i="1"/>
  <c r="X196" i="1"/>
  <c r="Y196" i="1"/>
  <c r="Z196" i="1"/>
  <c r="P197" i="1"/>
  <c r="Q197" i="1"/>
  <c r="R197" i="1"/>
  <c r="S197" i="1"/>
  <c r="T197" i="1"/>
  <c r="U197" i="1"/>
  <c r="V197" i="1"/>
  <c r="W197" i="1"/>
  <c r="X197" i="1"/>
  <c r="Y197" i="1"/>
  <c r="Z197" i="1"/>
  <c r="P198" i="1"/>
  <c r="Q198" i="1"/>
  <c r="R198" i="1"/>
  <c r="S198" i="1"/>
  <c r="T198" i="1"/>
  <c r="U198" i="1"/>
  <c r="V198" i="1"/>
  <c r="W198" i="1"/>
  <c r="X198" i="1"/>
  <c r="Y198" i="1"/>
  <c r="Z198" i="1"/>
  <c r="P199" i="1"/>
  <c r="Q199" i="1"/>
  <c r="R199" i="1"/>
  <c r="S199" i="1"/>
  <c r="T199" i="1"/>
  <c r="U199" i="1"/>
  <c r="V199" i="1"/>
  <c r="W199" i="1"/>
  <c r="X199" i="1"/>
  <c r="Y199" i="1"/>
  <c r="Z199" i="1"/>
  <c r="P200" i="1"/>
  <c r="Q200" i="1"/>
  <c r="R200" i="1"/>
  <c r="S200" i="1"/>
  <c r="T200" i="1"/>
  <c r="U200" i="1"/>
  <c r="V200" i="1"/>
  <c r="W200" i="1"/>
  <c r="X200" i="1"/>
  <c r="Y200" i="1"/>
  <c r="Z200" i="1"/>
  <c r="P201" i="1"/>
  <c r="Q201" i="1"/>
  <c r="R201" i="1"/>
  <c r="S201" i="1"/>
  <c r="T201" i="1"/>
  <c r="U201" i="1"/>
  <c r="V201" i="1"/>
  <c r="W201" i="1"/>
  <c r="X201" i="1"/>
  <c r="Y201" i="1"/>
  <c r="Z201" i="1"/>
  <c r="P202" i="1"/>
  <c r="Q202" i="1"/>
  <c r="R202" i="1"/>
  <c r="S202" i="1"/>
  <c r="T202" i="1"/>
  <c r="U202" i="1"/>
  <c r="V202" i="1"/>
  <c r="W202" i="1"/>
  <c r="X202" i="1"/>
  <c r="Y202" i="1"/>
  <c r="Z202" i="1"/>
  <c r="P203" i="1"/>
  <c r="Q203" i="1"/>
  <c r="R203" i="1"/>
  <c r="S203" i="1"/>
  <c r="T203" i="1"/>
  <c r="U203" i="1"/>
  <c r="V203" i="1"/>
  <c r="W203" i="1"/>
  <c r="X203" i="1"/>
  <c r="Y203" i="1"/>
  <c r="Z203" i="1"/>
  <c r="P204" i="1"/>
  <c r="Q204" i="1"/>
  <c r="R204" i="1"/>
  <c r="S204" i="1"/>
  <c r="T204" i="1"/>
  <c r="U204" i="1"/>
  <c r="V204" i="1"/>
  <c r="W204" i="1"/>
  <c r="X204" i="1"/>
  <c r="Y204" i="1"/>
  <c r="Z204" i="1"/>
  <c r="P205" i="1"/>
  <c r="Q205" i="1"/>
  <c r="R205" i="1"/>
  <c r="S205" i="1"/>
  <c r="T205" i="1"/>
  <c r="U205" i="1"/>
  <c r="V205" i="1"/>
  <c r="W205" i="1"/>
  <c r="X205" i="1"/>
  <c r="Y205" i="1"/>
  <c r="Z205" i="1"/>
  <c r="P206" i="1"/>
  <c r="Q206" i="1"/>
  <c r="R206" i="1"/>
  <c r="S206" i="1"/>
  <c r="T206" i="1"/>
  <c r="U206" i="1"/>
  <c r="V206" i="1"/>
  <c r="W206" i="1"/>
  <c r="X206" i="1"/>
  <c r="Y206" i="1"/>
  <c r="Z206" i="1"/>
  <c r="P207" i="1"/>
  <c r="Q207" i="1"/>
  <c r="R207" i="1"/>
  <c r="S207" i="1"/>
  <c r="T207" i="1"/>
  <c r="U207" i="1"/>
  <c r="V207" i="1"/>
  <c r="W207" i="1"/>
  <c r="X207" i="1"/>
  <c r="Y207" i="1"/>
  <c r="Z207" i="1"/>
  <c r="P208" i="1"/>
  <c r="Q208" i="1"/>
  <c r="R208" i="1"/>
  <c r="S208" i="1"/>
  <c r="T208" i="1"/>
  <c r="U208" i="1"/>
  <c r="V208" i="1"/>
  <c r="W208" i="1"/>
  <c r="X208" i="1"/>
  <c r="Y208" i="1"/>
  <c r="Z208" i="1"/>
  <c r="P209" i="1"/>
  <c r="Q209" i="1"/>
  <c r="R209" i="1"/>
  <c r="S209" i="1"/>
  <c r="T209" i="1"/>
  <c r="U209" i="1"/>
  <c r="V209" i="1"/>
  <c r="W209" i="1"/>
  <c r="X209" i="1"/>
  <c r="Y209" i="1"/>
  <c r="Z209" i="1"/>
  <c r="P210" i="1"/>
  <c r="Q210" i="1"/>
  <c r="R210" i="1"/>
  <c r="S210" i="1"/>
  <c r="T210" i="1"/>
  <c r="U210" i="1"/>
  <c r="V210" i="1"/>
  <c r="W210" i="1"/>
  <c r="X210" i="1"/>
  <c r="Y210" i="1"/>
  <c r="Z210" i="1"/>
  <c r="P211" i="1"/>
  <c r="Q211" i="1"/>
  <c r="R211" i="1"/>
  <c r="S211" i="1"/>
  <c r="T211" i="1"/>
  <c r="U211" i="1"/>
  <c r="V211" i="1"/>
  <c r="W211" i="1"/>
  <c r="X211" i="1"/>
  <c r="Y211" i="1"/>
  <c r="Z211" i="1"/>
  <c r="P212" i="1"/>
  <c r="Q212" i="1"/>
  <c r="R212" i="1"/>
  <c r="S212" i="1"/>
  <c r="T212" i="1"/>
  <c r="U212" i="1"/>
  <c r="V212" i="1"/>
  <c r="W212" i="1"/>
  <c r="X212" i="1"/>
  <c r="Y212" i="1"/>
  <c r="Z212" i="1"/>
  <c r="P213" i="1"/>
  <c r="Q213" i="1"/>
  <c r="R213" i="1"/>
  <c r="S213" i="1"/>
  <c r="T213" i="1"/>
  <c r="U213" i="1"/>
  <c r="V213" i="1"/>
  <c r="W213" i="1"/>
  <c r="X213" i="1"/>
  <c r="Y213" i="1"/>
  <c r="Z213" i="1"/>
  <c r="P214" i="1"/>
  <c r="Q214" i="1"/>
  <c r="R214" i="1"/>
  <c r="S214" i="1"/>
  <c r="T214" i="1"/>
  <c r="U214" i="1"/>
  <c r="V214" i="1"/>
  <c r="W214" i="1"/>
  <c r="X214" i="1"/>
  <c r="Y214" i="1"/>
  <c r="Z214" i="1"/>
  <c r="P215" i="1"/>
  <c r="Q215" i="1"/>
  <c r="R215" i="1"/>
  <c r="S215" i="1"/>
  <c r="T215" i="1"/>
  <c r="U215" i="1"/>
  <c r="V215" i="1"/>
  <c r="W215" i="1"/>
  <c r="X215" i="1"/>
  <c r="Y215" i="1"/>
  <c r="Z215" i="1"/>
  <c r="P216" i="1"/>
  <c r="Q216" i="1"/>
  <c r="R216" i="1"/>
  <c r="S216" i="1"/>
  <c r="T216" i="1"/>
  <c r="U216" i="1"/>
  <c r="V216" i="1"/>
  <c r="W216" i="1"/>
  <c r="X216" i="1"/>
  <c r="Y216" i="1"/>
  <c r="Z216" i="1"/>
  <c r="P217" i="1"/>
  <c r="Q217" i="1"/>
  <c r="R217" i="1"/>
  <c r="S217" i="1"/>
  <c r="T217" i="1"/>
  <c r="U217" i="1"/>
  <c r="V217" i="1"/>
  <c r="W217" i="1"/>
  <c r="X217" i="1"/>
  <c r="Y217" i="1"/>
  <c r="Z217" i="1"/>
  <c r="P218" i="1"/>
  <c r="Q218" i="1"/>
  <c r="R218" i="1"/>
  <c r="S218" i="1"/>
  <c r="T218" i="1"/>
  <c r="U218" i="1"/>
  <c r="V218" i="1"/>
  <c r="W218" i="1"/>
  <c r="X218" i="1"/>
  <c r="Y218" i="1"/>
  <c r="Z218" i="1"/>
  <c r="P219" i="1"/>
  <c r="Q219" i="1"/>
  <c r="R219" i="1"/>
  <c r="S219" i="1"/>
  <c r="T219" i="1"/>
  <c r="U219" i="1"/>
  <c r="V219" i="1"/>
  <c r="W219" i="1"/>
  <c r="X219" i="1"/>
  <c r="Y219" i="1"/>
  <c r="Z219" i="1"/>
  <c r="P220" i="1"/>
  <c r="Q220" i="1"/>
  <c r="R220" i="1"/>
  <c r="S220" i="1"/>
  <c r="T220" i="1"/>
  <c r="U220" i="1"/>
  <c r="V220" i="1"/>
  <c r="W220" i="1"/>
  <c r="X220" i="1"/>
  <c r="Y220" i="1"/>
  <c r="Z220" i="1"/>
  <c r="P221" i="1"/>
  <c r="Q221" i="1"/>
  <c r="R221" i="1"/>
  <c r="S221" i="1"/>
  <c r="T221" i="1"/>
  <c r="U221" i="1"/>
  <c r="V221" i="1"/>
  <c r="W221" i="1"/>
  <c r="X221" i="1"/>
  <c r="Y221" i="1"/>
  <c r="Z221" i="1"/>
  <c r="P222" i="1"/>
  <c r="Q222" i="1"/>
  <c r="R222" i="1"/>
  <c r="S222" i="1"/>
  <c r="T222" i="1"/>
  <c r="U222" i="1"/>
  <c r="V222" i="1"/>
  <c r="W222" i="1"/>
  <c r="X222" i="1"/>
  <c r="Y222" i="1"/>
  <c r="Z222" i="1"/>
  <c r="P223" i="1"/>
  <c r="Q223" i="1"/>
  <c r="R223" i="1"/>
  <c r="S223" i="1"/>
  <c r="T223" i="1"/>
  <c r="U223" i="1"/>
  <c r="V223" i="1"/>
  <c r="W223" i="1"/>
  <c r="X223" i="1"/>
  <c r="Y223" i="1"/>
  <c r="Z223" i="1"/>
  <c r="P224" i="1"/>
  <c r="Q224" i="1"/>
  <c r="R224" i="1"/>
  <c r="S224" i="1"/>
  <c r="T224" i="1"/>
  <c r="U224" i="1"/>
  <c r="V224" i="1"/>
  <c r="W224" i="1"/>
  <c r="X224" i="1"/>
  <c r="Y224" i="1"/>
  <c r="Z224" i="1"/>
  <c r="P225" i="1"/>
  <c r="Q225" i="1"/>
  <c r="R225" i="1"/>
  <c r="S225" i="1"/>
  <c r="T225" i="1"/>
  <c r="U225" i="1"/>
  <c r="V225" i="1"/>
  <c r="W225" i="1"/>
  <c r="X225" i="1"/>
  <c r="Y225" i="1"/>
  <c r="Z225" i="1"/>
  <c r="P226" i="1"/>
  <c r="Q226" i="1"/>
  <c r="R226" i="1"/>
  <c r="S226" i="1"/>
  <c r="T226" i="1"/>
  <c r="U226" i="1"/>
  <c r="V226" i="1"/>
  <c r="W226" i="1"/>
  <c r="X226" i="1"/>
  <c r="Y226" i="1"/>
  <c r="Z226" i="1"/>
  <c r="P227" i="1"/>
  <c r="Q227" i="1"/>
  <c r="R227" i="1"/>
  <c r="S227" i="1"/>
  <c r="T227" i="1"/>
  <c r="U227" i="1"/>
  <c r="V227" i="1"/>
  <c r="W227" i="1"/>
  <c r="X227" i="1"/>
  <c r="Y227" i="1"/>
  <c r="Z227" i="1"/>
  <c r="P228" i="1"/>
  <c r="Q228" i="1"/>
  <c r="R228" i="1"/>
  <c r="S228" i="1"/>
  <c r="T228" i="1"/>
  <c r="U228" i="1"/>
  <c r="V228" i="1"/>
  <c r="W228" i="1"/>
  <c r="X228" i="1"/>
  <c r="Y228" i="1"/>
  <c r="Z228" i="1"/>
  <c r="P229" i="1"/>
  <c r="Q229" i="1"/>
  <c r="R229" i="1"/>
  <c r="S229" i="1"/>
  <c r="T229" i="1"/>
  <c r="U229" i="1"/>
  <c r="V229" i="1"/>
  <c r="W229" i="1"/>
  <c r="X229" i="1"/>
  <c r="Y229" i="1"/>
  <c r="Z229" i="1"/>
  <c r="P230" i="1"/>
  <c r="Q230" i="1"/>
  <c r="R230" i="1"/>
  <c r="S230" i="1"/>
  <c r="T230" i="1"/>
  <c r="U230" i="1"/>
  <c r="V230" i="1"/>
  <c r="W230" i="1"/>
  <c r="X230" i="1"/>
  <c r="Y230" i="1"/>
  <c r="Z230" i="1"/>
  <c r="P231" i="1"/>
  <c r="Q231" i="1"/>
  <c r="R231" i="1"/>
  <c r="S231" i="1"/>
  <c r="T231" i="1"/>
  <c r="U231" i="1"/>
  <c r="V231" i="1"/>
  <c r="W231" i="1"/>
  <c r="X231" i="1"/>
  <c r="Y231" i="1"/>
  <c r="Z231" i="1"/>
  <c r="P232" i="1"/>
  <c r="Q232" i="1"/>
  <c r="R232" i="1"/>
  <c r="S232" i="1"/>
  <c r="T232" i="1"/>
  <c r="U232" i="1"/>
  <c r="V232" i="1"/>
  <c r="W232" i="1"/>
  <c r="X232" i="1"/>
  <c r="Y232" i="1"/>
  <c r="Z232" i="1"/>
  <c r="P233" i="1"/>
  <c r="Q233" i="1"/>
  <c r="R233" i="1"/>
  <c r="S233" i="1"/>
  <c r="T233" i="1"/>
  <c r="U233" i="1"/>
  <c r="V233" i="1"/>
  <c r="W233" i="1"/>
  <c r="X233" i="1"/>
  <c r="Y233" i="1"/>
  <c r="Z233" i="1"/>
  <c r="P234" i="1"/>
  <c r="Q234" i="1"/>
  <c r="R234" i="1"/>
  <c r="S234" i="1"/>
  <c r="T234" i="1"/>
  <c r="U234" i="1"/>
  <c r="V234" i="1"/>
  <c r="W234" i="1"/>
  <c r="X234" i="1"/>
  <c r="Y234" i="1"/>
  <c r="Z234" i="1"/>
  <c r="P235" i="1"/>
  <c r="Q235" i="1"/>
  <c r="R235" i="1"/>
  <c r="S235" i="1"/>
  <c r="T235" i="1"/>
  <c r="U235" i="1"/>
  <c r="V235" i="1"/>
  <c r="W235" i="1"/>
  <c r="X235" i="1"/>
  <c r="Y235" i="1"/>
  <c r="Z235" i="1"/>
  <c r="P236" i="1"/>
  <c r="Q236" i="1"/>
  <c r="R236" i="1"/>
  <c r="S236" i="1"/>
  <c r="T236" i="1"/>
  <c r="U236" i="1"/>
  <c r="V236" i="1"/>
  <c r="W236" i="1"/>
  <c r="X236" i="1"/>
  <c r="Y236" i="1"/>
  <c r="Z236" i="1"/>
  <c r="P237" i="1"/>
  <c r="Q237" i="1"/>
  <c r="R237" i="1"/>
  <c r="S237" i="1"/>
  <c r="T237" i="1"/>
  <c r="U237" i="1"/>
  <c r="V237" i="1"/>
  <c r="W237" i="1"/>
  <c r="X237" i="1"/>
  <c r="Y237" i="1"/>
  <c r="Z237" i="1"/>
  <c r="P238" i="1"/>
  <c r="Q238" i="1"/>
  <c r="R238" i="1"/>
  <c r="S238" i="1"/>
  <c r="T238" i="1"/>
  <c r="U238" i="1"/>
  <c r="V238" i="1"/>
  <c r="W238" i="1"/>
  <c r="X238" i="1"/>
  <c r="Y238" i="1"/>
  <c r="Z238" i="1"/>
  <c r="P239" i="1"/>
  <c r="Q239" i="1"/>
  <c r="R239" i="1"/>
  <c r="S239" i="1"/>
  <c r="T239" i="1"/>
  <c r="U239" i="1"/>
  <c r="V239" i="1"/>
  <c r="W239" i="1"/>
  <c r="X239" i="1"/>
  <c r="Y239" i="1"/>
  <c r="Z239" i="1"/>
  <c r="P240" i="1"/>
  <c r="Q240" i="1"/>
  <c r="R240" i="1"/>
  <c r="S240" i="1"/>
  <c r="T240" i="1"/>
  <c r="U240" i="1"/>
  <c r="V240" i="1"/>
  <c r="W240" i="1"/>
  <c r="X240" i="1"/>
  <c r="Y240" i="1"/>
  <c r="Z240" i="1"/>
  <c r="P241" i="1"/>
  <c r="Q241" i="1"/>
  <c r="R241" i="1"/>
  <c r="S241" i="1"/>
  <c r="T241" i="1"/>
  <c r="U241" i="1"/>
  <c r="V241" i="1"/>
  <c r="W241" i="1"/>
  <c r="X241" i="1"/>
  <c r="Y241" i="1"/>
  <c r="Z241" i="1"/>
  <c r="P242" i="1"/>
  <c r="Q242" i="1"/>
  <c r="R242" i="1"/>
  <c r="S242" i="1"/>
  <c r="T242" i="1"/>
  <c r="U242" i="1"/>
  <c r="V242" i="1"/>
  <c r="W242" i="1"/>
  <c r="X242" i="1"/>
  <c r="Y242" i="1"/>
  <c r="Z242" i="1"/>
  <c r="P243" i="1"/>
  <c r="Q243" i="1"/>
  <c r="R243" i="1"/>
  <c r="S243" i="1"/>
  <c r="T243" i="1"/>
  <c r="U243" i="1"/>
  <c r="V243" i="1"/>
  <c r="W243" i="1"/>
  <c r="X243" i="1"/>
  <c r="Y243" i="1"/>
  <c r="Z243" i="1"/>
  <c r="P244" i="1"/>
  <c r="Q244" i="1"/>
  <c r="R244" i="1"/>
  <c r="S244" i="1"/>
  <c r="T244" i="1"/>
  <c r="U244" i="1"/>
  <c r="V244" i="1"/>
  <c r="W244" i="1"/>
  <c r="X244" i="1"/>
  <c r="Y244" i="1"/>
  <c r="Z244" i="1"/>
  <c r="P245" i="1"/>
  <c r="Q245" i="1"/>
  <c r="R245" i="1"/>
  <c r="S245" i="1"/>
  <c r="T245" i="1"/>
  <c r="U245" i="1"/>
  <c r="V245" i="1"/>
  <c r="W245" i="1"/>
  <c r="X245" i="1"/>
  <c r="Y245" i="1"/>
  <c r="Z245" i="1"/>
  <c r="P246" i="1"/>
  <c r="Q246" i="1"/>
  <c r="R246" i="1"/>
  <c r="S246" i="1"/>
  <c r="T246" i="1"/>
  <c r="U246" i="1"/>
  <c r="V246" i="1"/>
  <c r="W246" i="1"/>
  <c r="X246" i="1"/>
  <c r="Y246" i="1"/>
  <c r="Z246" i="1"/>
  <c r="P247" i="1"/>
  <c r="Q247" i="1"/>
  <c r="R247" i="1"/>
  <c r="S247" i="1"/>
  <c r="T247" i="1"/>
  <c r="U247" i="1"/>
  <c r="V247" i="1"/>
  <c r="W247" i="1"/>
  <c r="X247" i="1"/>
  <c r="Y247" i="1"/>
  <c r="Z247" i="1"/>
  <c r="P248" i="1"/>
  <c r="Q248" i="1"/>
  <c r="R248" i="1"/>
  <c r="S248" i="1"/>
  <c r="T248" i="1"/>
  <c r="U248" i="1"/>
  <c r="V248" i="1"/>
  <c r="W248" i="1"/>
  <c r="X248" i="1"/>
  <c r="Y248" i="1"/>
  <c r="Z248" i="1"/>
  <c r="P249" i="1"/>
  <c r="Q249" i="1"/>
  <c r="R249" i="1"/>
  <c r="S249" i="1"/>
  <c r="T249" i="1"/>
  <c r="U249" i="1"/>
  <c r="V249" i="1"/>
  <c r="W249" i="1"/>
  <c r="X249" i="1"/>
  <c r="Y249" i="1"/>
  <c r="Z249" i="1"/>
  <c r="P250" i="1"/>
  <c r="Q250" i="1"/>
  <c r="R250" i="1"/>
  <c r="S250" i="1"/>
  <c r="T250" i="1"/>
  <c r="U250" i="1"/>
  <c r="V250" i="1"/>
  <c r="W250" i="1"/>
  <c r="X250" i="1"/>
  <c r="Y250" i="1"/>
  <c r="Z250" i="1"/>
  <c r="P251" i="1"/>
  <c r="Q251" i="1"/>
  <c r="R251" i="1"/>
  <c r="S251" i="1"/>
  <c r="T251" i="1"/>
  <c r="U251" i="1"/>
  <c r="V251" i="1"/>
  <c r="W251" i="1"/>
  <c r="X251" i="1"/>
  <c r="Y251" i="1"/>
  <c r="Z251" i="1"/>
  <c r="P252" i="1"/>
  <c r="Q252" i="1"/>
  <c r="R252" i="1"/>
  <c r="S252" i="1"/>
  <c r="T252" i="1"/>
  <c r="U252" i="1"/>
  <c r="V252" i="1"/>
  <c r="W252" i="1"/>
  <c r="X252" i="1"/>
  <c r="Y252" i="1"/>
  <c r="Z252" i="1"/>
  <c r="P253" i="1"/>
  <c r="Q253" i="1"/>
  <c r="R253" i="1"/>
  <c r="S253" i="1"/>
  <c r="T253" i="1"/>
  <c r="U253" i="1"/>
  <c r="V253" i="1"/>
  <c r="W253" i="1"/>
  <c r="X253" i="1"/>
  <c r="Y253" i="1"/>
  <c r="Z253" i="1"/>
  <c r="P254" i="1"/>
  <c r="Q254" i="1"/>
  <c r="R254" i="1"/>
  <c r="S254" i="1"/>
  <c r="T254" i="1"/>
  <c r="U254" i="1"/>
  <c r="V254" i="1"/>
  <c r="W254" i="1"/>
  <c r="X254" i="1"/>
  <c r="Y254" i="1"/>
  <c r="Z254" i="1"/>
  <c r="P255" i="1"/>
  <c r="Q255" i="1"/>
  <c r="R255" i="1"/>
  <c r="S255" i="1"/>
  <c r="T255" i="1"/>
  <c r="U255" i="1"/>
  <c r="V255" i="1"/>
  <c r="W255" i="1"/>
  <c r="X255" i="1"/>
  <c r="Y255" i="1"/>
  <c r="Z255" i="1"/>
  <c r="P256" i="1"/>
  <c r="Q256" i="1"/>
  <c r="R256" i="1"/>
  <c r="S256" i="1"/>
  <c r="T256" i="1"/>
  <c r="U256" i="1"/>
  <c r="V256" i="1"/>
  <c r="W256" i="1"/>
  <c r="X256" i="1"/>
  <c r="Y256" i="1"/>
  <c r="Z256" i="1"/>
  <c r="P257" i="1"/>
  <c r="Q257" i="1"/>
  <c r="R257" i="1"/>
  <c r="S257" i="1"/>
  <c r="T257" i="1"/>
  <c r="U257" i="1"/>
  <c r="V257" i="1"/>
  <c r="W257" i="1"/>
  <c r="X257" i="1"/>
  <c r="Y257" i="1"/>
  <c r="Z257" i="1"/>
  <c r="P258" i="1"/>
  <c r="Q258" i="1"/>
  <c r="R258" i="1"/>
  <c r="S258" i="1"/>
  <c r="T258" i="1"/>
  <c r="U258" i="1"/>
  <c r="V258" i="1"/>
  <c r="W258" i="1"/>
  <c r="X258" i="1"/>
  <c r="Y258" i="1"/>
  <c r="Z258" i="1"/>
  <c r="P259" i="1"/>
  <c r="Q259" i="1"/>
  <c r="R259" i="1"/>
  <c r="S259" i="1"/>
  <c r="T259" i="1"/>
  <c r="U259" i="1"/>
  <c r="V259" i="1"/>
  <c r="W259" i="1"/>
  <c r="X259" i="1"/>
  <c r="Y259" i="1"/>
  <c r="Z259" i="1"/>
  <c r="P260" i="1"/>
  <c r="Q260" i="1"/>
  <c r="R260" i="1"/>
  <c r="S260" i="1"/>
  <c r="T260" i="1"/>
  <c r="U260" i="1"/>
  <c r="V260" i="1"/>
  <c r="W260" i="1"/>
  <c r="X260" i="1"/>
  <c r="Y260" i="1"/>
  <c r="Z260" i="1"/>
  <c r="P261" i="1"/>
  <c r="Q261" i="1"/>
  <c r="R261" i="1"/>
  <c r="S261" i="1"/>
  <c r="T261" i="1"/>
  <c r="U261" i="1"/>
  <c r="V261" i="1"/>
  <c r="W261" i="1"/>
  <c r="X261" i="1"/>
  <c r="Y261" i="1"/>
  <c r="Z261" i="1"/>
  <c r="P262" i="1"/>
  <c r="Q262" i="1"/>
  <c r="R262" i="1"/>
  <c r="S262" i="1"/>
  <c r="T262" i="1"/>
  <c r="U262" i="1"/>
  <c r="V262" i="1"/>
  <c r="W262" i="1"/>
  <c r="X262" i="1"/>
  <c r="Y262" i="1"/>
  <c r="Z262" i="1"/>
  <c r="P263" i="1"/>
  <c r="Q263" i="1"/>
  <c r="R263" i="1"/>
  <c r="S263" i="1"/>
  <c r="T263" i="1"/>
  <c r="U263" i="1"/>
  <c r="V263" i="1"/>
  <c r="W263" i="1"/>
  <c r="X263" i="1"/>
  <c r="Y263" i="1"/>
  <c r="Z263" i="1"/>
  <c r="P264" i="1"/>
  <c r="Q264" i="1"/>
  <c r="R264" i="1"/>
  <c r="S264" i="1"/>
  <c r="T264" i="1"/>
  <c r="U264" i="1"/>
  <c r="V264" i="1"/>
  <c r="W264" i="1"/>
  <c r="X264" i="1"/>
  <c r="Y264" i="1"/>
  <c r="Z264" i="1"/>
  <c r="P265" i="1"/>
  <c r="Q265" i="1"/>
  <c r="R265" i="1"/>
  <c r="S265" i="1"/>
  <c r="T265" i="1"/>
  <c r="U265" i="1"/>
  <c r="V265" i="1"/>
  <c r="W265" i="1"/>
  <c r="X265" i="1"/>
  <c r="Y265" i="1"/>
  <c r="Z265" i="1"/>
  <c r="P266" i="1"/>
  <c r="Q266" i="1"/>
  <c r="R266" i="1"/>
  <c r="S266" i="1"/>
  <c r="T266" i="1"/>
  <c r="U266" i="1"/>
  <c r="V266" i="1"/>
  <c r="W266" i="1"/>
  <c r="X266" i="1"/>
  <c r="Y266" i="1"/>
  <c r="Z266" i="1"/>
  <c r="P267" i="1"/>
  <c r="Q267" i="1"/>
  <c r="R267" i="1"/>
  <c r="S267" i="1"/>
  <c r="T267" i="1"/>
  <c r="U267" i="1"/>
  <c r="V267" i="1"/>
  <c r="W267" i="1"/>
  <c r="X267" i="1"/>
  <c r="Y267" i="1"/>
  <c r="Z267" i="1"/>
  <c r="P268" i="1"/>
  <c r="Q268" i="1"/>
  <c r="R268" i="1"/>
  <c r="S268" i="1"/>
  <c r="T268" i="1"/>
  <c r="U268" i="1"/>
  <c r="V268" i="1"/>
  <c r="W268" i="1"/>
  <c r="X268" i="1"/>
  <c r="Y268" i="1"/>
  <c r="Z268" i="1"/>
  <c r="P269" i="1"/>
  <c r="Q269" i="1"/>
  <c r="R269" i="1"/>
  <c r="S269" i="1"/>
  <c r="T269" i="1"/>
  <c r="U269" i="1"/>
  <c r="V269" i="1"/>
  <c r="W269" i="1"/>
  <c r="X269" i="1"/>
  <c r="Y269" i="1"/>
  <c r="Z269" i="1"/>
  <c r="P270" i="1"/>
  <c r="Q270" i="1"/>
  <c r="R270" i="1"/>
  <c r="S270" i="1"/>
  <c r="T270" i="1"/>
  <c r="U270" i="1"/>
  <c r="V270" i="1"/>
  <c r="W270" i="1"/>
  <c r="X270" i="1"/>
  <c r="Y270" i="1"/>
  <c r="Z270" i="1"/>
  <c r="P271" i="1"/>
  <c r="Q271" i="1"/>
  <c r="R271" i="1"/>
  <c r="S271" i="1"/>
  <c r="T271" i="1"/>
  <c r="U271" i="1"/>
  <c r="V271" i="1"/>
  <c r="W271" i="1"/>
  <c r="X271" i="1"/>
  <c r="Y271" i="1"/>
  <c r="Z271" i="1"/>
  <c r="P272" i="1"/>
  <c r="Q272" i="1"/>
  <c r="R272" i="1"/>
  <c r="S272" i="1"/>
  <c r="T272" i="1"/>
  <c r="U272" i="1"/>
  <c r="V272" i="1"/>
  <c r="W272" i="1"/>
  <c r="X272" i="1"/>
  <c r="Y272" i="1"/>
  <c r="Z272" i="1"/>
  <c r="P273" i="1"/>
  <c r="Q273" i="1"/>
  <c r="R273" i="1"/>
  <c r="S273" i="1"/>
  <c r="T273" i="1"/>
  <c r="U273" i="1"/>
  <c r="V273" i="1"/>
  <c r="W273" i="1"/>
  <c r="X273" i="1"/>
  <c r="Y273" i="1"/>
  <c r="Z273" i="1"/>
  <c r="P274" i="1"/>
  <c r="Q274" i="1"/>
  <c r="R274" i="1"/>
  <c r="S274" i="1"/>
  <c r="T274" i="1"/>
  <c r="U274" i="1"/>
  <c r="V274" i="1"/>
  <c r="W274" i="1"/>
  <c r="X274" i="1"/>
  <c r="Y274" i="1"/>
  <c r="Z274" i="1"/>
  <c r="P275" i="1"/>
  <c r="Q275" i="1"/>
  <c r="R275" i="1"/>
  <c r="S275" i="1"/>
  <c r="T275" i="1"/>
  <c r="U275" i="1"/>
  <c r="V275" i="1"/>
  <c r="W275" i="1"/>
  <c r="X275" i="1"/>
  <c r="Y275" i="1"/>
  <c r="Z275" i="1"/>
  <c r="P276" i="1"/>
  <c r="Q276" i="1"/>
  <c r="R276" i="1"/>
  <c r="S276" i="1"/>
  <c r="T276" i="1"/>
  <c r="U276" i="1"/>
  <c r="V276" i="1"/>
  <c r="W276" i="1"/>
  <c r="X276" i="1"/>
  <c r="Y276" i="1"/>
  <c r="Z276" i="1"/>
  <c r="P277" i="1"/>
  <c r="Q277" i="1"/>
  <c r="R277" i="1"/>
  <c r="S277" i="1"/>
  <c r="T277" i="1"/>
  <c r="U277" i="1"/>
  <c r="V277" i="1"/>
  <c r="W277" i="1"/>
  <c r="X277" i="1"/>
  <c r="Y277" i="1"/>
  <c r="Z277" i="1"/>
  <c r="P278" i="1"/>
  <c r="Q278" i="1"/>
  <c r="R278" i="1"/>
  <c r="S278" i="1"/>
  <c r="T278" i="1"/>
  <c r="U278" i="1"/>
  <c r="V278" i="1"/>
  <c r="W278" i="1"/>
  <c r="X278" i="1"/>
  <c r="Y278" i="1"/>
  <c r="Z278" i="1"/>
  <c r="P279" i="1"/>
  <c r="Q279" i="1"/>
  <c r="R279" i="1"/>
  <c r="S279" i="1"/>
  <c r="T279" i="1"/>
  <c r="U279" i="1"/>
  <c r="V279" i="1"/>
  <c r="W279" i="1"/>
  <c r="X279" i="1"/>
  <c r="Y279" i="1"/>
  <c r="Z279" i="1"/>
  <c r="P280" i="1"/>
  <c r="Q280" i="1"/>
  <c r="R280" i="1"/>
  <c r="S280" i="1"/>
  <c r="T280" i="1"/>
  <c r="U280" i="1"/>
  <c r="V280" i="1"/>
  <c r="W280" i="1"/>
  <c r="X280" i="1"/>
  <c r="Y280" i="1"/>
  <c r="Z280" i="1"/>
  <c r="P281" i="1"/>
  <c r="Q281" i="1"/>
  <c r="R281" i="1"/>
  <c r="S281" i="1"/>
  <c r="T281" i="1"/>
  <c r="U281" i="1"/>
  <c r="V281" i="1"/>
  <c r="W281" i="1"/>
  <c r="X281" i="1"/>
  <c r="Y281" i="1"/>
  <c r="Z281" i="1"/>
  <c r="P282" i="1"/>
  <c r="Q282" i="1"/>
  <c r="R282" i="1"/>
  <c r="S282" i="1"/>
  <c r="T282" i="1"/>
  <c r="U282" i="1"/>
  <c r="V282" i="1"/>
  <c r="W282" i="1"/>
  <c r="X282" i="1"/>
  <c r="Y282" i="1"/>
  <c r="Z282" i="1"/>
  <c r="P283" i="1"/>
  <c r="Q283" i="1"/>
  <c r="R283" i="1"/>
  <c r="S283" i="1"/>
  <c r="T283" i="1"/>
  <c r="U283" i="1"/>
  <c r="V283" i="1"/>
  <c r="W283" i="1"/>
  <c r="X283" i="1"/>
  <c r="Y283" i="1"/>
  <c r="Z283" i="1"/>
  <c r="P284" i="1"/>
  <c r="Q284" i="1"/>
  <c r="R284" i="1"/>
  <c r="S284" i="1"/>
  <c r="T284" i="1"/>
  <c r="U284" i="1"/>
  <c r="V284" i="1"/>
  <c r="W284" i="1"/>
  <c r="X284" i="1"/>
  <c r="Y284" i="1"/>
  <c r="Z284" i="1"/>
  <c r="P285" i="1"/>
  <c r="Q285" i="1"/>
  <c r="R285" i="1"/>
  <c r="S285" i="1"/>
  <c r="T285" i="1"/>
  <c r="U285" i="1"/>
  <c r="V285" i="1"/>
  <c r="W285" i="1"/>
  <c r="X285" i="1"/>
  <c r="Y285" i="1"/>
  <c r="Z285" i="1"/>
  <c r="P286" i="1"/>
  <c r="Q286" i="1"/>
  <c r="R286" i="1"/>
  <c r="S286" i="1"/>
  <c r="T286" i="1"/>
  <c r="U286" i="1"/>
  <c r="V286" i="1"/>
  <c r="W286" i="1"/>
  <c r="X286" i="1"/>
  <c r="Y286" i="1"/>
  <c r="Z286" i="1"/>
  <c r="P287" i="1"/>
  <c r="Q287" i="1"/>
  <c r="R287" i="1"/>
  <c r="S287" i="1"/>
  <c r="T287" i="1"/>
  <c r="U287" i="1"/>
  <c r="V287" i="1"/>
  <c r="W287" i="1"/>
  <c r="X287" i="1"/>
  <c r="Y287" i="1"/>
  <c r="Z287" i="1"/>
  <c r="P288" i="1"/>
  <c r="Q288" i="1"/>
  <c r="R288" i="1"/>
  <c r="S288" i="1"/>
  <c r="T288" i="1"/>
  <c r="U288" i="1"/>
  <c r="V288" i="1"/>
  <c r="W288" i="1"/>
  <c r="X288" i="1"/>
  <c r="Y288" i="1"/>
  <c r="Z288" i="1"/>
  <c r="P289" i="1"/>
  <c r="Q289" i="1"/>
  <c r="R289" i="1"/>
  <c r="S289" i="1"/>
  <c r="T289" i="1"/>
  <c r="U289" i="1"/>
  <c r="V289" i="1"/>
  <c r="W289" i="1"/>
  <c r="X289" i="1"/>
  <c r="Y289" i="1"/>
  <c r="Z289" i="1"/>
  <c r="P290" i="1"/>
  <c r="Q290" i="1"/>
  <c r="R290" i="1"/>
  <c r="S290" i="1"/>
  <c r="T290" i="1"/>
  <c r="U290" i="1"/>
  <c r="V290" i="1"/>
  <c r="W290" i="1"/>
  <c r="X290" i="1"/>
  <c r="Y290" i="1"/>
  <c r="Z290" i="1"/>
  <c r="P291" i="1"/>
  <c r="Q291" i="1"/>
  <c r="R291" i="1"/>
  <c r="S291" i="1"/>
  <c r="T291" i="1"/>
  <c r="U291" i="1"/>
  <c r="V291" i="1"/>
  <c r="W291" i="1"/>
  <c r="X291" i="1"/>
  <c r="Y291" i="1"/>
  <c r="Z291" i="1"/>
  <c r="P292" i="1"/>
  <c r="Q292" i="1"/>
  <c r="R292" i="1"/>
  <c r="S292" i="1"/>
  <c r="T292" i="1"/>
  <c r="U292" i="1"/>
  <c r="V292" i="1"/>
  <c r="W292" i="1"/>
  <c r="X292" i="1"/>
  <c r="Y292" i="1"/>
  <c r="Z292" i="1"/>
  <c r="P293" i="1"/>
  <c r="Q293" i="1"/>
  <c r="R293" i="1"/>
  <c r="S293" i="1"/>
  <c r="T293" i="1"/>
  <c r="U293" i="1"/>
  <c r="V293" i="1"/>
  <c r="W293" i="1"/>
  <c r="X293" i="1"/>
  <c r="Y293" i="1"/>
  <c r="Z293" i="1"/>
  <c r="P294" i="1"/>
  <c r="Q294" i="1"/>
  <c r="R294" i="1"/>
  <c r="S294" i="1"/>
  <c r="T294" i="1"/>
  <c r="U294" i="1"/>
  <c r="V294" i="1"/>
  <c r="W294" i="1"/>
  <c r="X294" i="1"/>
  <c r="Y294" i="1"/>
  <c r="Z294" i="1"/>
  <c r="P295" i="1"/>
  <c r="Q295" i="1"/>
  <c r="R295" i="1"/>
  <c r="S295" i="1"/>
  <c r="T295" i="1"/>
  <c r="U295" i="1"/>
  <c r="V295" i="1"/>
  <c r="W295" i="1"/>
  <c r="X295" i="1"/>
  <c r="Y295" i="1"/>
  <c r="Z295" i="1"/>
  <c r="P296" i="1"/>
  <c r="Q296" i="1"/>
  <c r="R296" i="1"/>
  <c r="S296" i="1"/>
  <c r="T296" i="1"/>
  <c r="U296" i="1"/>
  <c r="V296" i="1"/>
  <c r="W296" i="1"/>
  <c r="X296" i="1"/>
  <c r="Y296" i="1"/>
  <c r="Z296" i="1"/>
  <c r="P297" i="1"/>
  <c r="Q297" i="1"/>
  <c r="R297" i="1"/>
  <c r="S297" i="1"/>
  <c r="T297" i="1"/>
  <c r="U297" i="1"/>
  <c r="V297" i="1"/>
  <c r="W297" i="1"/>
  <c r="X297" i="1"/>
  <c r="Y297" i="1"/>
  <c r="Z297" i="1"/>
  <c r="P298" i="1"/>
  <c r="Q298" i="1"/>
  <c r="R298" i="1"/>
  <c r="S298" i="1"/>
  <c r="T298" i="1"/>
  <c r="U298" i="1"/>
  <c r="V298" i="1"/>
  <c r="W298" i="1"/>
  <c r="X298" i="1"/>
  <c r="Y298" i="1"/>
  <c r="Z298" i="1"/>
  <c r="P299" i="1"/>
  <c r="Q299" i="1"/>
  <c r="R299" i="1"/>
  <c r="S299" i="1"/>
  <c r="T299" i="1"/>
  <c r="U299" i="1"/>
  <c r="V299" i="1"/>
  <c r="W299" i="1"/>
  <c r="X299" i="1"/>
  <c r="Y299" i="1"/>
  <c r="Z299" i="1"/>
  <c r="P300" i="1"/>
  <c r="Q300" i="1"/>
  <c r="R300" i="1"/>
  <c r="S300" i="1"/>
  <c r="T300" i="1"/>
  <c r="U300" i="1"/>
  <c r="V300" i="1"/>
  <c r="W300" i="1"/>
  <c r="X300" i="1"/>
  <c r="Y300" i="1"/>
  <c r="Z300" i="1"/>
  <c r="P301" i="1"/>
  <c r="Q301" i="1"/>
  <c r="R301" i="1"/>
  <c r="S301" i="1"/>
  <c r="T301" i="1"/>
  <c r="U301" i="1"/>
  <c r="V301" i="1"/>
  <c r="W301" i="1"/>
  <c r="X301" i="1"/>
  <c r="Y301" i="1"/>
  <c r="Z301" i="1"/>
  <c r="P302" i="1"/>
  <c r="Q302" i="1"/>
  <c r="R302" i="1"/>
  <c r="S302" i="1"/>
  <c r="T302" i="1"/>
  <c r="U302" i="1"/>
  <c r="V302" i="1"/>
  <c r="W302" i="1"/>
  <c r="X302" i="1"/>
  <c r="Y302" i="1"/>
  <c r="Z302" i="1"/>
  <c r="P303" i="1"/>
  <c r="Q303" i="1"/>
  <c r="R303" i="1"/>
  <c r="S303" i="1"/>
  <c r="T303" i="1"/>
  <c r="U303" i="1"/>
  <c r="V303" i="1"/>
  <c r="W303" i="1"/>
  <c r="X303" i="1"/>
  <c r="Y303" i="1"/>
  <c r="Z303" i="1"/>
  <c r="P304" i="1"/>
  <c r="Q304" i="1"/>
  <c r="R304" i="1"/>
  <c r="S304" i="1"/>
  <c r="T304" i="1"/>
  <c r="U304" i="1"/>
  <c r="V304" i="1"/>
  <c r="W304" i="1"/>
  <c r="X304" i="1"/>
  <c r="Y304" i="1"/>
  <c r="Z304" i="1"/>
  <c r="P305" i="1"/>
  <c r="Q305" i="1"/>
  <c r="R305" i="1"/>
  <c r="S305" i="1"/>
  <c r="T305" i="1"/>
  <c r="U305" i="1"/>
  <c r="V305" i="1"/>
  <c r="W305" i="1"/>
  <c r="X305" i="1"/>
  <c r="Y305" i="1"/>
  <c r="Z305" i="1"/>
  <c r="P306" i="1"/>
  <c r="Q306" i="1"/>
  <c r="R306" i="1"/>
  <c r="S306" i="1"/>
  <c r="T306" i="1"/>
  <c r="U306" i="1"/>
  <c r="V306" i="1"/>
  <c r="W306" i="1"/>
  <c r="X306" i="1"/>
  <c r="Y306" i="1"/>
  <c r="Z306" i="1"/>
  <c r="P307" i="1"/>
  <c r="Q307" i="1"/>
  <c r="R307" i="1"/>
  <c r="S307" i="1"/>
  <c r="T307" i="1"/>
  <c r="U307" i="1"/>
  <c r="V307" i="1"/>
  <c r="W307" i="1"/>
  <c r="X307" i="1"/>
  <c r="Y307" i="1"/>
  <c r="Z307" i="1"/>
  <c r="P308" i="1"/>
  <c r="Q308" i="1"/>
  <c r="R308" i="1"/>
  <c r="S308" i="1"/>
  <c r="T308" i="1"/>
  <c r="U308" i="1"/>
  <c r="V308" i="1"/>
  <c r="W308" i="1"/>
  <c r="X308" i="1"/>
  <c r="Y308" i="1"/>
  <c r="Z308" i="1"/>
  <c r="P309" i="1"/>
  <c r="Q309" i="1"/>
  <c r="R309" i="1"/>
  <c r="S309" i="1"/>
  <c r="T309" i="1"/>
  <c r="U309" i="1"/>
  <c r="V309" i="1"/>
  <c r="W309" i="1"/>
  <c r="X309" i="1"/>
  <c r="Y309" i="1"/>
  <c r="Z309" i="1"/>
  <c r="P310" i="1"/>
  <c r="Q310" i="1"/>
  <c r="R310" i="1"/>
  <c r="S310" i="1"/>
  <c r="T310" i="1"/>
  <c r="U310" i="1"/>
  <c r="V310" i="1"/>
  <c r="W310" i="1"/>
  <c r="X310" i="1"/>
  <c r="Y310" i="1"/>
  <c r="Z310" i="1"/>
  <c r="P311" i="1"/>
  <c r="Q311" i="1"/>
  <c r="R311" i="1"/>
  <c r="S311" i="1"/>
  <c r="T311" i="1"/>
  <c r="U311" i="1"/>
  <c r="V311" i="1"/>
  <c r="W311" i="1"/>
  <c r="X311" i="1"/>
  <c r="Y311" i="1"/>
  <c r="Z311" i="1"/>
  <c r="P312" i="1"/>
  <c r="Q312" i="1"/>
  <c r="R312" i="1"/>
  <c r="S312" i="1"/>
  <c r="T312" i="1"/>
  <c r="U312" i="1"/>
  <c r="V312" i="1"/>
  <c r="W312" i="1"/>
  <c r="X312" i="1"/>
  <c r="Y312" i="1"/>
  <c r="Z312" i="1"/>
  <c r="P313" i="1"/>
  <c r="Q313" i="1"/>
  <c r="R313" i="1"/>
  <c r="S313" i="1"/>
  <c r="T313" i="1"/>
  <c r="U313" i="1"/>
  <c r="V313" i="1"/>
  <c r="W313" i="1"/>
  <c r="X313" i="1"/>
  <c r="Y313" i="1"/>
  <c r="Z313" i="1"/>
  <c r="P314" i="1"/>
  <c r="Q314" i="1"/>
  <c r="R314" i="1"/>
  <c r="S314" i="1"/>
  <c r="T314" i="1"/>
  <c r="U314" i="1"/>
  <c r="V314" i="1"/>
  <c r="W314" i="1"/>
  <c r="X314" i="1"/>
  <c r="Y314" i="1"/>
  <c r="Z314" i="1"/>
  <c r="P315" i="1"/>
  <c r="Q315" i="1"/>
  <c r="R315" i="1"/>
  <c r="S315" i="1"/>
  <c r="T315" i="1"/>
  <c r="U315" i="1"/>
  <c r="V315" i="1"/>
  <c r="W315" i="1"/>
  <c r="X315" i="1"/>
  <c r="Y315" i="1"/>
  <c r="Z315" i="1"/>
  <c r="P316" i="1"/>
  <c r="Q316" i="1"/>
  <c r="R316" i="1"/>
  <c r="S316" i="1"/>
  <c r="T316" i="1"/>
  <c r="U316" i="1"/>
  <c r="V316" i="1"/>
  <c r="W316" i="1"/>
  <c r="X316" i="1"/>
  <c r="Y316" i="1"/>
  <c r="Z316" i="1"/>
  <c r="P317" i="1"/>
  <c r="Q317" i="1"/>
  <c r="R317" i="1"/>
  <c r="S317" i="1"/>
  <c r="T317" i="1"/>
  <c r="U317" i="1"/>
  <c r="V317" i="1"/>
  <c r="W317" i="1"/>
  <c r="X317" i="1"/>
  <c r="Y317" i="1"/>
  <c r="Z317" i="1"/>
  <c r="P318" i="1"/>
  <c r="Q318" i="1"/>
  <c r="R318" i="1"/>
  <c r="S318" i="1"/>
  <c r="T318" i="1"/>
  <c r="U318" i="1"/>
  <c r="V318" i="1"/>
  <c r="W318" i="1"/>
  <c r="X318" i="1"/>
  <c r="Y318" i="1"/>
  <c r="Z318" i="1"/>
  <c r="P319" i="1"/>
  <c r="Q319" i="1"/>
  <c r="R319" i="1"/>
  <c r="S319" i="1"/>
  <c r="T319" i="1"/>
  <c r="U319" i="1"/>
  <c r="V319" i="1"/>
  <c r="W319" i="1"/>
  <c r="X319" i="1"/>
  <c r="Y319" i="1"/>
  <c r="Z319" i="1"/>
  <c r="P320" i="1"/>
  <c r="Q320" i="1"/>
  <c r="R320" i="1"/>
  <c r="S320" i="1"/>
  <c r="T320" i="1"/>
  <c r="U320" i="1"/>
  <c r="V320" i="1"/>
  <c r="W320" i="1"/>
  <c r="X320" i="1"/>
  <c r="Y320" i="1"/>
  <c r="Z320" i="1"/>
  <c r="P321" i="1"/>
  <c r="Q321" i="1"/>
  <c r="R321" i="1"/>
  <c r="S321" i="1"/>
  <c r="T321" i="1"/>
  <c r="U321" i="1"/>
  <c r="V321" i="1"/>
  <c r="W321" i="1"/>
  <c r="X321" i="1"/>
  <c r="Y321" i="1"/>
  <c r="Z321" i="1"/>
  <c r="P322" i="1"/>
  <c r="Q322" i="1"/>
  <c r="R322" i="1"/>
  <c r="S322" i="1"/>
  <c r="T322" i="1"/>
  <c r="U322" i="1"/>
  <c r="V322" i="1"/>
  <c r="W322" i="1"/>
  <c r="X322" i="1"/>
  <c r="Y322" i="1"/>
  <c r="Z322" i="1"/>
  <c r="P323" i="1"/>
  <c r="Q323" i="1"/>
  <c r="R323" i="1"/>
  <c r="S323" i="1"/>
  <c r="T323" i="1"/>
  <c r="U323" i="1"/>
  <c r="V323" i="1"/>
  <c r="W323" i="1"/>
  <c r="X323" i="1"/>
  <c r="Y323" i="1"/>
  <c r="Z323" i="1"/>
  <c r="P324" i="1"/>
  <c r="Q324" i="1"/>
  <c r="R324" i="1"/>
  <c r="S324" i="1"/>
  <c r="T324" i="1"/>
  <c r="U324" i="1"/>
  <c r="V324" i="1"/>
  <c r="W324" i="1"/>
  <c r="X324" i="1"/>
  <c r="Y324" i="1"/>
  <c r="Z324" i="1"/>
  <c r="P325" i="1"/>
  <c r="Q325" i="1"/>
  <c r="R325" i="1"/>
  <c r="S325" i="1"/>
  <c r="T325" i="1"/>
  <c r="U325" i="1"/>
  <c r="V325" i="1"/>
  <c r="W325" i="1"/>
  <c r="X325" i="1"/>
  <c r="Y325" i="1"/>
  <c r="Z325" i="1"/>
  <c r="P326" i="1"/>
  <c r="Q326" i="1"/>
  <c r="R326" i="1"/>
  <c r="S326" i="1"/>
  <c r="T326" i="1"/>
  <c r="U326" i="1"/>
  <c r="V326" i="1"/>
  <c r="W326" i="1"/>
  <c r="X326" i="1"/>
  <c r="Y326" i="1"/>
  <c r="Z326" i="1"/>
  <c r="P327" i="1"/>
  <c r="Q327" i="1"/>
  <c r="R327" i="1"/>
  <c r="S327" i="1"/>
  <c r="T327" i="1"/>
  <c r="U327" i="1"/>
  <c r="V327" i="1"/>
  <c r="W327" i="1"/>
  <c r="X327" i="1"/>
  <c r="Y327" i="1"/>
  <c r="Z327" i="1"/>
  <c r="P328" i="1"/>
  <c r="Q328" i="1"/>
  <c r="R328" i="1"/>
  <c r="S328" i="1"/>
  <c r="T328" i="1"/>
  <c r="U328" i="1"/>
  <c r="V328" i="1"/>
  <c r="W328" i="1"/>
  <c r="X328" i="1"/>
  <c r="Y328" i="1"/>
  <c r="Z328" i="1"/>
  <c r="P329" i="1"/>
  <c r="Q329" i="1"/>
  <c r="R329" i="1"/>
  <c r="S329" i="1"/>
  <c r="T329" i="1"/>
  <c r="U329" i="1"/>
  <c r="V329" i="1"/>
  <c r="W329" i="1"/>
  <c r="X329" i="1"/>
  <c r="Y329" i="1"/>
  <c r="Z329" i="1"/>
  <c r="P330" i="1"/>
  <c r="Q330" i="1"/>
  <c r="R330" i="1"/>
  <c r="S330" i="1"/>
  <c r="T330" i="1"/>
  <c r="U330" i="1"/>
  <c r="V330" i="1"/>
  <c r="W330" i="1"/>
  <c r="X330" i="1"/>
  <c r="Y330" i="1"/>
  <c r="Z330" i="1"/>
  <c r="P331" i="1"/>
  <c r="Q331" i="1"/>
  <c r="R331" i="1"/>
  <c r="S331" i="1"/>
  <c r="T331" i="1"/>
  <c r="U331" i="1"/>
  <c r="V331" i="1"/>
  <c r="W331" i="1"/>
  <c r="X331" i="1"/>
  <c r="Y331" i="1"/>
  <c r="Z331" i="1"/>
  <c r="P332" i="1"/>
  <c r="Q332" i="1"/>
  <c r="R332" i="1"/>
  <c r="S332" i="1"/>
  <c r="T332" i="1"/>
  <c r="U332" i="1"/>
  <c r="V332" i="1"/>
  <c r="W332" i="1"/>
  <c r="X332" i="1"/>
  <c r="Y332" i="1"/>
  <c r="Z332" i="1"/>
  <c r="P333" i="1"/>
  <c r="Q333" i="1"/>
  <c r="R333" i="1"/>
  <c r="S333" i="1"/>
  <c r="T333" i="1"/>
  <c r="U333" i="1"/>
  <c r="V333" i="1"/>
  <c r="W333" i="1"/>
  <c r="X333" i="1"/>
  <c r="Y333" i="1"/>
  <c r="Z333" i="1"/>
  <c r="P334" i="1"/>
  <c r="Q334" i="1"/>
  <c r="R334" i="1"/>
  <c r="S334" i="1"/>
  <c r="T334" i="1"/>
  <c r="U334" i="1"/>
  <c r="V334" i="1"/>
  <c r="W334" i="1"/>
  <c r="X334" i="1"/>
  <c r="Y334" i="1"/>
  <c r="Z334" i="1"/>
  <c r="P335" i="1"/>
  <c r="Q335" i="1"/>
  <c r="R335" i="1"/>
  <c r="S335" i="1"/>
  <c r="T335" i="1"/>
  <c r="U335" i="1"/>
  <c r="V335" i="1"/>
  <c r="W335" i="1"/>
  <c r="X335" i="1"/>
  <c r="Y335" i="1"/>
  <c r="Z335" i="1"/>
  <c r="P336" i="1"/>
  <c r="Q336" i="1"/>
  <c r="R336" i="1"/>
  <c r="S336" i="1"/>
  <c r="T336" i="1"/>
  <c r="U336" i="1"/>
  <c r="V336" i="1"/>
  <c r="W336" i="1"/>
  <c r="X336" i="1"/>
  <c r="Y336" i="1"/>
  <c r="Z336" i="1"/>
  <c r="P337" i="1"/>
  <c r="Q337" i="1"/>
  <c r="R337" i="1"/>
  <c r="S337" i="1"/>
  <c r="T337" i="1"/>
  <c r="U337" i="1"/>
  <c r="V337" i="1"/>
  <c r="W337" i="1"/>
  <c r="X337" i="1"/>
  <c r="Y337" i="1"/>
  <c r="Z337" i="1"/>
  <c r="P338" i="1"/>
  <c r="Q338" i="1"/>
  <c r="R338" i="1"/>
  <c r="S338" i="1"/>
  <c r="T338" i="1"/>
  <c r="U338" i="1"/>
  <c r="V338" i="1"/>
  <c r="W338" i="1"/>
  <c r="X338" i="1"/>
  <c r="Y338" i="1"/>
  <c r="Z338" i="1"/>
  <c r="P339" i="1"/>
  <c r="Q339" i="1"/>
  <c r="R339" i="1"/>
  <c r="S339" i="1"/>
  <c r="T339" i="1"/>
  <c r="U339" i="1"/>
  <c r="V339" i="1"/>
  <c r="W339" i="1"/>
  <c r="X339" i="1"/>
  <c r="Y339" i="1"/>
  <c r="Z339" i="1"/>
  <c r="P340" i="1"/>
  <c r="Q340" i="1"/>
  <c r="R340" i="1"/>
  <c r="S340" i="1"/>
  <c r="T340" i="1"/>
  <c r="U340" i="1"/>
  <c r="V340" i="1"/>
  <c r="W340" i="1"/>
  <c r="X340" i="1"/>
  <c r="Y340" i="1"/>
  <c r="Z340" i="1"/>
  <c r="P341" i="1"/>
  <c r="Q341" i="1"/>
  <c r="R341" i="1"/>
  <c r="S341" i="1"/>
  <c r="T341" i="1"/>
  <c r="U341" i="1"/>
  <c r="V341" i="1"/>
  <c r="W341" i="1"/>
  <c r="X341" i="1"/>
  <c r="Y341" i="1"/>
  <c r="Z341" i="1"/>
  <c r="P342" i="1"/>
  <c r="Q342" i="1"/>
  <c r="R342" i="1"/>
  <c r="S342" i="1"/>
  <c r="T342" i="1"/>
  <c r="U342" i="1"/>
  <c r="V342" i="1"/>
  <c r="W342" i="1"/>
  <c r="X342" i="1"/>
  <c r="Y342" i="1"/>
  <c r="Z342" i="1"/>
  <c r="P343" i="1"/>
  <c r="Q343" i="1"/>
  <c r="R343" i="1"/>
  <c r="S343" i="1"/>
  <c r="T343" i="1"/>
  <c r="U343" i="1"/>
  <c r="V343" i="1"/>
  <c r="W343" i="1"/>
  <c r="X343" i="1"/>
  <c r="Y343" i="1"/>
  <c r="Z343" i="1"/>
  <c r="P344" i="1"/>
  <c r="Q344" i="1"/>
  <c r="R344" i="1"/>
  <c r="S344" i="1"/>
  <c r="T344" i="1"/>
  <c r="U344" i="1"/>
  <c r="V344" i="1"/>
  <c r="W344" i="1"/>
  <c r="X344" i="1"/>
  <c r="Y344" i="1"/>
  <c r="Z344" i="1"/>
  <c r="P345" i="1"/>
  <c r="Q345" i="1"/>
  <c r="R345" i="1"/>
  <c r="S345" i="1"/>
  <c r="T345" i="1"/>
  <c r="U345" i="1"/>
  <c r="V345" i="1"/>
  <c r="W345" i="1"/>
  <c r="X345" i="1"/>
  <c r="Y345" i="1"/>
  <c r="Z345" i="1"/>
  <c r="P346" i="1"/>
  <c r="Q346" i="1"/>
  <c r="R346" i="1"/>
  <c r="S346" i="1"/>
  <c r="T346" i="1"/>
  <c r="U346" i="1"/>
  <c r="V346" i="1"/>
  <c r="W346" i="1"/>
  <c r="X346" i="1"/>
  <c r="Y346" i="1"/>
  <c r="Z346" i="1"/>
  <c r="P347" i="1"/>
  <c r="Q347" i="1"/>
  <c r="R347" i="1"/>
  <c r="S347" i="1"/>
  <c r="T347" i="1"/>
  <c r="U347" i="1"/>
  <c r="V347" i="1"/>
  <c r="W347" i="1"/>
  <c r="X347" i="1"/>
  <c r="Y347" i="1"/>
  <c r="Z347" i="1"/>
  <c r="P348" i="1"/>
  <c r="Q348" i="1"/>
  <c r="R348" i="1"/>
  <c r="S348" i="1"/>
  <c r="T348" i="1"/>
  <c r="U348" i="1"/>
  <c r="V348" i="1"/>
  <c r="W348" i="1"/>
  <c r="X348" i="1"/>
  <c r="Y348" i="1"/>
  <c r="Z348" i="1"/>
  <c r="P349" i="1"/>
  <c r="Q349" i="1"/>
  <c r="R349" i="1"/>
  <c r="S349" i="1"/>
  <c r="T349" i="1"/>
  <c r="U349" i="1"/>
  <c r="V349" i="1"/>
  <c r="W349" i="1"/>
  <c r="X349" i="1"/>
  <c r="Y349" i="1"/>
  <c r="Z349" i="1"/>
  <c r="P350" i="1"/>
  <c r="Q350" i="1"/>
  <c r="R350" i="1"/>
  <c r="S350" i="1"/>
  <c r="T350" i="1"/>
  <c r="U350" i="1"/>
  <c r="V350" i="1"/>
  <c r="W350" i="1"/>
  <c r="X350" i="1"/>
  <c r="Y350" i="1"/>
  <c r="Z350" i="1"/>
  <c r="P351" i="1"/>
  <c r="Q351" i="1"/>
  <c r="R351" i="1"/>
  <c r="S351" i="1"/>
  <c r="T351" i="1"/>
  <c r="U351" i="1"/>
  <c r="V351" i="1"/>
  <c r="W351" i="1"/>
  <c r="X351" i="1"/>
  <c r="Y351" i="1"/>
  <c r="Z351" i="1"/>
  <c r="P352" i="1"/>
  <c r="Q352" i="1"/>
  <c r="R352" i="1"/>
  <c r="S352" i="1"/>
  <c r="T352" i="1"/>
  <c r="U352" i="1"/>
  <c r="V352" i="1"/>
  <c r="W352" i="1"/>
  <c r="X352" i="1"/>
  <c r="Y352" i="1"/>
  <c r="Z352" i="1"/>
  <c r="P353" i="1"/>
  <c r="Q353" i="1"/>
  <c r="R353" i="1"/>
  <c r="S353" i="1"/>
  <c r="T353" i="1"/>
  <c r="U353" i="1"/>
  <c r="V353" i="1"/>
  <c r="W353" i="1"/>
  <c r="X353" i="1"/>
  <c r="Y353" i="1"/>
  <c r="Z353" i="1"/>
  <c r="P354" i="1"/>
  <c r="Q354" i="1"/>
  <c r="R354" i="1"/>
  <c r="S354" i="1"/>
  <c r="T354" i="1"/>
  <c r="U354" i="1"/>
  <c r="V354" i="1"/>
  <c r="W354" i="1"/>
  <c r="X354" i="1"/>
  <c r="Y354" i="1"/>
  <c r="Z354" i="1"/>
  <c r="P355" i="1"/>
  <c r="Q355" i="1"/>
  <c r="R355" i="1"/>
  <c r="S355" i="1"/>
  <c r="T355" i="1"/>
  <c r="U355" i="1"/>
  <c r="V355" i="1"/>
  <c r="W355" i="1"/>
  <c r="X355" i="1"/>
  <c r="Y355" i="1"/>
  <c r="Z355" i="1"/>
  <c r="P356" i="1"/>
  <c r="Q356" i="1"/>
  <c r="R356" i="1"/>
  <c r="S356" i="1"/>
  <c r="T356" i="1"/>
  <c r="U356" i="1"/>
  <c r="V356" i="1"/>
  <c r="W356" i="1"/>
  <c r="X356" i="1"/>
  <c r="Y356" i="1"/>
  <c r="Z356" i="1"/>
  <c r="P357" i="1"/>
  <c r="Q357" i="1"/>
  <c r="R357" i="1"/>
  <c r="S357" i="1"/>
  <c r="T357" i="1"/>
  <c r="U357" i="1"/>
  <c r="V357" i="1"/>
  <c r="W357" i="1"/>
  <c r="X357" i="1"/>
  <c r="Y357" i="1"/>
  <c r="Z357" i="1"/>
  <c r="P358" i="1"/>
  <c r="Q358" i="1"/>
  <c r="R358" i="1"/>
  <c r="S358" i="1"/>
  <c r="T358" i="1"/>
  <c r="U358" i="1"/>
  <c r="V358" i="1"/>
  <c r="W358" i="1"/>
  <c r="X358" i="1"/>
  <c r="Y358" i="1"/>
  <c r="Z358" i="1"/>
  <c r="P359" i="1"/>
  <c r="Q359" i="1"/>
  <c r="R359" i="1"/>
  <c r="S359" i="1"/>
  <c r="T359" i="1"/>
  <c r="U359" i="1"/>
  <c r="V359" i="1"/>
  <c r="W359" i="1"/>
  <c r="X359" i="1"/>
  <c r="Y359" i="1"/>
  <c r="Z359" i="1"/>
  <c r="P360" i="1"/>
  <c r="Q360" i="1"/>
  <c r="R360" i="1"/>
  <c r="S360" i="1"/>
  <c r="T360" i="1"/>
  <c r="U360" i="1"/>
  <c r="V360" i="1"/>
  <c r="W360" i="1"/>
  <c r="X360" i="1"/>
  <c r="Y360" i="1"/>
  <c r="Z360" i="1"/>
  <c r="P361" i="1"/>
  <c r="Q361" i="1"/>
  <c r="R361" i="1"/>
  <c r="S361" i="1"/>
  <c r="T361" i="1"/>
  <c r="U361" i="1"/>
  <c r="V361" i="1"/>
  <c r="W361" i="1"/>
  <c r="X361" i="1"/>
  <c r="Y361" i="1"/>
  <c r="Z361" i="1"/>
  <c r="P362" i="1"/>
  <c r="Q362" i="1"/>
  <c r="R362" i="1"/>
  <c r="S362" i="1"/>
  <c r="T362" i="1"/>
  <c r="U362" i="1"/>
  <c r="V362" i="1"/>
  <c r="W362" i="1"/>
  <c r="X362" i="1"/>
  <c r="Y362" i="1"/>
  <c r="Z362" i="1"/>
  <c r="P363" i="1"/>
  <c r="Q363" i="1"/>
  <c r="R363" i="1"/>
  <c r="S363" i="1"/>
  <c r="T363" i="1"/>
  <c r="U363" i="1"/>
  <c r="V363" i="1"/>
  <c r="W363" i="1"/>
  <c r="X363" i="1"/>
  <c r="Y363" i="1"/>
  <c r="Z363" i="1"/>
  <c r="P364" i="1"/>
  <c r="Q364" i="1"/>
  <c r="R364" i="1"/>
  <c r="S364" i="1"/>
  <c r="T364" i="1"/>
  <c r="U364" i="1"/>
  <c r="V364" i="1"/>
  <c r="W364" i="1"/>
  <c r="X364" i="1"/>
  <c r="Y364" i="1"/>
  <c r="Z364" i="1"/>
  <c r="P365" i="1"/>
  <c r="Q365" i="1"/>
  <c r="R365" i="1"/>
  <c r="S365" i="1"/>
  <c r="T365" i="1"/>
  <c r="U365" i="1"/>
  <c r="V365" i="1"/>
  <c r="W365" i="1"/>
  <c r="X365" i="1"/>
  <c r="Y365" i="1"/>
  <c r="Z365" i="1"/>
  <c r="P366" i="1"/>
  <c r="Q366" i="1"/>
  <c r="R366" i="1"/>
  <c r="S366" i="1"/>
  <c r="T366" i="1"/>
  <c r="U366" i="1"/>
  <c r="V366" i="1"/>
  <c r="W366" i="1"/>
  <c r="X366" i="1"/>
  <c r="Y366" i="1"/>
  <c r="Z366" i="1"/>
  <c r="P367" i="1"/>
  <c r="Q367" i="1"/>
  <c r="R367" i="1"/>
  <c r="S367" i="1"/>
  <c r="T367" i="1"/>
  <c r="U367" i="1"/>
  <c r="V367" i="1"/>
  <c r="W367" i="1"/>
  <c r="X367" i="1"/>
  <c r="Y367" i="1"/>
  <c r="Z367" i="1"/>
  <c r="P368" i="1"/>
  <c r="Q368" i="1"/>
  <c r="R368" i="1"/>
  <c r="S368" i="1"/>
  <c r="T368" i="1"/>
  <c r="U368" i="1"/>
  <c r="V368" i="1"/>
  <c r="W368" i="1"/>
  <c r="X368" i="1"/>
  <c r="Y368" i="1"/>
  <c r="Z368" i="1"/>
  <c r="P369" i="1"/>
  <c r="Q369" i="1"/>
  <c r="R369" i="1"/>
  <c r="S369" i="1"/>
  <c r="T369" i="1"/>
  <c r="U369" i="1"/>
  <c r="V369" i="1"/>
  <c r="W369" i="1"/>
  <c r="X369" i="1"/>
  <c r="Y369" i="1"/>
  <c r="Z369" i="1"/>
  <c r="P370" i="1"/>
  <c r="Q370" i="1"/>
  <c r="R370" i="1"/>
  <c r="S370" i="1"/>
  <c r="T370" i="1"/>
  <c r="U370" i="1"/>
  <c r="V370" i="1"/>
  <c r="W370" i="1"/>
  <c r="X370" i="1"/>
  <c r="Y370" i="1"/>
  <c r="Z370" i="1"/>
  <c r="P371" i="1"/>
  <c r="Q371" i="1"/>
  <c r="R371" i="1"/>
  <c r="S371" i="1"/>
  <c r="T371" i="1"/>
  <c r="U371" i="1"/>
  <c r="V371" i="1"/>
  <c r="W371" i="1"/>
  <c r="X371" i="1"/>
  <c r="Y371" i="1"/>
  <c r="Z371" i="1"/>
  <c r="P372" i="1"/>
  <c r="Q372" i="1"/>
  <c r="R372" i="1"/>
  <c r="S372" i="1"/>
  <c r="T372" i="1"/>
  <c r="U372" i="1"/>
  <c r="V372" i="1"/>
  <c r="W372" i="1"/>
  <c r="X372" i="1"/>
  <c r="Y372" i="1"/>
  <c r="Z372" i="1"/>
  <c r="P373" i="1"/>
  <c r="Q373" i="1"/>
  <c r="R373" i="1"/>
  <c r="S373" i="1"/>
  <c r="T373" i="1"/>
  <c r="U373" i="1"/>
  <c r="V373" i="1"/>
  <c r="W373" i="1"/>
  <c r="X373" i="1"/>
  <c r="Y373" i="1"/>
  <c r="Z373" i="1"/>
  <c r="P374" i="1"/>
  <c r="Q374" i="1"/>
  <c r="R374" i="1"/>
  <c r="S374" i="1"/>
  <c r="T374" i="1"/>
  <c r="U374" i="1"/>
  <c r="V374" i="1"/>
  <c r="W374" i="1"/>
  <c r="X374" i="1"/>
  <c r="Y374" i="1"/>
  <c r="Z374" i="1"/>
  <c r="P375" i="1"/>
  <c r="Q375" i="1"/>
  <c r="R375" i="1"/>
  <c r="S375" i="1"/>
  <c r="T375" i="1"/>
  <c r="U375" i="1"/>
  <c r="V375" i="1"/>
  <c r="W375" i="1"/>
  <c r="X375" i="1"/>
  <c r="Y375" i="1"/>
  <c r="Z375" i="1"/>
  <c r="P376" i="1"/>
  <c r="Q376" i="1"/>
  <c r="R376" i="1"/>
  <c r="S376" i="1"/>
  <c r="T376" i="1"/>
  <c r="U376" i="1"/>
  <c r="V376" i="1"/>
  <c r="W376" i="1"/>
  <c r="X376" i="1"/>
  <c r="Y376" i="1"/>
  <c r="Z376" i="1"/>
  <c r="P377" i="1"/>
  <c r="Q377" i="1"/>
  <c r="R377" i="1"/>
  <c r="S377" i="1"/>
  <c r="T377" i="1"/>
  <c r="U377" i="1"/>
  <c r="V377" i="1"/>
  <c r="W377" i="1"/>
  <c r="X377" i="1"/>
  <c r="Y377" i="1"/>
  <c r="Z377" i="1"/>
  <c r="P378" i="1"/>
  <c r="Q378" i="1"/>
  <c r="R378" i="1"/>
  <c r="S378" i="1"/>
  <c r="T378" i="1"/>
  <c r="U378" i="1"/>
  <c r="V378" i="1"/>
  <c r="W378" i="1"/>
  <c r="X378" i="1"/>
  <c r="Y378" i="1"/>
  <c r="Z378" i="1"/>
  <c r="P379" i="1"/>
  <c r="Q379" i="1"/>
  <c r="R379" i="1"/>
  <c r="S379" i="1"/>
  <c r="T379" i="1"/>
  <c r="U379" i="1"/>
  <c r="V379" i="1"/>
  <c r="W379" i="1"/>
  <c r="X379" i="1"/>
  <c r="Y379" i="1"/>
  <c r="Z379" i="1"/>
  <c r="P380" i="1"/>
  <c r="Q380" i="1"/>
  <c r="R380" i="1"/>
  <c r="S380" i="1"/>
  <c r="T380" i="1"/>
  <c r="U380" i="1"/>
  <c r="V380" i="1"/>
  <c r="W380" i="1"/>
  <c r="X380" i="1"/>
  <c r="Y380" i="1"/>
  <c r="Z380" i="1"/>
  <c r="P381" i="1"/>
  <c r="Q381" i="1"/>
  <c r="R381" i="1"/>
  <c r="S381" i="1"/>
  <c r="T381" i="1"/>
  <c r="U381" i="1"/>
  <c r="V381" i="1"/>
  <c r="W381" i="1"/>
  <c r="X381" i="1"/>
  <c r="Y381" i="1"/>
  <c r="Z381" i="1"/>
  <c r="P382" i="1"/>
  <c r="Q382" i="1"/>
  <c r="R382" i="1"/>
  <c r="S382" i="1"/>
  <c r="T382" i="1"/>
  <c r="U382" i="1"/>
  <c r="V382" i="1"/>
  <c r="W382" i="1"/>
  <c r="X382" i="1"/>
  <c r="Y382" i="1"/>
  <c r="Z382" i="1"/>
  <c r="P383" i="1"/>
  <c r="Q383" i="1"/>
  <c r="R383" i="1"/>
  <c r="S383" i="1"/>
  <c r="T383" i="1"/>
  <c r="U383" i="1"/>
  <c r="V383" i="1"/>
  <c r="W383" i="1"/>
  <c r="X383" i="1"/>
  <c r="Y383" i="1"/>
  <c r="Z383" i="1"/>
  <c r="P384" i="1"/>
  <c r="Q384" i="1"/>
  <c r="R384" i="1"/>
  <c r="S384" i="1"/>
  <c r="T384" i="1"/>
  <c r="U384" i="1"/>
  <c r="V384" i="1"/>
  <c r="W384" i="1"/>
  <c r="X384" i="1"/>
  <c r="Y384" i="1"/>
  <c r="Z384" i="1"/>
  <c r="P385" i="1"/>
  <c r="Q385" i="1"/>
  <c r="R385" i="1"/>
  <c r="S385" i="1"/>
  <c r="T385" i="1"/>
  <c r="U385" i="1"/>
  <c r="V385" i="1"/>
  <c r="W385" i="1"/>
  <c r="X385" i="1"/>
  <c r="Y385" i="1"/>
  <c r="Z385" i="1"/>
  <c r="P386" i="1"/>
  <c r="Q386" i="1"/>
  <c r="R386" i="1"/>
  <c r="S386" i="1"/>
  <c r="T386" i="1"/>
  <c r="U386" i="1"/>
  <c r="V386" i="1"/>
  <c r="W386" i="1"/>
  <c r="X386" i="1"/>
  <c r="Y386" i="1"/>
  <c r="Z386" i="1"/>
  <c r="P387" i="1"/>
  <c r="Q387" i="1"/>
  <c r="R387" i="1"/>
  <c r="S387" i="1"/>
  <c r="T387" i="1"/>
  <c r="U387" i="1"/>
  <c r="V387" i="1"/>
  <c r="W387" i="1"/>
  <c r="X387" i="1"/>
  <c r="Y387" i="1"/>
  <c r="Z387" i="1"/>
  <c r="P388" i="1"/>
  <c r="Q388" i="1"/>
  <c r="R388" i="1"/>
  <c r="S388" i="1"/>
  <c r="T388" i="1"/>
  <c r="U388" i="1"/>
  <c r="V388" i="1"/>
  <c r="W388" i="1"/>
  <c r="X388" i="1"/>
  <c r="Y388" i="1"/>
  <c r="Z388" i="1"/>
  <c r="P389" i="1"/>
  <c r="Q389" i="1"/>
  <c r="R389" i="1"/>
  <c r="S389" i="1"/>
  <c r="T389" i="1"/>
  <c r="U389" i="1"/>
  <c r="V389" i="1"/>
  <c r="W389" i="1"/>
  <c r="X389" i="1"/>
  <c r="Y389" i="1"/>
  <c r="Z389" i="1"/>
  <c r="P390" i="1"/>
  <c r="Q390" i="1"/>
  <c r="R390" i="1"/>
  <c r="S390" i="1"/>
  <c r="T390" i="1"/>
  <c r="U390" i="1"/>
  <c r="V390" i="1"/>
  <c r="W390" i="1"/>
  <c r="X390" i="1"/>
  <c r="Y390" i="1"/>
  <c r="Z390" i="1"/>
  <c r="P391" i="1"/>
  <c r="Q391" i="1"/>
  <c r="R391" i="1"/>
  <c r="S391" i="1"/>
  <c r="T391" i="1"/>
  <c r="U391" i="1"/>
  <c r="V391" i="1"/>
  <c r="W391" i="1"/>
  <c r="X391" i="1"/>
  <c r="Y391" i="1"/>
  <c r="Z391" i="1"/>
  <c r="P392" i="1"/>
  <c r="Q392" i="1"/>
  <c r="R392" i="1"/>
  <c r="S392" i="1"/>
  <c r="T392" i="1"/>
  <c r="U392" i="1"/>
  <c r="V392" i="1"/>
  <c r="W392" i="1"/>
  <c r="X392" i="1"/>
  <c r="Y392" i="1"/>
  <c r="Z392" i="1"/>
  <c r="P393" i="1"/>
  <c r="Q393" i="1"/>
  <c r="R393" i="1"/>
  <c r="S393" i="1"/>
  <c r="T393" i="1"/>
  <c r="U393" i="1"/>
  <c r="V393" i="1"/>
  <c r="W393" i="1"/>
  <c r="X393" i="1"/>
  <c r="Y393" i="1"/>
  <c r="Z393" i="1"/>
  <c r="P394" i="1"/>
  <c r="Q394" i="1"/>
  <c r="R394" i="1"/>
  <c r="S394" i="1"/>
  <c r="T394" i="1"/>
  <c r="U394" i="1"/>
  <c r="V394" i="1"/>
  <c r="W394" i="1"/>
  <c r="X394" i="1"/>
  <c r="Y394" i="1"/>
  <c r="Z394" i="1"/>
  <c r="P395" i="1"/>
  <c r="Q395" i="1"/>
  <c r="R395" i="1"/>
  <c r="S395" i="1"/>
  <c r="T395" i="1"/>
  <c r="U395" i="1"/>
  <c r="V395" i="1"/>
  <c r="W395" i="1"/>
  <c r="X395" i="1"/>
  <c r="Y395" i="1"/>
  <c r="Z395" i="1"/>
  <c r="P396" i="1"/>
  <c r="Q396" i="1"/>
  <c r="R396" i="1"/>
  <c r="S396" i="1"/>
  <c r="T396" i="1"/>
  <c r="U396" i="1"/>
  <c r="V396" i="1"/>
  <c r="W396" i="1"/>
  <c r="X396" i="1"/>
  <c r="Y396" i="1"/>
  <c r="Z396" i="1"/>
  <c r="P397" i="1"/>
  <c r="Q397" i="1"/>
  <c r="R397" i="1"/>
  <c r="S397" i="1"/>
  <c r="T397" i="1"/>
  <c r="U397" i="1"/>
  <c r="V397" i="1"/>
  <c r="W397" i="1"/>
  <c r="X397" i="1"/>
  <c r="Y397" i="1"/>
  <c r="Z397" i="1"/>
  <c r="P398" i="1"/>
  <c r="Q398" i="1"/>
  <c r="R398" i="1"/>
  <c r="S398" i="1"/>
  <c r="T398" i="1"/>
  <c r="U398" i="1"/>
  <c r="V398" i="1"/>
  <c r="W398" i="1"/>
  <c r="X398" i="1"/>
  <c r="Y398" i="1"/>
  <c r="Z398" i="1"/>
  <c r="P399" i="1"/>
  <c r="Q399" i="1"/>
  <c r="R399" i="1"/>
  <c r="S399" i="1"/>
  <c r="T399" i="1"/>
  <c r="U399" i="1"/>
  <c r="V399" i="1"/>
  <c r="W399" i="1"/>
  <c r="X399" i="1"/>
  <c r="Y399" i="1"/>
  <c r="Z399" i="1"/>
  <c r="P400" i="1"/>
  <c r="Q400" i="1"/>
  <c r="R400" i="1"/>
  <c r="S400" i="1"/>
  <c r="T400" i="1"/>
  <c r="U400" i="1"/>
  <c r="V400" i="1"/>
  <c r="W400" i="1"/>
  <c r="X400" i="1"/>
  <c r="Y400" i="1"/>
  <c r="Z400" i="1"/>
  <c r="P401" i="1"/>
  <c r="Q401" i="1"/>
  <c r="R401" i="1"/>
  <c r="S401" i="1"/>
  <c r="T401" i="1"/>
  <c r="U401" i="1"/>
  <c r="V401" i="1"/>
  <c r="W401" i="1"/>
  <c r="X401" i="1"/>
  <c r="Y401" i="1"/>
  <c r="Z401" i="1"/>
  <c r="P402" i="1"/>
  <c r="Q402" i="1"/>
  <c r="R402" i="1"/>
  <c r="S402" i="1"/>
  <c r="T402" i="1"/>
  <c r="U402" i="1"/>
  <c r="V402" i="1"/>
  <c r="W402" i="1"/>
  <c r="X402" i="1"/>
  <c r="Y402" i="1"/>
  <c r="Z402" i="1"/>
  <c r="P403" i="1"/>
  <c r="Q403" i="1"/>
  <c r="R403" i="1"/>
  <c r="S403" i="1"/>
  <c r="T403" i="1"/>
  <c r="U403" i="1"/>
  <c r="V403" i="1"/>
  <c r="W403" i="1"/>
  <c r="X403" i="1"/>
  <c r="Y403" i="1"/>
  <c r="Z403" i="1"/>
  <c r="P404" i="1"/>
  <c r="Q404" i="1"/>
  <c r="R404" i="1"/>
  <c r="S404" i="1"/>
  <c r="T404" i="1"/>
  <c r="U404" i="1"/>
  <c r="V404" i="1"/>
  <c r="W404" i="1"/>
  <c r="X404" i="1"/>
  <c r="Y404" i="1"/>
  <c r="Z404" i="1"/>
  <c r="P405" i="1"/>
  <c r="Q405" i="1"/>
  <c r="R405" i="1"/>
  <c r="S405" i="1"/>
  <c r="T405" i="1"/>
  <c r="U405" i="1"/>
  <c r="V405" i="1"/>
  <c r="W405" i="1"/>
  <c r="X405" i="1"/>
  <c r="Y405" i="1"/>
  <c r="Z405" i="1"/>
  <c r="P406" i="1"/>
  <c r="Q406" i="1"/>
  <c r="R406" i="1"/>
  <c r="S406" i="1"/>
  <c r="T406" i="1"/>
  <c r="U406" i="1"/>
  <c r="V406" i="1"/>
  <c r="W406" i="1"/>
  <c r="X406" i="1"/>
  <c r="Y406" i="1"/>
  <c r="Z406" i="1"/>
  <c r="P407" i="1"/>
  <c r="Q407" i="1"/>
  <c r="R407" i="1"/>
  <c r="S407" i="1"/>
  <c r="T407" i="1"/>
  <c r="U407" i="1"/>
  <c r="V407" i="1"/>
  <c r="W407" i="1"/>
  <c r="X407" i="1"/>
  <c r="Y407" i="1"/>
  <c r="Z407" i="1"/>
  <c r="P408" i="1"/>
  <c r="Q408" i="1"/>
  <c r="R408" i="1"/>
  <c r="S408" i="1"/>
  <c r="T408" i="1"/>
  <c r="U408" i="1"/>
  <c r="V408" i="1"/>
  <c r="W408" i="1"/>
  <c r="X408" i="1"/>
  <c r="Y408" i="1"/>
  <c r="Z408" i="1"/>
  <c r="P409" i="1"/>
  <c r="Q409" i="1"/>
  <c r="R409" i="1"/>
  <c r="S409" i="1"/>
  <c r="T409" i="1"/>
  <c r="U409" i="1"/>
  <c r="V409" i="1"/>
  <c r="W409" i="1"/>
  <c r="X409" i="1"/>
  <c r="Y409" i="1"/>
  <c r="Z409" i="1"/>
  <c r="P410" i="1"/>
  <c r="Q410" i="1"/>
  <c r="R410" i="1"/>
  <c r="S410" i="1"/>
  <c r="T410" i="1"/>
  <c r="U410" i="1"/>
  <c r="V410" i="1"/>
  <c r="W410" i="1"/>
  <c r="X410" i="1"/>
  <c r="Y410" i="1"/>
  <c r="Z410" i="1"/>
  <c r="P411" i="1"/>
  <c r="Q411" i="1"/>
  <c r="R411" i="1"/>
  <c r="S411" i="1"/>
  <c r="T411" i="1"/>
  <c r="U411" i="1"/>
  <c r="V411" i="1"/>
  <c r="W411" i="1"/>
  <c r="X411" i="1"/>
  <c r="Y411" i="1"/>
  <c r="Z411" i="1"/>
  <c r="P412" i="1"/>
  <c r="Q412" i="1"/>
  <c r="R412" i="1"/>
  <c r="S412" i="1"/>
  <c r="T412" i="1"/>
  <c r="U412" i="1"/>
  <c r="V412" i="1"/>
  <c r="W412" i="1"/>
  <c r="X412" i="1"/>
  <c r="Y412" i="1"/>
  <c r="Z412" i="1"/>
  <c r="P413" i="1"/>
  <c r="Q413" i="1"/>
  <c r="R413" i="1"/>
  <c r="S413" i="1"/>
  <c r="T413" i="1"/>
  <c r="U413" i="1"/>
  <c r="V413" i="1"/>
  <c r="W413" i="1"/>
  <c r="X413" i="1"/>
  <c r="Y413" i="1"/>
  <c r="Z413" i="1"/>
  <c r="P414" i="1"/>
  <c r="Q414" i="1"/>
  <c r="R414" i="1"/>
  <c r="S414" i="1"/>
  <c r="T414" i="1"/>
  <c r="U414" i="1"/>
  <c r="V414" i="1"/>
  <c r="W414" i="1"/>
  <c r="X414" i="1"/>
  <c r="Y414" i="1"/>
  <c r="Z414" i="1"/>
  <c r="P415" i="1"/>
  <c r="Q415" i="1"/>
  <c r="R415" i="1"/>
  <c r="S415" i="1"/>
  <c r="T415" i="1"/>
  <c r="U415" i="1"/>
  <c r="V415" i="1"/>
  <c r="W415" i="1"/>
  <c r="X415" i="1"/>
  <c r="Y415" i="1"/>
  <c r="Z415" i="1"/>
  <c r="P416" i="1"/>
  <c r="Q416" i="1"/>
  <c r="R416" i="1"/>
  <c r="S416" i="1"/>
  <c r="T416" i="1"/>
  <c r="U416" i="1"/>
  <c r="V416" i="1"/>
  <c r="W416" i="1"/>
  <c r="X416" i="1"/>
  <c r="Y416" i="1"/>
  <c r="Z416" i="1"/>
  <c r="P417" i="1"/>
  <c r="Q417" i="1"/>
  <c r="R417" i="1"/>
  <c r="S417" i="1"/>
  <c r="T417" i="1"/>
  <c r="U417" i="1"/>
  <c r="V417" i="1"/>
  <c r="W417" i="1"/>
  <c r="X417" i="1"/>
  <c r="Y417" i="1"/>
  <c r="Z417" i="1"/>
  <c r="P418" i="1"/>
  <c r="Q418" i="1"/>
  <c r="R418" i="1"/>
  <c r="S418" i="1"/>
  <c r="T418" i="1"/>
  <c r="U418" i="1"/>
  <c r="V418" i="1"/>
  <c r="W418" i="1"/>
  <c r="X418" i="1"/>
  <c r="Y418" i="1"/>
  <c r="Z418" i="1"/>
  <c r="P419" i="1"/>
  <c r="Q419" i="1"/>
  <c r="R419" i="1"/>
  <c r="S419" i="1"/>
  <c r="T419" i="1"/>
  <c r="U419" i="1"/>
  <c r="V419" i="1"/>
  <c r="W419" i="1"/>
  <c r="X419" i="1"/>
  <c r="Y419" i="1"/>
  <c r="Z419" i="1"/>
  <c r="P420" i="1"/>
  <c r="Q420" i="1"/>
  <c r="R420" i="1"/>
  <c r="S420" i="1"/>
  <c r="T420" i="1"/>
  <c r="U420" i="1"/>
  <c r="V420" i="1"/>
  <c r="W420" i="1"/>
  <c r="X420" i="1"/>
  <c r="Y420" i="1"/>
  <c r="Z420" i="1"/>
  <c r="P421" i="1"/>
  <c r="Q421" i="1"/>
  <c r="R421" i="1"/>
  <c r="S421" i="1"/>
  <c r="T421" i="1"/>
  <c r="U421" i="1"/>
  <c r="V421" i="1"/>
  <c r="W421" i="1"/>
  <c r="X421" i="1"/>
  <c r="Y421" i="1"/>
  <c r="Z421" i="1"/>
  <c r="P422" i="1"/>
  <c r="Q422" i="1"/>
  <c r="R422" i="1"/>
  <c r="S422" i="1"/>
  <c r="T422" i="1"/>
  <c r="U422" i="1"/>
  <c r="V422" i="1"/>
  <c r="W422" i="1"/>
  <c r="X422" i="1"/>
  <c r="Y422" i="1"/>
  <c r="Z422" i="1"/>
  <c r="P423" i="1"/>
  <c r="Q423" i="1"/>
  <c r="R423" i="1"/>
  <c r="S423" i="1"/>
  <c r="T423" i="1"/>
  <c r="U423" i="1"/>
  <c r="V423" i="1"/>
  <c r="W423" i="1"/>
  <c r="X423" i="1"/>
  <c r="Y423" i="1"/>
  <c r="Z423" i="1"/>
  <c r="P424" i="1"/>
  <c r="Q424" i="1"/>
  <c r="R424" i="1"/>
  <c r="S424" i="1"/>
  <c r="T424" i="1"/>
  <c r="U424" i="1"/>
  <c r="V424" i="1"/>
  <c r="W424" i="1"/>
  <c r="X424" i="1"/>
  <c r="Y424" i="1"/>
  <c r="Z424" i="1"/>
  <c r="P425" i="1"/>
  <c r="Q425" i="1"/>
  <c r="R425" i="1"/>
  <c r="S425" i="1"/>
  <c r="T425" i="1"/>
  <c r="U425" i="1"/>
  <c r="V425" i="1"/>
  <c r="W425" i="1"/>
  <c r="X425" i="1"/>
  <c r="Y425" i="1"/>
  <c r="Z425" i="1"/>
  <c r="P426" i="1"/>
  <c r="Q426" i="1"/>
  <c r="R426" i="1"/>
  <c r="S426" i="1"/>
  <c r="T426" i="1"/>
  <c r="U426" i="1"/>
  <c r="V426" i="1"/>
  <c r="W426" i="1"/>
  <c r="X426" i="1"/>
  <c r="Y426" i="1"/>
  <c r="Z426" i="1"/>
  <c r="P427" i="1"/>
  <c r="Q427" i="1"/>
  <c r="R427" i="1"/>
  <c r="S427" i="1"/>
  <c r="T427" i="1"/>
  <c r="U427" i="1"/>
  <c r="V427" i="1"/>
  <c r="W427" i="1"/>
  <c r="X427" i="1"/>
  <c r="Y427" i="1"/>
  <c r="Z427" i="1"/>
  <c r="P428" i="1"/>
  <c r="Q428" i="1"/>
  <c r="R428" i="1"/>
  <c r="S428" i="1"/>
  <c r="T428" i="1"/>
  <c r="U428" i="1"/>
  <c r="V428" i="1"/>
  <c r="W428" i="1"/>
  <c r="X428" i="1"/>
  <c r="Y428" i="1"/>
  <c r="Z428" i="1"/>
  <c r="P429" i="1"/>
  <c r="Q429" i="1"/>
  <c r="R429" i="1"/>
  <c r="S429" i="1"/>
  <c r="T429" i="1"/>
  <c r="U429" i="1"/>
  <c r="V429" i="1"/>
  <c r="W429" i="1"/>
  <c r="X429" i="1"/>
  <c r="Y429" i="1"/>
  <c r="Z429" i="1"/>
  <c r="P430" i="1"/>
  <c r="Q430" i="1"/>
  <c r="R430" i="1"/>
  <c r="S430" i="1"/>
  <c r="T430" i="1"/>
  <c r="U430" i="1"/>
  <c r="V430" i="1"/>
  <c r="W430" i="1"/>
  <c r="X430" i="1"/>
  <c r="Y430" i="1"/>
  <c r="Z430" i="1"/>
  <c r="P431" i="1"/>
  <c r="Q431" i="1"/>
  <c r="R431" i="1"/>
  <c r="S431" i="1"/>
  <c r="T431" i="1"/>
  <c r="U431" i="1"/>
  <c r="V431" i="1"/>
  <c r="W431" i="1"/>
  <c r="X431" i="1"/>
  <c r="Y431" i="1"/>
  <c r="Z431" i="1"/>
  <c r="P432" i="1"/>
  <c r="Q432" i="1"/>
  <c r="R432" i="1"/>
  <c r="S432" i="1"/>
  <c r="T432" i="1"/>
  <c r="U432" i="1"/>
  <c r="V432" i="1"/>
  <c r="W432" i="1"/>
  <c r="X432" i="1"/>
  <c r="Y432" i="1"/>
  <c r="Z432" i="1"/>
  <c r="P433" i="1"/>
  <c r="Q433" i="1"/>
  <c r="R433" i="1"/>
  <c r="S433" i="1"/>
  <c r="T433" i="1"/>
  <c r="U433" i="1"/>
  <c r="V433" i="1"/>
  <c r="W433" i="1"/>
  <c r="X433" i="1"/>
  <c r="Y433" i="1"/>
  <c r="Z433" i="1"/>
  <c r="P434" i="1"/>
  <c r="Q434" i="1"/>
  <c r="R434" i="1"/>
  <c r="S434" i="1"/>
  <c r="T434" i="1"/>
  <c r="U434" i="1"/>
  <c r="V434" i="1"/>
  <c r="W434" i="1"/>
  <c r="X434" i="1"/>
  <c r="Y434" i="1"/>
  <c r="Z434" i="1"/>
  <c r="P435" i="1"/>
  <c r="Q435" i="1"/>
  <c r="R435" i="1"/>
  <c r="S435" i="1"/>
  <c r="T435" i="1"/>
  <c r="U435" i="1"/>
  <c r="V435" i="1"/>
  <c r="W435" i="1"/>
  <c r="X435" i="1"/>
  <c r="Y435" i="1"/>
  <c r="Z435" i="1"/>
  <c r="P436" i="1"/>
  <c r="Q436" i="1"/>
  <c r="R436" i="1"/>
  <c r="S436" i="1"/>
  <c r="T436" i="1"/>
  <c r="U436" i="1"/>
  <c r="V436" i="1"/>
  <c r="W436" i="1"/>
  <c r="X436" i="1"/>
  <c r="Y436" i="1"/>
  <c r="Z436" i="1"/>
  <c r="P437" i="1"/>
  <c r="Q437" i="1"/>
  <c r="R437" i="1"/>
  <c r="S437" i="1"/>
  <c r="T437" i="1"/>
  <c r="U437" i="1"/>
  <c r="V437" i="1"/>
  <c r="W437" i="1"/>
  <c r="X437" i="1"/>
  <c r="Y437" i="1"/>
  <c r="Z437" i="1"/>
  <c r="P438" i="1"/>
  <c r="Q438" i="1"/>
  <c r="R438" i="1"/>
  <c r="S438" i="1"/>
  <c r="T438" i="1"/>
  <c r="U438" i="1"/>
  <c r="V438" i="1"/>
  <c r="W438" i="1"/>
  <c r="X438" i="1"/>
  <c r="Y438" i="1"/>
  <c r="Z438" i="1"/>
  <c r="P439" i="1"/>
  <c r="Q439" i="1"/>
  <c r="R439" i="1"/>
  <c r="S439" i="1"/>
  <c r="T439" i="1"/>
  <c r="U439" i="1"/>
  <c r="V439" i="1"/>
  <c r="W439" i="1"/>
  <c r="X439" i="1"/>
  <c r="Y439" i="1"/>
  <c r="Z439" i="1"/>
  <c r="P440" i="1"/>
  <c r="Q440" i="1"/>
  <c r="R440" i="1"/>
  <c r="S440" i="1"/>
  <c r="T440" i="1"/>
  <c r="U440" i="1"/>
  <c r="V440" i="1"/>
  <c r="W440" i="1"/>
  <c r="X440" i="1"/>
  <c r="Y440" i="1"/>
  <c r="Z440" i="1"/>
  <c r="P441" i="1"/>
  <c r="Q441" i="1"/>
  <c r="R441" i="1"/>
  <c r="S441" i="1"/>
  <c r="T441" i="1"/>
  <c r="U441" i="1"/>
  <c r="V441" i="1"/>
  <c r="W441" i="1"/>
  <c r="X441" i="1"/>
  <c r="Y441" i="1"/>
  <c r="Z441" i="1"/>
  <c r="P442" i="1"/>
  <c r="Q442" i="1"/>
  <c r="R442" i="1"/>
  <c r="S442" i="1"/>
  <c r="T442" i="1"/>
  <c r="U442" i="1"/>
  <c r="V442" i="1"/>
  <c r="W442" i="1"/>
  <c r="X442" i="1"/>
  <c r="Y442" i="1"/>
  <c r="Z442" i="1"/>
  <c r="P443" i="1"/>
  <c r="Q443" i="1"/>
  <c r="R443" i="1"/>
  <c r="S443" i="1"/>
  <c r="T443" i="1"/>
  <c r="U443" i="1"/>
  <c r="V443" i="1"/>
  <c r="W443" i="1"/>
  <c r="X443" i="1"/>
  <c r="Y443" i="1"/>
  <c r="Z443" i="1"/>
  <c r="P444" i="1"/>
  <c r="Q444" i="1"/>
  <c r="R444" i="1"/>
  <c r="S444" i="1"/>
  <c r="T444" i="1"/>
  <c r="U444" i="1"/>
  <c r="V444" i="1"/>
  <c r="W444" i="1"/>
  <c r="X444" i="1"/>
  <c r="Y444" i="1"/>
  <c r="Z444" i="1"/>
  <c r="P445" i="1"/>
  <c r="Q445" i="1"/>
  <c r="R445" i="1"/>
  <c r="S445" i="1"/>
  <c r="T445" i="1"/>
  <c r="U445" i="1"/>
  <c r="V445" i="1"/>
  <c r="W445" i="1"/>
  <c r="X445" i="1"/>
  <c r="Y445" i="1"/>
  <c r="Z445" i="1"/>
  <c r="P446" i="1"/>
  <c r="Q446" i="1"/>
  <c r="R446" i="1"/>
  <c r="S446" i="1"/>
  <c r="T446" i="1"/>
  <c r="U446" i="1"/>
  <c r="V446" i="1"/>
  <c r="W446" i="1"/>
  <c r="X446" i="1"/>
  <c r="Y446" i="1"/>
  <c r="Z446" i="1"/>
  <c r="P447" i="1"/>
  <c r="Q447" i="1"/>
  <c r="R447" i="1"/>
  <c r="S447" i="1"/>
  <c r="T447" i="1"/>
  <c r="U447" i="1"/>
  <c r="V447" i="1"/>
  <c r="W447" i="1"/>
  <c r="X447" i="1"/>
  <c r="Y447" i="1"/>
  <c r="Z447" i="1"/>
  <c r="P448" i="1"/>
  <c r="Q448" i="1"/>
  <c r="R448" i="1"/>
  <c r="S448" i="1"/>
  <c r="T448" i="1"/>
  <c r="U448" i="1"/>
  <c r="V448" i="1"/>
  <c r="W448" i="1"/>
  <c r="X448" i="1"/>
  <c r="Y448" i="1"/>
  <c r="Z448" i="1"/>
  <c r="P449" i="1"/>
  <c r="Q449" i="1"/>
  <c r="R449" i="1"/>
  <c r="S449" i="1"/>
  <c r="T449" i="1"/>
  <c r="U449" i="1"/>
  <c r="V449" i="1"/>
  <c r="W449" i="1"/>
  <c r="X449" i="1"/>
  <c r="Y449" i="1"/>
  <c r="Z449" i="1"/>
  <c r="P450" i="1"/>
  <c r="Q450" i="1"/>
  <c r="R450" i="1"/>
  <c r="S450" i="1"/>
  <c r="T450" i="1"/>
  <c r="U450" i="1"/>
  <c r="V450" i="1"/>
  <c r="W450" i="1"/>
  <c r="X450" i="1"/>
  <c r="Y450" i="1"/>
  <c r="Z450" i="1"/>
  <c r="P451" i="1"/>
  <c r="Q451" i="1"/>
  <c r="R451" i="1"/>
  <c r="S451" i="1"/>
  <c r="T451" i="1"/>
  <c r="U451" i="1"/>
  <c r="V451" i="1"/>
  <c r="W451" i="1"/>
  <c r="X451" i="1"/>
  <c r="Y451" i="1"/>
  <c r="Z451" i="1"/>
  <c r="P452" i="1"/>
  <c r="Q452" i="1"/>
  <c r="R452" i="1"/>
  <c r="S452" i="1"/>
  <c r="T452" i="1"/>
  <c r="U452" i="1"/>
  <c r="V452" i="1"/>
  <c r="W452" i="1"/>
  <c r="X452" i="1"/>
  <c r="Y452" i="1"/>
  <c r="Z452" i="1"/>
  <c r="P453" i="1"/>
  <c r="Q453" i="1"/>
  <c r="R453" i="1"/>
  <c r="S453" i="1"/>
  <c r="T453" i="1"/>
  <c r="U453" i="1"/>
  <c r="V453" i="1"/>
  <c r="W453" i="1"/>
  <c r="X453" i="1"/>
  <c r="Y453" i="1"/>
  <c r="Z453" i="1"/>
  <c r="P454" i="1"/>
  <c r="Q454" i="1"/>
  <c r="R454" i="1"/>
  <c r="S454" i="1"/>
  <c r="T454" i="1"/>
  <c r="U454" i="1"/>
  <c r="V454" i="1"/>
  <c r="W454" i="1"/>
  <c r="X454" i="1"/>
  <c r="Y454" i="1"/>
  <c r="Z454" i="1"/>
  <c r="P455" i="1"/>
  <c r="Q455" i="1"/>
  <c r="R455" i="1"/>
  <c r="S455" i="1"/>
  <c r="T455" i="1"/>
  <c r="U455" i="1"/>
  <c r="V455" i="1"/>
  <c r="W455" i="1"/>
  <c r="X455" i="1"/>
  <c r="Y455" i="1"/>
  <c r="Z455" i="1"/>
  <c r="P456" i="1"/>
  <c r="Q456" i="1"/>
  <c r="R456" i="1"/>
  <c r="S456" i="1"/>
  <c r="T456" i="1"/>
  <c r="U456" i="1"/>
  <c r="V456" i="1"/>
  <c r="W456" i="1"/>
  <c r="X456" i="1"/>
  <c r="Y456" i="1"/>
  <c r="Z456" i="1"/>
  <c r="P457" i="1"/>
  <c r="Q457" i="1"/>
  <c r="R457" i="1"/>
  <c r="S457" i="1"/>
  <c r="T457" i="1"/>
  <c r="U457" i="1"/>
  <c r="V457" i="1"/>
  <c r="W457" i="1"/>
  <c r="X457" i="1"/>
  <c r="Y457" i="1"/>
  <c r="Z457" i="1"/>
  <c r="P458" i="1"/>
  <c r="Q458" i="1"/>
  <c r="R458" i="1"/>
  <c r="S458" i="1"/>
  <c r="T458" i="1"/>
  <c r="U458" i="1"/>
  <c r="V458" i="1"/>
  <c r="W458" i="1"/>
  <c r="X458" i="1"/>
  <c r="Y458" i="1"/>
  <c r="Z458" i="1"/>
  <c r="P459" i="1"/>
  <c r="Q459" i="1"/>
  <c r="R459" i="1"/>
  <c r="S459" i="1"/>
  <c r="T459" i="1"/>
  <c r="U459" i="1"/>
  <c r="V459" i="1"/>
  <c r="W459" i="1"/>
  <c r="X459" i="1"/>
  <c r="Y459" i="1"/>
  <c r="Z459" i="1"/>
  <c r="P460" i="1"/>
  <c r="Q460" i="1"/>
  <c r="R460" i="1"/>
  <c r="S460" i="1"/>
  <c r="T460" i="1"/>
  <c r="U460" i="1"/>
  <c r="V460" i="1"/>
  <c r="W460" i="1"/>
  <c r="X460" i="1"/>
  <c r="Y460" i="1"/>
  <c r="Z460" i="1"/>
  <c r="P461" i="1"/>
  <c r="Q461" i="1"/>
  <c r="R461" i="1"/>
  <c r="S461" i="1"/>
  <c r="T461" i="1"/>
  <c r="U461" i="1"/>
  <c r="V461" i="1"/>
  <c r="W461" i="1"/>
  <c r="X461" i="1"/>
  <c r="Y461" i="1"/>
  <c r="Z461" i="1"/>
  <c r="P462" i="1"/>
  <c r="Q462" i="1"/>
  <c r="R462" i="1"/>
  <c r="S462" i="1"/>
  <c r="T462" i="1"/>
  <c r="U462" i="1"/>
  <c r="V462" i="1"/>
  <c r="W462" i="1"/>
  <c r="X462" i="1"/>
  <c r="Y462" i="1"/>
  <c r="Z462" i="1"/>
  <c r="P463" i="1"/>
  <c r="Q463" i="1"/>
  <c r="R463" i="1"/>
  <c r="S463" i="1"/>
  <c r="T463" i="1"/>
  <c r="U463" i="1"/>
  <c r="V463" i="1"/>
  <c r="W463" i="1"/>
  <c r="X463" i="1"/>
  <c r="Y463" i="1"/>
  <c r="Z463" i="1"/>
  <c r="P464" i="1"/>
  <c r="Q464" i="1"/>
  <c r="R464" i="1"/>
  <c r="S464" i="1"/>
  <c r="T464" i="1"/>
  <c r="U464" i="1"/>
  <c r="V464" i="1"/>
  <c r="W464" i="1"/>
  <c r="X464" i="1"/>
  <c r="Y464" i="1"/>
  <c r="Z464" i="1"/>
  <c r="P465" i="1"/>
  <c r="Q465" i="1"/>
  <c r="R465" i="1"/>
  <c r="S465" i="1"/>
  <c r="T465" i="1"/>
  <c r="U465" i="1"/>
  <c r="V465" i="1"/>
  <c r="W465" i="1"/>
  <c r="X465" i="1"/>
  <c r="Y465" i="1"/>
  <c r="Z465" i="1"/>
  <c r="P466" i="1"/>
  <c r="Q466" i="1"/>
  <c r="R466" i="1"/>
  <c r="S466" i="1"/>
  <c r="T466" i="1"/>
  <c r="U466" i="1"/>
  <c r="V466" i="1"/>
  <c r="W466" i="1"/>
  <c r="X466" i="1"/>
  <c r="Y466" i="1"/>
  <c r="Z466" i="1"/>
  <c r="P467" i="1"/>
  <c r="Q467" i="1"/>
  <c r="R467" i="1"/>
  <c r="S467" i="1"/>
  <c r="T467" i="1"/>
  <c r="U467" i="1"/>
  <c r="V467" i="1"/>
  <c r="W467" i="1"/>
  <c r="X467" i="1"/>
  <c r="Y467" i="1"/>
  <c r="Z467" i="1"/>
  <c r="P468" i="1"/>
  <c r="Q468" i="1"/>
  <c r="R468" i="1"/>
  <c r="S468" i="1"/>
  <c r="T468" i="1"/>
  <c r="U468" i="1"/>
  <c r="V468" i="1"/>
  <c r="W468" i="1"/>
  <c r="X468" i="1"/>
  <c r="Y468" i="1"/>
  <c r="Z468" i="1"/>
  <c r="P469" i="1"/>
  <c r="Q469" i="1"/>
  <c r="R469" i="1"/>
  <c r="S469" i="1"/>
  <c r="T469" i="1"/>
  <c r="U469" i="1"/>
  <c r="V469" i="1"/>
  <c r="W469" i="1"/>
  <c r="X469" i="1"/>
  <c r="Y469" i="1"/>
  <c r="Z469" i="1"/>
  <c r="P470" i="1"/>
  <c r="Q470" i="1"/>
  <c r="R470" i="1"/>
  <c r="S470" i="1"/>
  <c r="T470" i="1"/>
  <c r="U470" i="1"/>
  <c r="V470" i="1"/>
  <c r="W470" i="1"/>
  <c r="X470" i="1"/>
  <c r="Y470" i="1"/>
  <c r="Z470" i="1"/>
  <c r="P471" i="1"/>
  <c r="Q471" i="1"/>
  <c r="R471" i="1"/>
  <c r="S471" i="1"/>
  <c r="T471" i="1"/>
  <c r="U471" i="1"/>
  <c r="V471" i="1"/>
  <c r="W471" i="1"/>
  <c r="X471" i="1"/>
  <c r="Y471" i="1"/>
  <c r="Z471" i="1"/>
  <c r="P472" i="1"/>
  <c r="Q472" i="1"/>
  <c r="R472" i="1"/>
  <c r="S472" i="1"/>
  <c r="T472" i="1"/>
  <c r="U472" i="1"/>
  <c r="V472" i="1"/>
  <c r="W472" i="1"/>
  <c r="X472" i="1"/>
  <c r="Y472" i="1"/>
  <c r="Z472" i="1"/>
  <c r="P473" i="1"/>
  <c r="Q473" i="1"/>
  <c r="R473" i="1"/>
  <c r="S473" i="1"/>
  <c r="T473" i="1"/>
  <c r="U473" i="1"/>
  <c r="V473" i="1"/>
  <c r="W473" i="1"/>
  <c r="X473" i="1"/>
  <c r="Y473" i="1"/>
  <c r="Z473" i="1"/>
  <c r="P474" i="1"/>
  <c r="Q474" i="1"/>
  <c r="R474" i="1"/>
  <c r="S474" i="1"/>
  <c r="T474" i="1"/>
  <c r="U474" i="1"/>
  <c r="V474" i="1"/>
  <c r="W474" i="1"/>
  <c r="X474" i="1"/>
  <c r="Y474" i="1"/>
  <c r="Z474" i="1"/>
  <c r="P475" i="1"/>
  <c r="Q475" i="1"/>
  <c r="R475" i="1"/>
  <c r="S475" i="1"/>
  <c r="T475" i="1"/>
  <c r="U475" i="1"/>
  <c r="V475" i="1"/>
  <c r="W475" i="1"/>
  <c r="X475" i="1"/>
  <c r="Y475" i="1"/>
  <c r="Z475" i="1"/>
  <c r="P476" i="1"/>
  <c r="Q476" i="1"/>
  <c r="R476" i="1"/>
  <c r="S476" i="1"/>
  <c r="T476" i="1"/>
  <c r="U476" i="1"/>
  <c r="V476" i="1"/>
  <c r="W476" i="1"/>
  <c r="X476" i="1"/>
  <c r="Y476" i="1"/>
  <c r="Z476" i="1"/>
  <c r="P477" i="1"/>
  <c r="Q477" i="1"/>
  <c r="R477" i="1"/>
  <c r="S477" i="1"/>
  <c r="T477" i="1"/>
  <c r="U477" i="1"/>
  <c r="V477" i="1"/>
  <c r="W477" i="1"/>
  <c r="X477" i="1"/>
  <c r="Y477" i="1"/>
  <c r="Z477" i="1"/>
  <c r="P478" i="1"/>
  <c r="Q478" i="1"/>
  <c r="R478" i="1"/>
  <c r="S478" i="1"/>
  <c r="T478" i="1"/>
  <c r="U478" i="1"/>
  <c r="V478" i="1"/>
  <c r="W478" i="1"/>
  <c r="X478" i="1"/>
  <c r="Y478" i="1"/>
  <c r="Z478" i="1"/>
  <c r="P479" i="1"/>
  <c r="Q479" i="1"/>
  <c r="R479" i="1"/>
  <c r="S479" i="1"/>
  <c r="T479" i="1"/>
  <c r="U479" i="1"/>
  <c r="V479" i="1"/>
  <c r="W479" i="1"/>
  <c r="X479" i="1"/>
  <c r="Y479" i="1"/>
  <c r="Z479" i="1"/>
  <c r="P480" i="1"/>
  <c r="Q480" i="1"/>
  <c r="R480" i="1"/>
  <c r="S480" i="1"/>
  <c r="T480" i="1"/>
  <c r="U480" i="1"/>
  <c r="V480" i="1"/>
  <c r="W480" i="1"/>
  <c r="X480" i="1"/>
  <c r="Y480" i="1"/>
  <c r="Z480" i="1"/>
  <c r="P481" i="1"/>
  <c r="Q481" i="1"/>
  <c r="R481" i="1"/>
  <c r="S481" i="1"/>
  <c r="T481" i="1"/>
  <c r="U481" i="1"/>
  <c r="V481" i="1"/>
  <c r="W481" i="1"/>
  <c r="X481" i="1"/>
  <c r="Y481" i="1"/>
  <c r="Z481" i="1"/>
  <c r="P482" i="1"/>
  <c r="Q482" i="1"/>
  <c r="R482" i="1"/>
  <c r="S482" i="1"/>
  <c r="T482" i="1"/>
  <c r="U482" i="1"/>
  <c r="V482" i="1"/>
  <c r="W482" i="1"/>
  <c r="X482" i="1"/>
  <c r="Y482" i="1"/>
  <c r="Z482" i="1"/>
  <c r="P483" i="1"/>
  <c r="Q483" i="1"/>
  <c r="R483" i="1"/>
  <c r="S483" i="1"/>
  <c r="T483" i="1"/>
  <c r="U483" i="1"/>
  <c r="V483" i="1"/>
  <c r="W483" i="1"/>
  <c r="X483" i="1"/>
  <c r="Y483" i="1"/>
  <c r="Z483" i="1"/>
  <c r="P484" i="1"/>
  <c r="Q484" i="1"/>
  <c r="R484" i="1"/>
  <c r="S484" i="1"/>
  <c r="T484" i="1"/>
  <c r="U484" i="1"/>
  <c r="V484" i="1"/>
  <c r="W484" i="1"/>
  <c r="X484" i="1"/>
  <c r="Y484" i="1"/>
  <c r="Z484" i="1"/>
  <c r="P485" i="1"/>
  <c r="Q485" i="1"/>
  <c r="R485" i="1"/>
  <c r="S485" i="1"/>
  <c r="T485" i="1"/>
  <c r="U485" i="1"/>
  <c r="V485" i="1"/>
  <c r="W485" i="1"/>
  <c r="X485" i="1"/>
  <c r="Y485" i="1"/>
  <c r="Z485" i="1"/>
  <c r="P486" i="1"/>
  <c r="Q486" i="1"/>
  <c r="R486" i="1"/>
  <c r="S486" i="1"/>
  <c r="T486" i="1"/>
  <c r="U486" i="1"/>
  <c r="V486" i="1"/>
  <c r="W486" i="1"/>
  <c r="X486" i="1"/>
  <c r="Y486" i="1"/>
  <c r="Z486" i="1"/>
  <c r="P487" i="1"/>
  <c r="Q487" i="1"/>
  <c r="R487" i="1"/>
  <c r="S487" i="1"/>
  <c r="T487" i="1"/>
  <c r="U487" i="1"/>
  <c r="V487" i="1"/>
  <c r="W487" i="1"/>
  <c r="X487" i="1"/>
  <c r="Y487" i="1"/>
  <c r="Z487" i="1"/>
  <c r="P488" i="1"/>
  <c r="Q488" i="1"/>
  <c r="R488" i="1"/>
  <c r="S488" i="1"/>
  <c r="T488" i="1"/>
  <c r="U488" i="1"/>
  <c r="V488" i="1"/>
  <c r="W488" i="1"/>
  <c r="X488" i="1"/>
  <c r="Y488" i="1"/>
  <c r="Z488" i="1"/>
  <c r="P489" i="1"/>
  <c r="Q489" i="1"/>
  <c r="R489" i="1"/>
  <c r="S489" i="1"/>
  <c r="T489" i="1"/>
  <c r="U489" i="1"/>
  <c r="V489" i="1"/>
  <c r="W489" i="1"/>
  <c r="X489" i="1"/>
  <c r="Y489" i="1"/>
  <c r="Z489" i="1"/>
  <c r="P490" i="1"/>
  <c r="Q490" i="1"/>
  <c r="R490" i="1"/>
  <c r="S490" i="1"/>
  <c r="T490" i="1"/>
  <c r="U490" i="1"/>
  <c r="V490" i="1"/>
  <c r="W490" i="1"/>
  <c r="X490" i="1"/>
  <c r="Y490" i="1"/>
  <c r="Z490" i="1"/>
  <c r="P491" i="1"/>
  <c r="Q491" i="1"/>
  <c r="R491" i="1"/>
  <c r="S491" i="1"/>
  <c r="T491" i="1"/>
  <c r="U491" i="1"/>
  <c r="V491" i="1"/>
  <c r="W491" i="1"/>
  <c r="X491" i="1"/>
  <c r="Y491" i="1"/>
  <c r="Z491" i="1"/>
  <c r="P492" i="1"/>
  <c r="Q492" i="1"/>
  <c r="R492" i="1"/>
  <c r="S492" i="1"/>
  <c r="T492" i="1"/>
  <c r="U492" i="1"/>
  <c r="V492" i="1"/>
  <c r="W492" i="1"/>
  <c r="X492" i="1"/>
  <c r="Y492" i="1"/>
  <c r="Z492" i="1"/>
  <c r="P493" i="1"/>
  <c r="Q493" i="1"/>
  <c r="R493" i="1"/>
  <c r="S493" i="1"/>
  <c r="T493" i="1"/>
  <c r="U493" i="1"/>
  <c r="V493" i="1"/>
  <c r="W493" i="1"/>
  <c r="X493" i="1"/>
  <c r="Y493" i="1"/>
  <c r="Z493" i="1"/>
  <c r="P494" i="1"/>
  <c r="Q494" i="1"/>
  <c r="R494" i="1"/>
  <c r="S494" i="1"/>
  <c r="T494" i="1"/>
  <c r="U494" i="1"/>
  <c r="V494" i="1"/>
  <c r="W494" i="1"/>
  <c r="X494" i="1"/>
  <c r="Y494" i="1"/>
  <c r="Z494" i="1"/>
  <c r="P495" i="1"/>
  <c r="Q495" i="1"/>
  <c r="R495" i="1"/>
  <c r="S495" i="1"/>
  <c r="T495" i="1"/>
  <c r="U495" i="1"/>
  <c r="V495" i="1"/>
  <c r="W495" i="1"/>
  <c r="X495" i="1"/>
  <c r="Y495" i="1"/>
  <c r="Z495" i="1"/>
  <c r="P496" i="1"/>
  <c r="Q496" i="1"/>
  <c r="R496" i="1"/>
  <c r="S496" i="1"/>
  <c r="T496" i="1"/>
  <c r="U496" i="1"/>
  <c r="V496" i="1"/>
  <c r="W496" i="1"/>
  <c r="X496" i="1"/>
  <c r="Y496" i="1"/>
  <c r="Z496" i="1"/>
  <c r="P497" i="1"/>
  <c r="Q497" i="1"/>
  <c r="R497" i="1"/>
  <c r="S497" i="1"/>
  <c r="T497" i="1"/>
  <c r="U497" i="1"/>
  <c r="V497" i="1"/>
  <c r="W497" i="1"/>
  <c r="X497" i="1"/>
  <c r="Y497" i="1"/>
  <c r="Z497" i="1"/>
  <c r="P498" i="1"/>
  <c r="Q498" i="1"/>
  <c r="R498" i="1"/>
  <c r="S498" i="1"/>
  <c r="T498" i="1"/>
  <c r="U498" i="1"/>
  <c r="V498" i="1"/>
  <c r="W498" i="1"/>
  <c r="X498" i="1"/>
  <c r="Y498" i="1"/>
  <c r="Z498" i="1"/>
  <c r="P499" i="1"/>
  <c r="Q499" i="1"/>
  <c r="R499" i="1"/>
  <c r="S499" i="1"/>
  <c r="T499" i="1"/>
  <c r="U499" i="1"/>
  <c r="V499" i="1"/>
  <c r="W499" i="1"/>
  <c r="X499" i="1"/>
  <c r="Y499" i="1"/>
  <c r="Z499" i="1"/>
  <c r="P500" i="1"/>
  <c r="Q500" i="1"/>
  <c r="R500" i="1"/>
  <c r="S500" i="1"/>
  <c r="T500" i="1"/>
  <c r="U500" i="1"/>
  <c r="V500" i="1"/>
  <c r="W500" i="1"/>
  <c r="X500" i="1"/>
  <c r="Y500" i="1"/>
  <c r="Z500" i="1"/>
  <c r="P501" i="1"/>
  <c r="Q501" i="1"/>
  <c r="R501" i="1"/>
  <c r="S501" i="1"/>
  <c r="T501" i="1"/>
  <c r="U501" i="1"/>
  <c r="V501" i="1"/>
  <c r="W501" i="1"/>
  <c r="X501" i="1"/>
  <c r="Y501" i="1"/>
  <c r="Z501" i="1"/>
  <c r="P502" i="1"/>
  <c r="Q502" i="1"/>
  <c r="R502" i="1"/>
  <c r="S502" i="1"/>
  <c r="T502" i="1"/>
  <c r="U502" i="1"/>
  <c r="V502" i="1"/>
  <c r="W502" i="1"/>
  <c r="X502" i="1"/>
  <c r="Y502" i="1"/>
  <c r="Z502" i="1"/>
  <c r="P503" i="1"/>
  <c r="Q503" i="1"/>
  <c r="R503" i="1"/>
  <c r="S503" i="1"/>
  <c r="T503" i="1"/>
  <c r="U503" i="1"/>
  <c r="V503" i="1"/>
  <c r="W503" i="1"/>
  <c r="X503" i="1"/>
  <c r="Y503" i="1"/>
  <c r="Z503" i="1"/>
  <c r="P504" i="1"/>
  <c r="Q504" i="1"/>
  <c r="R504" i="1"/>
  <c r="S504" i="1"/>
  <c r="T504" i="1"/>
  <c r="U504" i="1"/>
  <c r="V504" i="1"/>
  <c r="W504" i="1"/>
  <c r="X504" i="1"/>
  <c r="Y504" i="1"/>
  <c r="Z504" i="1"/>
  <c r="P505" i="1"/>
  <c r="Q505" i="1"/>
  <c r="R505" i="1"/>
  <c r="S505" i="1"/>
  <c r="T505" i="1"/>
  <c r="U505" i="1"/>
  <c r="V505" i="1"/>
  <c r="W505" i="1"/>
  <c r="X505" i="1"/>
  <c r="Y505" i="1"/>
  <c r="Z505" i="1"/>
  <c r="P506" i="1"/>
  <c r="Q506" i="1"/>
  <c r="R506" i="1"/>
  <c r="S506" i="1"/>
  <c r="T506" i="1"/>
  <c r="U506" i="1"/>
  <c r="V506" i="1"/>
  <c r="W506" i="1"/>
  <c r="X506" i="1"/>
  <c r="Y506" i="1"/>
  <c r="Z506" i="1"/>
  <c r="P507" i="1"/>
  <c r="Q507" i="1"/>
  <c r="R507" i="1"/>
  <c r="S507" i="1"/>
  <c r="T507" i="1"/>
  <c r="U507" i="1"/>
  <c r="V507" i="1"/>
  <c r="W507" i="1"/>
  <c r="X507" i="1"/>
  <c r="Y507" i="1"/>
  <c r="Z507" i="1"/>
  <c r="P508" i="1"/>
  <c r="Q508" i="1"/>
  <c r="R508" i="1"/>
  <c r="S508" i="1"/>
  <c r="T508" i="1"/>
  <c r="U508" i="1"/>
  <c r="V508" i="1"/>
  <c r="W508" i="1"/>
  <c r="X508" i="1"/>
  <c r="Y508" i="1"/>
  <c r="Z508" i="1"/>
  <c r="P509" i="1"/>
  <c r="Q509" i="1"/>
  <c r="R509" i="1"/>
  <c r="S509" i="1"/>
  <c r="T509" i="1"/>
  <c r="U509" i="1"/>
  <c r="V509" i="1"/>
  <c r="W509" i="1"/>
  <c r="X509" i="1"/>
  <c r="Y509" i="1"/>
  <c r="Z509" i="1"/>
  <c r="P510" i="1"/>
  <c r="Q510" i="1"/>
  <c r="R510" i="1"/>
  <c r="S510" i="1"/>
  <c r="T510" i="1"/>
  <c r="U510" i="1"/>
  <c r="V510" i="1"/>
  <c r="W510" i="1"/>
  <c r="X510" i="1"/>
  <c r="Y510" i="1"/>
  <c r="Z510" i="1"/>
  <c r="P511" i="1"/>
  <c r="Q511" i="1"/>
  <c r="R511" i="1"/>
  <c r="S511" i="1"/>
  <c r="T511" i="1"/>
  <c r="U511" i="1"/>
  <c r="V511" i="1"/>
  <c r="W511" i="1"/>
  <c r="X511" i="1"/>
  <c r="Y511" i="1"/>
  <c r="Z511" i="1"/>
  <c r="P512" i="1"/>
  <c r="Q512" i="1"/>
  <c r="R512" i="1"/>
  <c r="S512" i="1"/>
  <c r="T512" i="1"/>
  <c r="U512" i="1"/>
  <c r="V512" i="1"/>
  <c r="W512" i="1"/>
  <c r="X512" i="1"/>
  <c r="Y512" i="1"/>
  <c r="Z512" i="1"/>
  <c r="P513" i="1"/>
  <c r="Q513" i="1"/>
  <c r="R513" i="1"/>
  <c r="S513" i="1"/>
  <c r="T513" i="1"/>
  <c r="U513" i="1"/>
  <c r="V513" i="1"/>
  <c r="W513" i="1"/>
  <c r="X513" i="1"/>
  <c r="Y513" i="1"/>
  <c r="Z513" i="1"/>
  <c r="P514" i="1"/>
  <c r="Q514" i="1"/>
  <c r="R514" i="1"/>
  <c r="S514" i="1"/>
  <c r="T514" i="1"/>
  <c r="U514" i="1"/>
  <c r="V514" i="1"/>
  <c r="W514" i="1"/>
  <c r="X514" i="1"/>
  <c r="Y514" i="1"/>
  <c r="Z514" i="1"/>
  <c r="P515" i="1"/>
  <c r="Q515" i="1"/>
  <c r="R515" i="1"/>
  <c r="S515" i="1"/>
  <c r="T515" i="1"/>
  <c r="U515" i="1"/>
  <c r="V515" i="1"/>
  <c r="W515" i="1"/>
  <c r="X515" i="1"/>
  <c r="Y515" i="1"/>
  <c r="Z515" i="1"/>
  <c r="P516" i="1"/>
  <c r="Q516" i="1"/>
  <c r="R516" i="1"/>
  <c r="S516" i="1"/>
  <c r="T516" i="1"/>
  <c r="U516" i="1"/>
  <c r="V516" i="1"/>
  <c r="W516" i="1"/>
  <c r="X516" i="1"/>
  <c r="Y516" i="1"/>
  <c r="Z516" i="1"/>
  <c r="P517" i="1"/>
  <c r="Q517" i="1"/>
  <c r="R517" i="1"/>
  <c r="S517" i="1"/>
  <c r="T517" i="1"/>
  <c r="U517" i="1"/>
  <c r="V517" i="1"/>
  <c r="W517" i="1"/>
  <c r="X517" i="1"/>
  <c r="Y517" i="1"/>
  <c r="Z517" i="1"/>
  <c r="P518" i="1"/>
  <c r="Q518" i="1"/>
  <c r="R518" i="1"/>
  <c r="S518" i="1"/>
  <c r="T518" i="1"/>
  <c r="U518" i="1"/>
  <c r="V518" i="1"/>
  <c r="W518" i="1"/>
  <c r="X518" i="1"/>
  <c r="Y518" i="1"/>
  <c r="Z518" i="1"/>
  <c r="P519" i="1"/>
  <c r="Q519" i="1"/>
  <c r="R519" i="1"/>
  <c r="S519" i="1"/>
  <c r="T519" i="1"/>
  <c r="U519" i="1"/>
  <c r="V519" i="1"/>
  <c r="W519" i="1"/>
  <c r="X519" i="1"/>
  <c r="Y519" i="1"/>
  <c r="Z519" i="1"/>
  <c r="P520" i="1"/>
  <c r="Q520" i="1"/>
  <c r="R520" i="1"/>
  <c r="S520" i="1"/>
  <c r="T520" i="1"/>
  <c r="U520" i="1"/>
  <c r="V520" i="1"/>
  <c r="W520" i="1"/>
  <c r="X520" i="1"/>
  <c r="Y520" i="1"/>
  <c r="Z520" i="1"/>
  <c r="P521" i="1"/>
  <c r="Q521" i="1"/>
  <c r="R521" i="1"/>
  <c r="S521" i="1"/>
  <c r="T521" i="1"/>
  <c r="U521" i="1"/>
  <c r="V521" i="1"/>
  <c r="W521" i="1"/>
  <c r="X521" i="1"/>
  <c r="Y521" i="1"/>
  <c r="Z521" i="1"/>
  <c r="P522" i="1"/>
  <c r="Q522" i="1"/>
  <c r="R522" i="1"/>
  <c r="S522" i="1"/>
  <c r="T522" i="1"/>
  <c r="U522" i="1"/>
  <c r="V522" i="1"/>
  <c r="W522" i="1"/>
  <c r="X522" i="1"/>
  <c r="Y522" i="1"/>
  <c r="Z522" i="1"/>
  <c r="P523" i="1"/>
  <c r="Q523" i="1"/>
  <c r="R523" i="1"/>
  <c r="S523" i="1"/>
  <c r="T523" i="1"/>
  <c r="U523" i="1"/>
  <c r="V523" i="1"/>
  <c r="W523" i="1"/>
  <c r="X523" i="1"/>
  <c r="Y523" i="1"/>
  <c r="Z523" i="1"/>
  <c r="P524" i="1"/>
  <c r="Q524" i="1"/>
  <c r="R524" i="1"/>
  <c r="S524" i="1"/>
  <c r="T524" i="1"/>
  <c r="U524" i="1"/>
  <c r="V524" i="1"/>
  <c r="W524" i="1"/>
  <c r="X524" i="1"/>
  <c r="Y524" i="1"/>
  <c r="Z524" i="1"/>
  <c r="P525" i="1"/>
  <c r="Q525" i="1"/>
  <c r="R525" i="1"/>
  <c r="S525" i="1"/>
  <c r="T525" i="1"/>
  <c r="U525" i="1"/>
  <c r="V525" i="1"/>
  <c r="W525" i="1"/>
  <c r="X525" i="1"/>
  <c r="Y525" i="1"/>
  <c r="Z525" i="1"/>
  <c r="P526" i="1"/>
  <c r="Q526" i="1"/>
  <c r="R526" i="1"/>
  <c r="S526" i="1"/>
  <c r="T526" i="1"/>
  <c r="U526" i="1"/>
  <c r="V526" i="1"/>
  <c r="W526" i="1"/>
  <c r="X526" i="1"/>
  <c r="Y526" i="1"/>
  <c r="Z526" i="1"/>
  <c r="P527" i="1"/>
  <c r="Q527" i="1"/>
  <c r="R527" i="1"/>
  <c r="S527" i="1"/>
  <c r="T527" i="1"/>
  <c r="U527" i="1"/>
  <c r="V527" i="1"/>
  <c r="W527" i="1"/>
  <c r="X527" i="1"/>
  <c r="Y527" i="1"/>
  <c r="Z527" i="1"/>
  <c r="P528" i="1"/>
  <c r="Q528" i="1"/>
  <c r="R528" i="1"/>
  <c r="S528" i="1"/>
  <c r="T528" i="1"/>
  <c r="U528" i="1"/>
  <c r="V528" i="1"/>
  <c r="W528" i="1"/>
  <c r="X528" i="1"/>
  <c r="Y528" i="1"/>
  <c r="Z528" i="1"/>
  <c r="P529" i="1"/>
  <c r="Q529" i="1"/>
  <c r="R529" i="1"/>
  <c r="S529" i="1"/>
  <c r="T529" i="1"/>
  <c r="U529" i="1"/>
  <c r="V529" i="1"/>
  <c r="W529" i="1"/>
  <c r="X529" i="1"/>
  <c r="Y529" i="1"/>
  <c r="Z529" i="1"/>
  <c r="P530" i="1"/>
  <c r="Q530" i="1"/>
  <c r="R530" i="1"/>
  <c r="S530" i="1"/>
  <c r="T530" i="1"/>
  <c r="U530" i="1"/>
  <c r="V530" i="1"/>
  <c r="W530" i="1"/>
  <c r="X530" i="1"/>
  <c r="Y530" i="1"/>
  <c r="Z530" i="1"/>
  <c r="P531" i="1"/>
  <c r="Q531" i="1"/>
  <c r="R531" i="1"/>
  <c r="S531" i="1"/>
  <c r="T531" i="1"/>
  <c r="U531" i="1"/>
  <c r="V531" i="1"/>
  <c r="W531" i="1"/>
  <c r="X531" i="1"/>
  <c r="Y531" i="1"/>
  <c r="Z531" i="1"/>
  <c r="P532" i="1"/>
  <c r="Q532" i="1"/>
  <c r="R532" i="1"/>
  <c r="S532" i="1"/>
  <c r="T532" i="1"/>
  <c r="U532" i="1"/>
  <c r="V532" i="1"/>
  <c r="W532" i="1"/>
  <c r="X532" i="1"/>
  <c r="Y532" i="1"/>
  <c r="Z532" i="1"/>
  <c r="P533" i="1"/>
  <c r="Q533" i="1"/>
  <c r="R533" i="1"/>
  <c r="S533" i="1"/>
  <c r="T533" i="1"/>
  <c r="U533" i="1"/>
  <c r="V533" i="1"/>
  <c r="W533" i="1"/>
  <c r="X533" i="1"/>
  <c r="Y533" i="1"/>
  <c r="Z533" i="1"/>
  <c r="P534" i="1"/>
  <c r="Q534" i="1"/>
  <c r="R534" i="1"/>
  <c r="S534" i="1"/>
  <c r="T534" i="1"/>
  <c r="U534" i="1"/>
  <c r="V534" i="1"/>
  <c r="W534" i="1"/>
  <c r="X534" i="1"/>
  <c r="Y534" i="1"/>
  <c r="Z534" i="1"/>
  <c r="P535" i="1"/>
  <c r="Q535" i="1"/>
  <c r="R535" i="1"/>
  <c r="S535" i="1"/>
  <c r="T535" i="1"/>
  <c r="U535" i="1"/>
  <c r="V535" i="1"/>
  <c r="W535" i="1"/>
  <c r="X535" i="1"/>
  <c r="Y535" i="1"/>
  <c r="Z535" i="1"/>
  <c r="P536" i="1"/>
  <c r="Q536" i="1"/>
  <c r="R536" i="1"/>
  <c r="S536" i="1"/>
  <c r="T536" i="1"/>
  <c r="U536" i="1"/>
  <c r="V536" i="1"/>
  <c r="W536" i="1"/>
  <c r="X536" i="1"/>
  <c r="Y536" i="1"/>
  <c r="Z536" i="1"/>
  <c r="P537" i="1"/>
  <c r="Q537" i="1"/>
  <c r="R537" i="1"/>
  <c r="S537" i="1"/>
  <c r="T537" i="1"/>
  <c r="U537" i="1"/>
  <c r="V537" i="1"/>
  <c r="W537" i="1"/>
  <c r="X537" i="1"/>
  <c r="Y537" i="1"/>
  <c r="Z537" i="1"/>
  <c r="P538" i="1"/>
  <c r="Q538" i="1"/>
  <c r="R538" i="1"/>
  <c r="S538" i="1"/>
  <c r="T538" i="1"/>
  <c r="U538" i="1"/>
  <c r="V538" i="1"/>
  <c r="W538" i="1"/>
  <c r="X538" i="1"/>
  <c r="Y538" i="1"/>
  <c r="Z538" i="1"/>
  <c r="P539" i="1"/>
  <c r="Q539" i="1"/>
  <c r="R539" i="1"/>
  <c r="S539" i="1"/>
  <c r="T539" i="1"/>
  <c r="U539" i="1"/>
  <c r="V539" i="1"/>
  <c r="W539" i="1"/>
  <c r="X539" i="1"/>
  <c r="Y539" i="1"/>
  <c r="Z539" i="1"/>
  <c r="P540" i="1"/>
  <c r="Q540" i="1"/>
  <c r="R540" i="1"/>
  <c r="S540" i="1"/>
  <c r="T540" i="1"/>
  <c r="U540" i="1"/>
  <c r="V540" i="1"/>
  <c r="W540" i="1"/>
  <c r="X540" i="1"/>
  <c r="Y540" i="1"/>
  <c r="Z540" i="1"/>
  <c r="P541" i="1"/>
  <c r="Q541" i="1"/>
  <c r="R541" i="1"/>
  <c r="S541" i="1"/>
  <c r="T541" i="1"/>
  <c r="U541" i="1"/>
  <c r="V541" i="1"/>
  <c r="W541" i="1"/>
  <c r="X541" i="1"/>
  <c r="Y541" i="1"/>
  <c r="Z541" i="1"/>
  <c r="P542" i="1"/>
  <c r="Q542" i="1"/>
  <c r="R542" i="1"/>
  <c r="S542" i="1"/>
  <c r="T542" i="1"/>
  <c r="U542" i="1"/>
  <c r="V542" i="1"/>
  <c r="W542" i="1"/>
  <c r="X542" i="1"/>
  <c r="Y542" i="1"/>
  <c r="Z542" i="1"/>
  <c r="P543" i="1"/>
  <c r="Q543" i="1"/>
  <c r="R543" i="1"/>
  <c r="S543" i="1"/>
  <c r="T543" i="1"/>
  <c r="U543" i="1"/>
  <c r="V543" i="1"/>
  <c r="W543" i="1"/>
  <c r="X543" i="1"/>
  <c r="Y543" i="1"/>
  <c r="Z543" i="1"/>
  <c r="P544" i="1"/>
  <c r="Q544" i="1"/>
  <c r="R544" i="1"/>
  <c r="S544" i="1"/>
  <c r="T544" i="1"/>
  <c r="U544" i="1"/>
  <c r="V544" i="1"/>
  <c r="W544" i="1"/>
  <c r="X544" i="1"/>
  <c r="Y544" i="1"/>
  <c r="Z544" i="1"/>
  <c r="P545" i="1"/>
  <c r="Q545" i="1"/>
  <c r="R545" i="1"/>
  <c r="S545" i="1"/>
  <c r="T545" i="1"/>
  <c r="U545" i="1"/>
  <c r="V545" i="1"/>
  <c r="W545" i="1"/>
  <c r="X545" i="1"/>
  <c r="Y545" i="1"/>
  <c r="Z545" i="1"/>
  <c r="P546" i="1"/>
  <c r="Q546" i="1"/>
  <c r="R546" i="1"/>
  <c r="S546" i="1"/>
  <c r="T546" i="1"/>
  <c r="U546" i="1"/>
  <c r="V546" i="1"/>
  <c r="W546" i="1"/>
  <c r="X546" i="1"/>
  <c r="Y546" i="1"/>
  <c r="Z546" i="1"/>
  <c r="P547" i="1"/>
  <c r="Q547" i="1"/>
  <c r="R547" i="1"/>
  <c r="S547" i="1"/>
  <c r="T547" i="1"/>
  <c r="U547" i="1"/>
  <c r="V547" i="1"/>
  <c r="W547" i="1"/>
  <c r="X547" i="1"/>
  <c r="Y547" i="1"/>
  <c r="Z547" i="1"/>
  <c r="P548" i="1"/>
  <c r="Q548" i="1"/>
  <c r="R548" i="1"/>
  <c r="S548" i="1"/>
  <c r="T548" i="1"/>
  <c r="U548" i="1"/>
  <c r="V548" i="1"/>
  <c r="W548" i="1"/>
  <c r="X548" i="1"/>
  <c r="Y548" i="1"/>
  <c r="Z548" i="1"/>
  <c r="P549" i="1"/>
  <c r="Q549" i="1"/>
  <c r="R549" i="1"/>
  <c r="S549" i="1"/>
  <c r="T549" i="1"/>
  <c r="U549" i="1"/>
  <c r="V549" i="1"/>
  <c r="W549" i="1"/>
  <c r="X549" i="1"/>
  <c r="Y549" i="1"/>
  <c r="Z549" i="1"/>
  <c r="P550" i="1"/>
  <c r="Q550" i="1"/>
  <c r="R550" i="1"/>
  <c r="S550" i="1"/>
  <c r="T550" i="1"/>
  <c r="U550" i="1"/>
  <c r="V550" i="1"/>
  <c r="W550" i="1"/>
  <c r="X550" i="1"/>
  <c r="Y550" i="1"/>
  <c r="Z550" i="1"/>
  <c r="P551" i="1"/>
  <c r="Q551" i="1"/>
  <c r="R551" i="1"/>
  <c r="S551" i="1"/>
  <c r="T551" i="1"/>
  <c r="U551" i="1"/>
  <c r="V551" i="1"/>
  <c r="W551" i="1"/>
  <c r="X551" i="1"/>
  <c r="Y551" i="1"/>
  <c r="Z551" i="1"/>
  <c r="P552" i="1"/>
  <c r="Q552" i="1"/>
  <c r="R552" i="1"/>
  <c r="S552" i="1"/>
  <c r="T552" i="1"/>
  <c r="U552" i="1"/>
  <c r="V552" i="1"/>
  <c r="W552" i="1"/>
  <c r="X552" i="1"/>
  <c r="Y552" i="1"/>
  <c r="Z552" i="1"/>
  <c r="P553" i="1"/>
  <c r="Q553" i="1"/>
  <c r="R553" i="1"/>
  <c r="S553" i="1"/>
  <c r="T553" i="1"/>
  <c r="U553" i="1"/>
  <c r="V553" i="1"/>
  <c r="W553" i="1"/>
  <c r="X553" i="1"/>
  <c r="Y553" i="1"/>
  <c r="Z553" i="1"/>
  <c r="P554" i="1"/>
  <c r="Q554" i="1"/>
  <c r="R554" i="1"/>
  <c r="S554" i="1"/>
  <c r="T554" i="1"/>
  <c r="U554" i="1"/>
  <c r="V554" i="1"/>
  <c r="W554" i="1"/>
  <c r="X554" i="1"/>
  <c r="Y554" i="1"/>
  <c r="Z554" i="1"/>
  <c r="P555" i="1"/>
  <c r="Q555" i="1"/>
  <c r="R555" i="1"/>
  <c r="S555" i="1"/>
  <c r="T555" i="1"/>
  <c r="U555" i="1"/>
  <c r="V555" i="1"/>
  <c r="W555" i="1"/>
  <c r="X555" i="1"/>
  <c r="Y555" i="1"/>
  <c r="Z555" i="1"/>
  <c r="P556" i="1"/>
  <c r="Q556" i="1"/>
  <c r="R556" i="1"/>
  <c r="S556" i="1"/>
  <c r="T556" i="1"/>
  <c r="U556" i="1"/>
  <c r="V556" i="1"/>
  <c r="W556" i="1"/>
  <c r="X556" i="1"/>
  <c r="Y556" i="1"/>
  <c r="Z556" i="1"/>
  <c r="P557" i="1"/>
  <c r="Q557" i="1"/>
  <c r="R557" i="1"/>
  <c r="S557" i="1"/>
  <c r="T557" i="1"/>
  <c r="U557" i="1"/>
  <c r="V557" i="1"/>
  <c r="W557" i="1"/>
  <c r="X557" i="1"/>
  <c r="Y557" i="1"/>
  <c r="Z557" i="1"/>
  <c r="P558" i="1"/>
  <c r="Q558" i="1"/>
  <c r="R558" i="1"/>
  <c r="S558" i="1"/>
  <c r="T558" i="1"/>
  <c r="U558" i="1"/>
  <c r="V558" i="1"/>
  <c r="W558" i="1"/>
  <c r="X558" i="1"/>
  <c r="Y558" i="1"/>
  <c r="Z558" i="1"/>
  <c r="P559" i="1"/>
  <c r="Q559" i="1"/>
  <c r="R559" i="1"/>
  <c r="S559" i="1"/>
  <c r="T559" i="1"/>
  <c r="U559" i="1"/>
  <c r="V559" i="1"/>
  <c r="W559" i="1"/>
  <c r="X559" i="1"/>
  <c r="Y559" i="1"/>
  <c r="Z559" i="1"/>
  <c r="P560" i="1"/>
  <c r="Q560" i="1"/>
  <c r="R560" i="1"/>
  <c r="S560" i="1"/>
  <c r="T560" i="1"/>
  <c r="U560" i="1"/>
  <c r="V560" i="1"/>
  <c r="W560" i="1"/>
  <c r="X560" i="1"/>
  <c r="Y560" i="1"/>
  <c r="Z560" i="1"/>
  <c r="P561" i="1"/>
  <c r="Q561" i="1"/>
  <c r="R561" i="1"/>
  <c r="S561" i="1"/>
  <c r="T561" i="1"/>
  <c r="U561" i="1"/>
  <c r="V561" i="1"/>
  <c r="W561" i="1"/>
  <c r="X561" i="1"/>
  <c r="Y561" i="1"/>
  <c r="Z561" i="1"/>
  <c r="P562" i="1"/>
  <c r="Q562" i="1"/>
  <c r="R562" i="1"/>
  <c r="S562" i="1"/>
  <c r="T562" i="1"/>
  <c r="U562" i="1"/>
  <c r="V562" i="1"/>
  <c r="W562" i="1"/>
  <c r="X562" i="1"/>
  <c r="Y562" i="1"/>
  <c r="Z562" i="1"/>
  <c r="P563" i="1"/>
  <c r="Q563" i="1"/>
  <c r="R563" i="1"/>
  <c r="S563" i="1"/>
  <c r="T563" i="1"/>
  <c r="U563" i="1"/>
  <c r="V563" i="1"/>
  <c r="W563" i="1"/>
  <c r="X563" i="1"/>
  <c r="Y563" i="1"/>
  <c r="Z563" i="1"/>
  <c r="P564" i="1"/>
  <c r="Q564" i="1"/>
  <c r="R564" i="1"/>
  <c r="S564" i="1"/>
  <c r="T564" i="1"/>
  <c r="U564" i="1"/>
  <c r="V564" i="1"/>
  <c r="W564" i="1"/>
  <c r="X564" i="1"/>
  <c r="Y564" i="1"/>
  <c r="Z564" i="1"/>
  <c r="P565" i="1"/>
  <c r="Q565" i="1"/>
  <c r="R565" i="1"/>
  <c r="S565" i="1"/>
  <c r="T565" i="1"/>
  <c r="U565" i="1"/>
  <c r="V565" i="1"/>
  <c r="W565" i="1"/>
  <c r="X565" i="1"/>
  <c r="Y565" i="1"/>
  <c r="Z565" i="1"/>
  <c r="P566" i="1"/>
  <c r="Q566" i="1"/>
  <c r="R566" i="1"/>
  <c r="S566" i="1"/>
  <c r="T566" i="1"/>
  <c r="U566" i="1"/>
  <c r="V566" i="1"/>
  <c r="W566" i="1"/>
  <c r="X566" i="1"/>
  <c r="Y566" i="1"/>
  <c r="Z566" i="1"/>
  <c r="P567" i="1"/>
  <c r="Q567" i="1"/>
  <c r="R567" i="1"/>
  <c r="S567" i="1"/>
  <c r="T567" i="1"/>
  <c r="U567" i="1"/>
  <c r="V567" i="1"/>
  <c r="W567" i="1"/>
  <c r="X567" i="1"/>
  <c r="Y567" i="1"/>
  <c r="Z567" i="1"/>
  <c r="P568" i="1"/>
  <c r="Q568" i="1"/>
  <c r="R568" i="1"/>
  <c r="S568" i="1"/>
  <c r="T568" i="1"/>
  <c r="U568" i="1"/>
  <c r="V568" i="1"/>
  <c r="W568" i="1"/>
  <c r="X568" i="1"/>
  <c r="Y568" i="1"/>
  <c r="Z568" i="1"/>
  <c r="P569" i="1"/>
  <c r="Q569" i="1"/>
  <c r="R569" i="1"/>
  <c r="S569" i="1"/>
  <c r="T569" i="1"/>
  <c r="U569" i="1"/>
  <c r="V569" i="1"/>
  <c r="W569" i="1"/>
  <c r="X569" i="1"/>
  <c r="Y569" i="1"/>
  <c r="Z569" i="1"/>
  <c r="P570" i="1"/>
  <c r="Q570" i="1"/>
  <c r="R570" i="1"/>
  <c r="S570" i="1"/>
  <c r="T570" i="1"/>
  <c r="U570" i="1"/>
  <c r="V570" i="1"/>
  <c r="W570" i="1"/>
  <c r="X570" i="1"/>
  <c r="Y570" i="1"/>
  <c r="Z570" i="1"/>
  <c r="P571" i="1"/>
  <c r="Q571" i="1"/>
  <c r="R571" i="1"/>
  <c r="S571" i="1"/>
  <c r="T571" i="1"/>
  <c r="U571" i="1"/>
  <c r="V571" i="1"/>
  <c r="W571" i="1"/>
  <c r="X571" i="1"/>
  <c r="Y571" i="1"/>
  <c r="Z571" i="1"/>
  <c r="P572" i="1"/>
  <c r="Q572" i="1"/>
  <c r="R572" i="1"/>
  <c r="S572" i="1"/>
  <c r="T572" i="1"/>
  <c r="U572" i="1"/>
  <c r="V572" i="1"/>
  <c r="W572" i="1"/>
  <c r="X572" i="1"/>
  <c r="Y572" i="1"/>
  <c r="Z572" i="1"/>
  <c r="P573" i="1"/>
  <c r="Q573" i="1"/>
  <c r="R573" i="1"/>
  <c r="S573" i="1"/>
  <c r="T573" i="1"/>
  <c r="U573" i="1"/>
  <c r="V573" i="1"/>
  <c r="W573" i="1"/>
  <c r="X573" i="1"/>
  <c r="Y573" i="1"/>
  <c r="Z573" i="1"/>
  <c r="P574" i="1"/>
  <c r="Q574" i="1"/>
  <c r="R574" i="1"/>
  <c r="S574" i="1"/>
  <c r="T574" i="1"/>
  <c r="U574" i="1"/>
  <c r="V574" i="1"/>
  <c r="W574" i="1"/>
  <c r="X574" i="1"/>
  <c r="Y574" i="1"/>
  <c r="Z574" i="1"/>
  <c r="P575" i="1"/>
  <c r="Q575" i="1"/>
  <c r="R575" i="1"/>
  <c r="S575" i="1"/>
  <c r="T575" i="1"/>
  <c r="U575" i="1"/>
  <c r="V575" i="1"/>
  <c r="W575" i="1"/>
  <c r="X575" i="1"/>
  <c r="Y575" i="1"/>
  <c r="Z575" i="1"/>
  <c r="P576" i="1"/>
  <c r="Q576" i="1"/>
  <c r="R576" i="1"/>
  <c r="S576" i="1"/>
  <c r="T576" i="1"/>
  <c r="U576" i="1"/>
  <c r="V576" i="1"/>
  <c r="W576" i="1"/>
  <c r="X576" i="1"/>
  <c r="Y576" i="1"/>
  <c r="Z576" i="1"/>
  <c r="P577" i="1"/>
  <c r="Q577" i="1"/>
  <c r="R577" i="1"/>
  <c r="S577" i="1"/>
  <c r="T577" i="1"/>
  <c r="U577" i="1"/>
  <c r="V577" i="1"/>
  <c r="W577" i="1"/>
  <c r="X577" i="1"/>
  <c r="Y577" i="1"/>
  <c r="Z577" i="1"/>
  <c r="P578" i="1"/>
  <c r="Q578" i="1"/>
  <c r="R578" i="1"/>
  <c r="S578" i="1"/>
  <c r="T578" i="1"/>
  <c r="U578" i="1"/>
  <c r="V578" i="1"/>
  <c r="W578" i="1"/>
  <c r="X578" i="1"/>
  <c r="Y578" i="1"/>
  <c r="Z578" i="1"/>
  <c r="P579" i="1"/>
  <c r="Q579" i="1"/>
  <c r="R579" i="1"/>
  <c r="S579" i="1"/>
  <c r="T579" i="1"/>
  <c r="U579" i="1"/>
  <c r="V579" i="1"/>
  <c r="W579" i="1"/>
  <c r="X579" i="1"/>
  <c r="Y579" i="1"/>
  <c r="Z579" i="1"/>
  <c r="P580" i="1"/>
  <c r="Q580" i="1"/>
  <c r="R580" i="1"/>
  <c r="S580" i="1"/>
  <c r="T580" i="1"/>
  <c r="U580" i="1"/>
  <c r="V580" i="1"/>
  <c r="W580" i="1"/>
  <c r="X580" i="1"/>
  <c r="Y580" i="1"/>
  <c r="Z580" i="1"/>
  <c r="P581" i="1"/>
  <c r="Q581" i="1"/>
  <c r="R581" i="1"/>
  <c r="S581" i="1"/>
  <c r="T581" i="1"/>
  <c r="U581" i="1"/>
  <c r="V581" i="1"/>
  <c r="W581" i="1"/>
  <c r="X581" i="1"/>
  <c r="Y581" i="1"/>
  <c r="Z581" i="1"/>
  <c r="P582" i="1"/>
  <c r="Q582" i="1"/>
  <c r="R582" i="1"/>
  <c r="S582" i="1"/>
  <c r="T582" i="1"/>
  <c r="U582" i="1"/>
  <c r="V582" i="1"/>
  <c r="W582" i="1"/>
  <c r="X582" i="1"/>
  <c r="Y582" i="1"/>
  <c r="Z582" i="1"/>
  <c r="P583" i="1"/>
  <c r="Q583" i="1"/>
  <c r="R583" i="1"/>
  <c r="S583" i="1"/>
  <c r="T583" i="1"/>
  <c r="U583" i="1"/>
  <c r="V583" i="1"/>
  <c r="W583" i="1"/>
  <c r="X583" i="1"/>
  <c r="Y583" i="1"/>
  <c r="Z583" i="1"/>
  <c r="P584" i="1"/>
  <c r="Q584" i="1"/>
  <c r="R584" i="1"/>
  <c r="S584" i="1"/>
  <c r="T584" i="1"/>
  <c r="U584" i="1"/>
  <c r="V584" i="1"/>
  <c r="W584" i="1"/>
  <c r="X584" i="1"/>
  <c r="Y584" i="1"/>
  <c r="Z584" i="1"/>
  <c r="P585" i="1"/>
  <c r="Q585" i="1"/>
  <c r="R585" i="1"/>
  <c r="S585" i="1"/>
  <c r="T585" i="1"/>
  <c r="U585" i="1"/>
  <c r="V585" i="1"/>
  <c r="W585" i="1"/>
  <c r="X585" i="1"/>
  <c r="Y585" i="1"/>
  <c r="Z585" i="1"/>
  <c r="P586" i="1"/>
  <c r="Q586" i="1"/>
  <c r="R586" i="1"/>
  <c r="S586" i="1"/>
  <c r="T586" i="1"/>
  <c r="U586" i="1"/>
  <c r="V586" i="1"/>
  <c r="W586" i="1"/>
  <c r="X586" i="1"/>
  <c r="Y586" i="1"/>
  <c r="Z586" i="1"/>
  <c r="P587" i="1"/>
  <c r="Q587" i="1"/>
  <c r="R587" i="1"/>
  <c r="S587" i="1"/>
  <c r="T587" i="1"/>
  <c r="U587" i="1"/>
  <c r="V587" i="1"/>
  <c r="W587" i="1"/>
  <c r="X587" i="1"/>
  <c r="Y587" i="1"/>
  <c r="Z587" i="1"/>
  <c r="P588" i="1"/>
  <c r="Q588" i="1"/>
  <c r="R588" i="1"/>
  <c r="S588" i="1"/>
  <c r="T588" i="1"/>
  <c r="U588" i="1"/>
  <c r="V588" i="1"/>
  <c r="W588" i="1"/>
  <c r="X588" i="1"/>
  <c r="Y588" i="1"/>
  <c r="Z588" i="1"/>
  <c r="P589" i="1"/>
  <c r="Q589" i="1"/>
  <c r="R589" i="1"/>
  <c r="S589" i="1"/>
  <c r="T589" i="1"/>
  <c r="U589" i="1"/>
  <c r="V589" i="1"/>
  <c r="W589" i="1"/>
  <c r="X589" i="1"/>
  <c r="Y589" i="1"/>
  <c r="Z589" i="1"/>
  <c r="P590" i="1"/>
  <c r="Q590" i="1"/>
  <c r="R590" i="1"/>
  <c r="S590" i="1"/>
  <c r="T590" i="1"/>
  <c r="U590" i="1"/>
  <c r="V590" i="1"/>
  <c r="W590" i="1"/>
  <c r="X590" i="1"/>
  <c r="Y590" i="1"/>
  <c r="Z590" i="1"/>
  <c r="P591" i="1"/>
  <c r="Q591" i="1"/>
  <c r="R591" i="1"/>
  <c r="S591" i="1"/>
  <c r="T591" i="1"/>
  <c r="U591" i="1"/>
  <c r="V591" i="1"/>
  <c r="W591" i="1"/>
  <c r="X591" i="1"/>
  <c r="Y591" i="1"/>
  <c r="Z591" i="1"/>
  <c r="P592" i="1"/>
  <c r="Q592" i="1"/>
  <c r="R592" i="1"/>
  <c r="S592" i="1"/>
  <c r="T592" i="1"/>
  <c r="U592" i="1"/>
  <c r="V592" i="1"/>
  <c r="W592" i="1"/>
  <c r="X592" i="1"/>
  <c r="Y592" i="1"/>
  <c r="Z592" i="1"/>
  <c r="P593" i="1"/>
  <c r="Q593" i="1"/>
  <c r="R593" i="1"/>
  <c r="S593" i="1"/>
  <c r="T593" i="1"/>
  <c r="U593" i="1"/>
  <c r="V593" i="1"/>
  <c r="W593" i="1"/>
  <c r="X593" i="1"/>
  <c r="Y593" i="1"/>
  <c r="Z593" i="1"/>
  <c r="P594" i="1"/>
  <c r="Q594" i="1"/>
  <c r="R594" i="1"/>
  <c r="S594" i="1"/>
  <c r="T594" i="1"/>
  <c r="U594" i="1"/>
  <c r="V594" i="1"/>
  <c r="W594" i="1"/>
  <c r="X594" i="1"/>
  <c r="Y594" i="1"/>
  <c r="Z594" i="1"/>
  <c r="P595" i="1"/>
  <c r="Q595" i="1"/>
  <c r="R595" i="1"/>
  <c r="S595" i="1"/>
  <c r="T595" i="1"/>
  <c r="U595" i="1"/>
  <c r="V595" i="1"/>
  <c r="W595" i="1"/>
  <c r="X595" i="1"/>
  <c r="Y595" i="1"/>
  <c r="Z595" i="1"/>
  <c r="P596" i="1"/>
  <c r="Q596" i="1"/>
  <c r="R596" i="1"/>
  <c r="S596" i="1"/>
  <c r="T596" i="1"/>
  <c r="U596" i="1"/>
  <c r="V596" i="1"/>
  <c r="W596" i="1"/>
  <c r="X596" i="1"/>
  <c r="Y596" i="1"/>
  <c r="Z596" i="1"/>
  <c r="P597" i="1"/>
  <c r="Q597" i="1"/>
  <c r="R597" i="1"/>
  <c r="S597" i="1"/>
  <c r="T597" i="1"/>
  <c r="U597" i="1"/>
  <c r="V597" i="1"/>
  <c r="W597" i="1"/>
  <c r="X597" i="1"/>
  <c r="Y597" i="1"/>
  <c r="Z597" i="1"/>
  <c r="P598" i="1"/>
  <c r="Q598" i="1"/>
  <c r="R598" i="1"/>
  <c r="S598" i="1"/>
  <c r="T598" i="1"/>
  <c r="U598" i="1"/>
  <c r="V598" i="1"/>
  <c r="W598" i="1"/>
  <c r="X598" i="1"/>
  <c r="Y598" i="1"/>
  <c r="Z598" i="1"/>
  <c r="P599" i="1"/>
  <c r="Q599" i="1"/>
  <c r="R599" i="1"/>
  <c r="S599" i="1"/>
  <c r="T599" i="1"/>
  <c r="U599" i="1"/>
  <c r="V599" i="1"/>
  <c r="W599" i="1"/>
  <c r="X599" i="1"/>
  <c r="Y599" i="1"/>
  <c r="Z599" i="1"/>
  <c r="P600" i="1"/>
  <c r="Q600" i="1"/>
  <c r="R600" i="1"/>
  <c r="S600" i="1"/>
  <c r="T600" i="1"/>
  <c r="U600" i="1"/>
  <c r="V600" i="1"/>
  <c r="W600" i="1"/>
  <c r="X600" i="1"/>
  <c r="Y600" i="1"/>
  <c r="Z600" i="1"/>
  <c r="P601" i="1"/>
  <c r="Q601" i="1"/>
  <c r="R601" i="1"/>
  <c r="S601" i="1"/>
  <c r="T601" i="1"/>
  <c r="U601" i="1"/>
  <c r="V601" i="1"/>
  <c r="W601" i="1"/>
  <c r="X601" i="1"/>
  <c r="Y601" i="1"/>
  <c r="Z601" i="1"/>
  <c r="P602" i="1"/>
  <c r="Q602" i="1"/>
  <c r="R602" i="1"/>
  <c r="S602" i="1"/>
  <c r="T602" i="1"/>
  <c r="U602" i="1"/>
  <c r="V602" i="1"/>
  <c r="W602" i="1"/>
  <c r="X602" i="1"/>
  <c r="Y602" i="1"/>
  <c r="Z602" i="1"/>
  <c r="P603" i="1"/>
  <c r="Q603" i="1"/>
  <c r="R603" i="1"/>
  <c r="S603" i="1"/>
  <c r="T603" i="1"/>
  <c r="U603" i="1"/>
  <c r="V603" i="1"/>
  <c r="W603" i="1"/>
  <c r="X603" i="1"/>
  <c r="Y603" i="1"/>
  <c r="Z603" i="1"/>
  <c r="P604" i="1"/>
  <c r="Q604" i="1"/>
  <c r="R604" i="1"/>
  <c r="S604" i="1"/>
  <c r="T604" i="1"/>
  <c r="U604" i="1"/>
  <c r="V604" i="1"/>
  <c r="W604" i="1"/>
  <c r="X604" i="1"/>
  <c r="Y604" i="1"/>
  <c r="Z604" i="1"/>
  <c r="P605" i="1"/>
  <c r="Q605" i="1"/>
  <c r="R605" i="1"/>
  <c r="S605" i="1"/>
  <c r="T605" i="1"/>
  <c r="U605" i="1"/>
  <c r="V605" i="1"/>
  <c r="W605" i="1"/>
  <c r="X605" i="1"/>
  <c r="Y605" i="1"/>
  <c r="Z605" i="1"/>
  <c r="P606" i="1"/>
  <c r="Q606" i="1"/>
  <c r="R606" i="1"/>
  <c r="S606" i="1"/>
  <c r="T606" i="1"/>
  <c r="U606" i="1"/>
  <c r="V606" i="1"/>
  <c r="W606" i="1"/>
  <c r="X606" i="1"/>
  <c r="Y606" i="1"/>
  <c r="Z606" i="1"/>
  <c r="P607" i="1"/>
  <c r="Q607" i="1"/>
  <c r="R607" i="1"/>
  <c r="S607" i="1"/>
  <c r="T607" i="1"/>
  <c r="U607" i="1"/>
  <c r="V607" i="1"/>
  <c r="W607" i="1"/>
  <c r="X607" i="1"/>
  <c r="Y607" i="1"/>
  <c r="Z607" i="1"/>
  <c r="P608" i="1"/>
  <c r="Q608" i="1"/>
  <c r="R608" i="1"/>
  <c r="S608" i="1"/>
  <c r="T608" i="1"/>
  <c r="U608" i="1"/>
  <c r="V608" i="1"/>
  <c r="W608" i="1"/>
  <c r="X608" i="1"/>
  <c r="Y608" i="1"/>
  <c r="Z608" i="1"/>
  <c r="P609" i="1"/>
  <c r="Q609" i="1"/>
  <c r="R609" i="1"/>
  <c r="S609" i="1"/>
  <c r="T609" i="1"/>
  <c r="U609" i="1"/>
  <c r="V609" i="1"/>
  <c r="W609" i="1"/>
  <c r="X609" i="1"/>
  <c r="Y609" i="1"/>
  <c r="Z609" i="1"/>
  <c r="P610" i="1"/>
  <c r="Q610" i="1"/>
  <c r="R610" i="1"/>
  <c r="S610" i="1"/>
  <c r="T610" i="1"/>
  <c r="U610" i="1"/>
  <c r="V610" i="1"/>
  <c r="W610" i="1"/>
  <c r="X610" i="1"/>
  <c r="Y610" i="1"/>
  <c r="Z610" i="1"/>
  <c r="P611" i="1"/>
  <c r="Q611" i="1"/>
  <c r="R611" i="1"/>
  <c r="S611" i="1"/>
  <c r="T611" i="1"/>
  <c r="U611" i="1"/>
  <c r="V611" i="1"/>
  <c r="W611" i="1"/>
  <c r="X611" i="1"/>
  <c r="Y611" i="1"/>
  <c r="Z611" i="1"/>
  <c r="P612" i="1"/>
  <c r="Q612" i="1"/>
  <c r="R612" i="1"/>
  <c r="S612" i="1"/>
  <c r="T612" i="1"/>
  <c r="U612" i="1"/>
  <c r="V612" i="1"/>
  <c r="W612" i="1"/>
  <c r="X612" i="1"/>
  <c r="Y612" i="1"/>
  <c r="Z612" i="1"/>
  <c r="P613" i="1"/>
  <c r="Q613" i="1"/>
  <c r="R613" i="1"/>
  <c r="S613" i="1"/>
  <c r="T613" i="1"/>
  <c r="U613" i="1"/>
  <c r="V613" i="1"/>
  <c r="W613" i="1"/>
  <c r="X613" i="1"/>
  <c r="Y613" i="1"/>
  <c r="Z613" i="1"/>
  <c r="P614" i="1"/>
  <c r="Q614" i="1"/>
  <c r="R614" i="1"/>
  <c r="S614" i="1"/>
  <c r="T614" i="1"/>
  <c r="U614" i="1"/>
  <c r="V614" i="1"/>
  <c r="W614" i="1"/>
  <c r="X614" i="1"/>
  <c r="Y614" i="1"/>
  <c r="Z614" i="1"/>
  <c r="P615" i="1"/>
  <c r="Q615" i="1"/>
  <c r="R615" i="1"/>
  <c r="S615" i="1"/>
  <c r="T615" i="1"/>
  <c r="U615" i="1"/>
  <c r="V615" i="1"/>
  <c r="W615" i="1"/>
  <c r="X615" i="1"/>
  <c r="Y615" i="1"/>
  <c r="Z615" i="1"/>
  <c r="P616" i="1"/>
  <c r="Q616" i="1"/>
  <c r="R616" i="1"/>
  <c r="S616" i="1"/>
  <c r="T616" i="1"/>
  <c r="U616" i="1"/>
  <c r="V616" i="1"/>
  <c r="W616" i="1"/>
  <c r="X616" i="1"/>
  <c r="Y616" i="1"/>
  <c r="Z616" i="1"/>
  <c r="P617" i="1"/>
  <c r="Q617" i="1"/>
  <c r="R617" i="1"/>
  <c r="S617" i="1"/>
  <c r="T617" i="1"/>
  <c r="U617" i="1"/>
  <c r="V617" i="1"/>
  <c r="W617" i="1"/>
  <c r="X617" i="1"/>
  <c r="Y617" i="1"/>
  <c r="Z617" i="1"/>
  <c r="P618" i="1"/>
  <c r="Q618" i="1"/>
  <c r="R618" i="1"/>
  <c r="S618" i="1"/>
  <c r="T618" i="1"/>
  <c r="U618" i="1"/>
  <c r="V618" i="1"/>
  <c r="W618" i="1"/>
  <c r="X618" i="1"/>
  <c r="Y618" i="1"/>
  <c r="Z618" i="1"/>
  <c r="P619" i="1"/>
  <c r="Q619" i="1"/>
  <c r="R619" i="1"/>
  <c r="S619" i="1"/>
  <c r="T619" i="1"/>
  <c r="U619" i="1"/>
  <c r="V619" i="1"/>
  <c r="W619" i="1"/>
  <c r="X619" i="1"/>
  <c r="Y619" i="1"/>
  <c r="Z619" i="1"/>
  <c r="P620" i="1"/>
  <c r="Q620" i="1"/>
  <c r="R620" i="1"/>
  <c r="S620" i="1"/>
  <c r="T620" i="1"/>
  <c r="U620" i="1"/>
  <c r="V620" i="1"/>
  <c r="W620" i="1"/>
  <c r="X620" i="1"/>
  <c r="Y620" i="1"/>
  <c r="Z620" i="1"/>
  <c r="P621" i="1"/>
  <c r="Q621" i="1"/>
  <c r="R621" i="1"/>
  <c r="S621" i="1"/>
  <c r="T621" i="1"/>
  <c r="U621" i="1"/>
  <c r="V621" i="1"/>
  <c r="W621" i="1"/>
  <c r="X621" i="1"/>
  <c r="Y621" i="1"/>
  <c r="Z621" i="1"/>
  <c r="P622" i="1"/>
  <c r="Q622" i="1"/>
  <c r="R622" i="1"/>
  <c r="S622" i="1"/>
  <c r="T622" i="1"/>
  <c r="U622" i="1"/>
  <c r="V622" i="1"/>
  <c r="W622" i="1"/>
  <c r="X622" i="1"/>
  <c r="Y622" i="1"/>
  <c r="Z622" i="1"/>
  <c r="P623" i="1"/>
  <c r="Q623" i="1"/>
  <c r="R623" i="1"/>
  <c r="S623" i="1"/>
  <c r="T623" i="1"/>
  <c r="U623" i="1"/>
  <c r="V623" i="1"/>
  <c r="W623" i="1"/>
  <c r="X623" i="1"/>
  <c r="Y623" i="1"/>
  <c r="Z623" i="1"/>
  <c r="P624" i="1"/>
  <c r="Q624" i="1"/>
  <c r="R624" i="1"/>
  <c r="S624" i="1"/>
  <c r="T624" i="1"/>
  <c r="U624" i="1"/>
  <c r="V624" i="1"/>
  <c r="W624" i="1"/>
  <c r="X624" i="1"/>
  <c r="Y624" i="1"/>
  <c r="Z624" i="1"/>
  <c r="P625" i="1"/>
  <c r="Q625" i="1"/>
  <c r="R625" i="1"/>
  <c r="S625" i="1"/>
  <c r="T625" i="1"/>
  <c r="U625" i="1"/>
  <c r="V625" i="1"/>
  <c r="W625" i="1"/>
  <c r="X625" i="1"/>
  <c r="Y625" i="1"/>
  <c r="Z625" i="1"/>
  <c r="P626" i="1"/>
  <c r="Q626" i="1"/>
  <c r="R626" i="1"/>
  <c r="S626" i="1"/>
  <c r="T626" i="1"/>
  <c r="U626" i="1"/>
  <c r="V626" i="1"/>
  <c r="W626" i="1"/>
  <c r="X626" i="1"/>
  <c r="Y626" i="1"/>
  <c r="Z626" i="1"/>
  <c r="P627" i="1"/>
  <c r="Q627" i="1"/>
  <c r="R627" i="1"/>
  <c r="S627" i="1"/>
  <c r="T627" i="1"/>
  <c r="U627" i="1"/>
  <c r="V627" i="1"/>
  <c r="W627" i="1"/>
  <c r="X627" i="1"/>
  <c r="Y627" i="1"/>
  <c r="Z627" i="1"/>
  <c r="P628" i="1"/>
  <c r="Q628" i="1"/>
  <c r="R628" i="1"/>
  <c r="S628" i="1"/>
  <c r="T628" i="1"/>
  <c r="U628" i="1"/>
  <c r="V628" i="1"/>
  <c r="W628" i="1"/>
  <c r="X628" i="1"/>
  <c r="Y628" i="1"/>
  <c r="Z628" i="1"/>
  <c r="P629" i="1"/>
  <c r="Q629" i="1"/>
  <c r="R629" i="1"/>
  <c r="S629" i="1"/>
  <c r="T629" i="1"/>
  <c r="U629" i="1"/>
  <c r="V629" i="1"/>
  <c r="W629" i="1"/>
  <c r="X629" i="1"/>
  <c r="Y629" i="1"/>
  <c r="Z629" i="1"/>
  <c r="P630" i="1"/>
  <c r="Q630" i="1"/>
  <c r="R630" i="1"/>
  <c r="S630" i="1"/>
  <c r="T630" i="1"/>
  <c r="U630" i="1"/>
  <c r="V630" i="1"/>
  <c r="W630" i="1"/>
  <c r="X630" i="1"/>
  <c r="Y630" i="1"/>
  <c r="Z630" i="1"/>
  <c r="P631" i="1"/>
  <c r="Q631" i="1"/>
  <c r="R631" i="1"/>
  <c r="S631" i="1"/>
  <c r="T631" i="1"/>
  <c r="U631" i="1"/>
  <c r="V631" i="1"/>
  <c r="W631" i="1"/>
  <c r="X631" i="1"/>
  <c r="Y631" i="1"/>
  <c r="Z631" i="1"/>
  <c r="P632" i="1"/>
  <c r="Q632" i="1"/>
  <c r="R632" i="1"/>
  <c r="S632" i="1"/>
  <c r="T632" i="1"/>
  <c r="U632" i="1"/>
  <c r="V632" i="1"/>
  <c r="W632" i="1"/>
  <c r="X632" i="1"/>
  <c r="Y632" i="1"/>
  <c r="Z632" i="1"/>
  <c r="P633" i="1"/>
  <c r="Q633" i="1"/>
  <c r="R633" i="1"/>
  <c r="S633" i="1"/>
  <c r="T633" i="1"/>
  <c r="U633" i="1"/>
  <c r="V633" i="1"/>
  <c r="W633" i="1"/>
  <c r="X633" i="1"/>
  <c r="Y633" i="1"/>
  <c r="Z633" i="1"/>
  <c r="P634" i="1"/>
  <c r="Q634" i="1"/>
  <c r="R634" i="1"/>
  <c r="S634" i="1"/>
  <c r="T634" i="1"/>
  <c r="U634" i="1"/>
  <c r="V634" i="1"/>
  <c r="W634" i="1"/>
  <c r="X634" i="1"/>
  <c r="Y634" i="1"/>
  <c r="Z634" i="1"/>
  <c r="P635" i="1"/>
  <c r="Q635" i="1"/>
  <c r="R635" i="1"/>
  <c r="S635" i="1"/>
  <c r="T635" i="1"/>
  <c r="U635" i="1"/>
  <c r="V635" i="1"/>
  <c r="W635" i="1"/>
  <c r="X635" i="1"/>
  <c r="Y635" i="1"/>
  <c r="Z635" i="1"/>
  <c r="P636" i="1"/>
  <c r="Q636" i="1"/>
  <c r="R636" i="1"/>
  <c r="S636" i="1"/>
  <c r="T636" i="1"/>
  <c r="U636" i="1"/>
  <c r="V636" i="1"/>
  <c r="W636" i="1"/>
  <c r="X636" i="1"/>
  <c r="Y636" i="1"/>
  <c r="Z636" i="1"/>
  <c r="P637" i="1"/>
  <c r="Q637" i="1"/>
  <c r="R637" i="1"/>
  <c r="S637" i="1"/>
  <c r="T637" i="1"/>
  <c r="U637" i="1"/>
  <c r="V637" i="1"/>
  <c r="W637" i="1"/>
  <c r="X637" i="1"/>
  <c r="Y637" i="1"/>
  <c r="Z637" i="1"/>
  <c r="P638" i="1"/>
  <c r="Q638" i="1"/>
  <c r="R638" i="1"/>
  <c r="S638" i="1"/>
  <c r="T638" i="1"/>
  <c r="U638" i="1"/>
  <c r="V638" i="1"/>
  <c r="W638" i="1"/>
  <c r="X638" i="1"/>
  <c r="Y638" i="1"/>
  <c r="Z638" i="1"/>
  <c r="P639" i="1"/>
  <c r="Q639" i="1"/>
  <c r="R639" i="1"/>
  <c r="S639" i="1"/>
  <c r="T639" i="1"/>
  <c r="U639" i="1"/>
  <c r="V639" i="1"/>
  <c r="W639" i="1"/>
  <c r="X639" i="1"/>
  <c r="Y639" i="1"/>
  <c r="Z639" i="1"/>
  <c r="P640" i="1"/>
  <c r="Q640" i="1"/>
  <c r="R640" i="1"/>
  <c r="S640" i="1"/>
  <c r="T640" i="1"/>
  <c r="U640" i="1"/>
  <c r="V640" i="1"/>
  <c r="W640" i="1"/>
  <c r="X640" i="1"/>
  <c r="Y640" i="1"/>
  <c r="Z640" i="1"/>
  <c r="P641" i="1"/>
  <c r="Q641" i="1"/>
  <c r="R641" i="1"/>
  <c r="S641" i="1"/>
  <c r="T641" i="1"/>
  <c r="U641" i="1"/>
  <c r="V641" i="1"/>
  <c r="W641" i="1"/>
  <c r="X641" i="1"/>
  <c r="Y641" i="1"/>
  <c r="Z641" i="1"/>
  <c r="P642" i="1"/>
  <c r="Q642" i="1"/>
  <c r="R642" i="1"/>
  <c r="S642" i="1"/>
  <c r="T642" i="1"/>
  <c r="U642" i="1"/>
  <c r="V642" i="1"/>
  <c r="W642" i="1"/>
  <c r="X642" i="1"/>
  <c r="Y642" i="1"/>
  <c r="Z642" i="1"/>
  <c r="P643" i="1"/>
  <c r="Q643" i="1"/>
  <c r="R643" i="1"/>
  <c r="S643" i="1"/>
  <c r="T643" i="1"/>
  <c r="U643" i="1"/>
  <c r="V643" i="1"/>
  <c r="W643" i="1"/>
  <c r="X643" i="1"/>
  <c r="Y643" i="1"/>
  <c r="Z643" i="1"/>
  <c r="P644" i="1"/>
  <c r="Q644" i="1"/>
  <c r="R644" i="1"/>
  <c r="S644" i="1"/>
  <c r="T644" i="1"/>
  <c r="U644" i="1"/>
  <c r="V644" i="1"/>
  <c r="W644" i="1"/>
  <c r="X644" i="1"/>
  <c r="Y644" i="1"/>
  <c r="Z644" i="1"/>
  <c r="P645" i="1"/>
  <c r="Q645" i="1"/>
  <c r="R645" i="1"/>
  <c r="S645" i="1"/>
  <c r="T645" i="1"/>
  <c r="U645" i="1"/>
  <c r="V645" i="1"/>
  <c r="W645" i="1"/>
  <c r="X645" i="1"/>
  <c r="Y645" i="1"/>
  <c r="Z645" i="1"/>
  <c r="P646" i="1"/>
  <c r="Q646" i="1"/>
  <c r="R646" i="1"/>
  <c r="S646" i="1"/>
  <c r="T646" i="1"/>
  <c r="U646" i="1"/>
  <c r="V646" i="1"/>
  <c r="W646" i="1"/>
  <c r="X646" i="1"/>
  <c r="Y646" i="1"/>
  <c r="Z646" i="1"/>
  <c r="P647" i="1"/>
  <c r="Q647" i="1"/>
  <c r="R647" i="1"/>
  <c r="S647" i="1"/>
  <c r="T647" i="1"/>
  <c r="U647" i="1"/>
  <c r="V647" i="1"/>
  <c r="W647" i="1"/>
  <c r="X647" i="1"/>
  <c r="Y647" i="1"/>
  <c r="Z647" i="1"/>
  <c r="P648" i="1"/>
  <c r="Q648" i="1"/>
  <c r="R648" i="1"/>
  <c r="S648" i="1"/>
  <c r="T648" i="1"/>
  <c r="U648" i="1"/>
  <c r="V648" i="1"/>
  <c r="W648" i="1"/>
  <c r="X648" i="1"/>
  <c r="Y648" i="1"/>
  <c r="Z648" i="1"/>
  <c r="P649" i="1"/>
  <c r="Q649" i="1"/>
  <c r="R649" i="1"/>
  <c r="S649" i="1"/>
  <c r="T649" i="1"/>
  <c r="U649" i="1"/>
  <c r="V649" i="1"/>
  <c r="W649" i="1"/>
  <c r="X649" i="1"/>
  <c r="Y649" i="1"/>
  <c r="Z649" i="1"/>
  <c r="P650" i="1"/>
  <c r="Q650" i="1"/>
  <c r="R650" i="1"/>
  <c r="S650" i="1"/>
  <c r="T650" i="1"/>
  <c r="U650" i="1"/>
  <c r="V650" i="1"/>
  <c r="W650" i="1"/>
  <c r="X650" i="1"/>
  <c r="Y650" i="1"/>
  <c r="Z650" i="1"/>
  <c r="P651" i="1"/>
  <c r="Q651" i="1"/>
  <c r="R651" i="1"/>
  <c r="S651" i="1"/>
  <c r="T651" i="1"/>
  <c r="U651" i="1"/>
  <c r="V651" i="1"/>
  <c r="W651" i="1"/>
  <c r="X651" i="1"/>
  <c r="Y651" i="1"/>
  <c r="Z651" i="1"/>
  <c r="P652" i="1"/>
  <c r="Q652" i="1"/>
  <c r="R652" i="1"/>
  <c r="S652" i="1"/>
  <c r="T652" i="1"/>
  <c r="U652" i="1"/>
  <c r="V652" i="1"/>
  <c r="W652" i="1"/>
  <c r="X652" i="1"/>
  <c r="Y652" i="1"/>
  <c r="Z652" i="1"/>
  <c r="P653" i="1"/>
  <c r="Q653" i="1"/>
  <c r="R653" i="1"/>
  <c r="S653" i="1"/>
  <c r="T653" i="1"/>
  <c r="U653" i="1"/>
  <c r="V653" i="1"/>
  <c r="W653" i="1"/>
  <c r="X653" i="1"/>
  <c r="Y653" i="1"/>
  <c r="Z653" i="1"/>
  <c r="P654" i="1"/>
  <c r="Q654" i="1"/>
  <c r="R654" i="1"/>
  <c r="S654" i="1"/>
  <c r="T654" i="1"/>
  <c r="U654" i="1"/>
  <c r="V654" i="1"/>
  <c r="W654" i="1"/>
  <c r="X654" i="1"/>
  <c r="Y654" i="1"/>
  <c r="Z654" i="1"/>
  <c r="P655" i="1"/>
  <c r="Q655" i="1"/>
  <c r="R655" i="1"/>
  <c r="S655" i="1"/>
  <c r="T655" i="1"/>
  <c r="U655" i="1"/>
  <c r="V655" i="1"/>
  <c r="W655" i="1"/>
  <c r="X655" i="1"/>
  <c r="Y655" i="1"/>
  <c r="Z655" i="1"/>
  <c r="P656" i="1"/>
  <c r="Q656" i="1"/>
  <c r="R656" i="1"/>
  <c r="S656" i="1"/>
  <c r="T656" i="1"/>
  <c r="U656" i="1"/>
  <c r="V656" i="1"/>
  <c r="W656" i="1"/>
  <c r="X656" i="1"/>
  <c r="Y656" i="1"/>
  <c r="Z656" i="1"/>
  <c r="P657" i="1"/>
  <c r="Q657" i="1"/>
  <c r="R657" i="1"/>
  <c r="S657" i="1"/>
  <c r="T657" i="1"/>
  <c r="U657" i="1"/>
  <c r="V657" i="1"/>
  <c r="W657" i="1"/>
  <c r="X657" i="1"/>
  <c r="Y657" i="1"/>
  <c r="Z657" i="1"/>
  <c r="P658" i="1"/>
  <c r="Q658" i="1"/>
  <c r="R658" i="1"/>
  <c r="S658" i="1"/>
  <c r="T658" i="1"/>
  <c r="U658" i="1"/>
  <c r="V658" i="1"/>
  <c r="W658" i="1"/>
  <c r="X658" i="1"/>
  <c r="Y658" i="1"/>
  <c r="Z658" i="1"/>
  <c r="P659" i="1"/>
  <c r="Q659" i="1"/>
  <c r="R659" i="1"/>
  <c r="S659" i="1"/>
  <c r="T659" i="1"/>
  <c r="U659" i="1"/>
  <c r="V659" i="1"/>
  <c r="W659" i="1"/>
  <c r="X659" i="1"/>
  <c r="Y659" i="1"/>
  <c r="Z659" i="1"/>
  <c r="P660" i="1"/>
  <c r="Q660" i="1"/>
  <c r="R660" i="1"/>
  <c r="S660" i="1"/>
  <c r="T660" i="1"/>
  <c r="U660" i="1"/>
  <c r="V660" i="1"/>
  <c r="W660" i="1"/>
  <c r="X660" i="1"/>
  <c r="Y660" i="1"/>
  <c r="Z660" i="1"/>
  <c r="P661" i="1"/>
  <c r="Q661" i="1"/>
  <c r="R661" i="1"/>
  <c r="S661" i="1"/>
  <c r="T661" i="1"/>
  <c r="U661" i="1"/>
  <c r="V661" i="1"/>
  <c r="W661" i="1"/>
  <c r="X661" i="1"/>
  <c r="Y661" i="1"/>
  <c r="Z661" i="1"/>
  <c r="P662" i="1"/>
  <c r="Q662" i="1"/>
  <c r="R662" i="1"/>
  <c r="S662" i="1"/>
  <c r="T662" i="1"/>
  <c r="U662" i="1"/>
  <c r="V662" i="1"/>
  <c r="W662" i="1"/>
  <c r="X662" i="1"/>
  <c r="Y662" i="1"/>
  <c r="Z662" i="1"/>
  <c r="P663" i="1"/>
  <c r="Q663" i="1"/>
  <c r="R663" i="1"/>
  <c r="S663" i="1"/>
  <c r="T663" i="1"/>
  <c r="U663" i="1"/>
  <c r="V663" i="1"/>
  <c r="W663" i="1"/>
  <c r="X663" i="1"/>
  <c r="Y663" i="1"/>
  <c r="Z663" i="1"/>
  <c r="P664" i="1"/>
  <c r="Q664" i="1"/>
  <c r="R664" i="1"/>
  <c r="S664" i="1"/>
  <c r="T664" i="1"/>
  <c r="U664" i="1"/>
  <c r="V664" i="1"/>
  <c r="W664" i="1"/>
  <c r="X664" i="1"/>
  <c r="Y664" i="1"/>
  <c r="Z664" i="1"/>
  <c r="P665" i="1"/>
  <c r="Q665" i="1"/>
  <c r="R665" i="1"/>
  <c r="S665" i="1"/>
  <c r="T665" i="1"/>
  <c r="U665" i="1"/>
  <c r="V665" i="1"/>
  <c r="W665" i="1"/>
  <c r="X665" i="1"/>
  <c r="Y665" i="1"/>
  <c r="Z665" i="1"/>
  <c r="P666" i="1"/>
  <c r="Q666" i="1"/>
  <c r="R666" i="1"/>
  <c r="S666" i="1"/>
  <c r="T666" i="1"/>
  <c r="U666" i="1"/>
  <c r="V666" i="1"/>
  <c r="W666" i="1"/>
  <c r="X666" i="1"/>
  <c r="Y666" i="1"/>
  <c r="Z666" i="1"/>
  <c r="P667" i="1"/>
  <c r="Q667" i="1"/>
  <c r="R667" i="1"/>
  <c r="S667" i="1"/>
  <c r="T667" i="1"/>
  <c r="U667" i="1"/>
  <c r="V667" i="1"/>
  <c r="W667" i="1"/>
  <c r="X667" i="1"/>
  <c r="Y667" i="1"/>
  <c r="Z667" i="1"/>
  <c r="P668" i="1"/>
  <c r="Q668" i="1"/>
  <c r="R668" i="1"/>
  <c r="S668" i="1"/>
  <c r="T668" i="1"/>
  <c r="U668" i="1"/>
  <c r="V668" i="1"/>
  <c r="W668" i="1"/>
  <c r="X668" i="1"/>
  <c r="Y668" i="1"/>
  <c r="Z668" i="1"/>
  <c r="Z3" i="1"/>
  <c r="Y3" i="1"/>
  <c r="X3" i="1"/>
  <c r="W3" i="1"/>
  <c r="V3" i="1"/>
  <c r="U3" i="1"/>
  <c r="T3" i="1"/>
  <c r="S3" i="1"/>
  <c r="R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3" i="1"/>
  <c r="P3" i="1"/>
  <c r="Q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3" i="1"/>
  <c r="U12" i="4"/>
  <c r="V12" i="4"/>
  <c r="W12" i="4"/>
  <c r="X12" i="4"/>
  <c r="Y12" i="4"/>
  <c r="Z12" i="4"/>
  <c r="AA12" i="4"/>
  <c r="AB12" i="4"/>
  <c r="U13" i="4"/>
  <c r="V13" i="4"/>
  <c r="W13" i="4"/>
  <c r="X13" i="4"/>
  <c r="Y13" i="4"/>
  <c r="Z13" i="4"/>
  <c r="AA13" i="4"/>
  <c r="AB13" i="4"/>
  <c r="U14" i="4"/>
  <c r="V14" i="4"/>
  <c r="W14" i="4"/>
  <c r="X14" i="4"/>
  <c r="Y14" i="4"/>
  <c r="Z14" i="4"/>
  <c r="AA14" i="4"/>
  <c r="AB14" i="4"/>
  <c r="U15" i="4"/>
  <c r="V15" i="4"/>
  <c r="W15" i="4"/>
  <c r="X15" i="4"/>
  <c r="Y15" i="4"/>
  <c r="Z15" i="4"/>
  <c r="AA15" i="4"/>
  <c r="AB15" i="4"/>
  <c r="U16" i="4"/>
  <c r="V16" i="4"/>
  <c r="W16" i="4"/>
  <c r="X16" i="4"/>
  <c r="Y16" i="4"/>
  <c r="Z16" i="4"/>
  <c r="AA16" i="4"/>
  <c r="AB16" i="4"/>
  <c r="T16" i="4"/>
  <c r="T15" i="4"/>
  <c r="T14" i="4"/>
  <c r="T13" i="4"/>
  <c r="T12" i="4"/>
  <c r="T4" i="4"/>
  <c r="U4" i="4"/>
  <c r="V4" i="4"/>
  <c r="W4" i="4"/>
  <c r="X4" i="4"/>
  <c r="Y4" i="4"/>
  <c r="Z4" i="4"/>
  <c r="AA4" i="4"/>
  <c r="AB4" i="4"/>
  <c r="T5" i="4"/>
  <c r="U5" i="4"/>
  <c r="V5" i="4"/>
  <c r="W5" i="4"/>
  <c r="X5" i="4"/>
  <c r="Y5" i="4"/>
  <c r="Z5" i="4"/>
  <c r="AA5" i="4"/>
  <c r="AB5" i="4"/>
  <c r="T6" i="4"/>
  <c r="U6" i="4"/>
  <c r="V6" i="4"/>
  <c r="W6" i="4"/>
  <c r="X6" i="4"/>
  <c r="Y6" i="4"/>
  <c r="Z6" i="4"/>
  <c r="AA6" i="4"/>
  <c r="AB6" i="4"/>
  <c r="T7" i="4"/>
  <c r="U7" i="4"/>
  <c r="V7" i="4"/>
  <c r="W7" i="4"/>
  <c r="X7" i="4"/>
  <c r="Y7" i="4"/>
  <c r="Z7" i="4"/>
  <c r="AA7" i="4"/>
  <c r="AB7" i="4"/>
  <c r="AB3" i="4"/>
  <c r="AA3" i="4"/>
  <c r="Z3" i="4"/>
  <c r="Y3" i="4"/>
  <c r="X3" i="4"/>
  <c r="W3" i="4"/>
  <c r="V3" i="4"/>
  <c r="U3" i="4"/>
  <c r="T3" i="4"/>
  <c r="AI3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AU556" i="1"/>
  <c r="AV556" i="1"/>
  <c r="AW556" i="1"/>
  <c r="AX556" i="1"/>
  <c r="AY556" i="1"/>
  <c r="AZ556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AU573" i="1"/>
  <c r="AV573" i="1"/>
  <c r="AW573" i="1"/>
  <c r="AX573" i="1"/>
  <c r="AY573" i="1"/>
  <c r="AZ573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AU574" i="1"/>
  <c r="AV574" i="1"/>
  <c r="AW574" i="1"/>
  <c r="AX574" i="1"/>
  <c r="AY574" i="1"/>
  <c r="AZ574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AU585" i="1"/>
  <c r="AV585" i="1"/>
  <c r="AW585" i="1"/>
  <c r="AX585" i="1"/>
  <c r="AY585" i="1"/>
  <c r="AZ585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AU586" i="1"/>
  <c r="AV586" i="1"/>
  <c r="AW586" i="1"/>
  <c r="AX586" i="1"/>
  <c r="AY586" i="1"/>
  <c r="AZ586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AU592" i="1"/>
  <c r="AV592" i="1"/>
  <c r="AW592" i="1"/>
  <c r="AX592" i="1"/>
  <c r="AY592" i="1"/>
  <c r="AZ592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AU593" i="1"/>
  <c r="AV593" i="1"/>
  <c r="AW593" i="1"/>
  <c r="AX593" i="1"/>
  <c r="AY593" i="1"/>
  <c r="AZ593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AU594" i="1"/>
  <c r="AV594" i="1"/>
  <c r="AW594" i="1"/>
  <c r="AX594" i="1"/>
  <c r="AY594" i="1"/>
  <c r="AZ594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AU595" i="1"/>
  <c r="AV595" i="1"/>
  <c r="AW595" i="1"/>
  <c r="AX595" i="1"/>
  <c r="AY595" i="1"/>
  <c r="AZ595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AU596" i="1"/>
  <c r="AV596" i="1"/>
  <c r="AW596" i="1"/>
  <c r="AX596" i="1"/>
  <c r="AY596" i="1"/>
  <c r="AZ596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AU597" i="1"/>
  <c r="AV597" i="1"/>
  <c r="AW597" i="1"/>
  <c r="AX597" i="1"/>
  <c r="AY597" i="1"/>
  <c r="AZ597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AU598" i="1"/>
  <c r="AV598" i="1"/>
  <c r="AW598" i="1"/>
  <c r="AX598" i="1"/>
  <c r="AY598" i="1"/>
  <c r="AZ598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AU602" i="1"/>
  <c r="AV602" i="1"/>
  <c r="AW602" i="1"/>
  <c r="AX602" i="1"/>
  <c r="AY602" i="1"/>
  <c r="AZ602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AU603" i="1"/>
  <c r="AV603" i="1"/>
  <c r="AW603" i="1"/>
  <c r="AX603" i="1"/>
  <c r="AY603" i="1"/>
  <c r="AZ603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AU604" i="1"/>
  <c r="AV604" i="1"/>
  <c r="AW604" i="1"/>
  <c r="AX604" i="1"/>
  <c r="AY604" i="1"/>
  <c r="AZ604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AU605" i="1"/>
  <c r="AV605" i="1"/>
  <c r="AW605" i="1"/>
  <c r="AX605" i="1"/>
  <c r="AY605" i="1"/>
  <c r="AZ605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AU606" i="1"/>
  <c r="AV606" i="1"/>
  <c r="AW606" i="1"/>
  <c r="AX606" i="1"/>
  <c r="AY606" i="1"/>
  <c r="AZ606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AU608" i="1"/>
  <c r="AV608" i="1"/>
  <c r="AW608" i="1"/>
  <c r="AX608" i="1"/>
  <c r="AY608" i="1"/>
  <c r="AZ608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AU611" i="1"/>
  <c r="AV611" i="1"/>
  <c r="AW611" i="1"/>
  <c r="AX611" i="1"/>
  <c r="AY611" i="1"/>
  <c r="AZ611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AU612" i="1"/>
  <c r="AV612" i="1"/>
  <c r="AW612" i="1"/>
  <c r="AX612" i="1"/>
  <c r="AY612" i="1"/>
  <c r="AZ612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AU613" i="1"/>
  <c r="AV613" i="1"/>
  <c r="AW613" i="1"/>
  <c r="AX613" i="1"/>
  <c r="AY613" i="1"/>
  <c r="AZ613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AU614" i="1"/>
  <c r="AV614" i="1"/>
  <c r="AW614" i="1"/>
  <c r="AX614" i="1"/>
  <c r="AY614" i="1"/>
  <c r="AZ614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AU615" i="1"/>
  <c r="AV615" i="1"/>
  <c r="AW615" i="1"/>
  <c r="AX615" i="1"/>
  <c r="AY615" i="1"/>
  <c r="AZ615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AU616" i="1"/>
  <c r="AV616" i="1"/>
  <c r="AW616" i="1"/>
  <c r="AX616" i="1"/>
  <c r="AY616" i="1"/>
  <c r="AZ616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AU618" i="1"/>
  <c r="AV618" i="1"/>
  <c r="AW618" i="1"/>
  <c r="AX618" i="1"/>
  <c r="AY618" i="1"/>
  <c r="AZ618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AZ619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AU620" i="1"/>
  <c r="AV620" i="1"/>
  <c r="AW620" i="1"/>
  <c r="AX620" i="1"/>
  <c r="AY620" i="1"/>
  <c r="AZ620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AU621" i="1"/>
  <c r="AV621" i="1"/>
  <c r="AW621" i="1"/>
  <c r="AX621" i="1"/>
  <c r="AY621" i="1"/>
  <c r="AZ621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AU622" i="1"/>
  <c r="AV622" i="1"/>
  <c r="AW622" i="1"/>
  <c r="AX622" i="1"/>
  <c r="AY622" i="1"/>
  <c r="AZ622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AU623" i="1"/>
  <c r="AV623" i="1"/>
  <c r="AW623" i="1"/>
  <c r="AX623" i="1"/>
  <c r="AY623" i="1"/>
  <c r="AZ623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AU625" i="1"/>
  <c r="AV625" i="1"/>
  <c r="AW625" i="1"/>
  <c r="AX625" i="1"/>
  <c r="AY625" i="1"/>
  <c r="AZ625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AU626" i="1"/>
  <c r="AV626" i="1"/>
  <c r="AW626" i="1"/>
  <c r="AX626" i="1"/>
  <c r="AY626" i="1"/>
  <c r="AZ626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AU627" i="1"/>
  <c r="AV627" i="1"/>
  <c r="AW627" i="1"/>
  <c r="AX627" i="1"/>
  <c r="AY627" i="1"/>
  <c r="AZ627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AU628" i="1"/>
  <c r="AV628" i="1"/>
  <c r="AW628" i="1"/>
  <c r="AX628" i="1"/>
  <c r="AY628" i="1"/>
  <c r="AZ628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AU629" i="1"/>
  <c r="AV629" i="1"/>
  <c r="AW629" i="1"/>
  <c r="AX629" i="1"/>
  <c r="AY629" i="1"/>
  <c r="AZ629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AU630" i="1"/>
  <c r="AV630" i="1"/>
  <c r="AW630" i="1"/>
  <c r="AX630" i="1"/>
  <c r="AY630" i="1"/>
  <c r="AZ630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AU632" i="1"/>
  <c r="AV632" i="1"/>
  <c r="AW632" i="1"/>
  <c r="AX632" i="1"/>
  <c r="AY632" i="1"/>
  <c r="AZ632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AU633" i="1"/>
  <c r="AV633" i="1"/>
  <c r="AW633" i="1"/>
  <c r="AX633" i="1"/>
  <c r="AY633" i="1"/>
  <c r="AZ633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AU635" i="1"/>
  <c r="AV635" i="1"/>
  <c r="AW635" i="1"/>
  <c r="AX635" i="1"/>
  <c r="AY635" i="1"/>
  <c r="AZ635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AU636" i="1"/>
  <c r="AV636" i="1"/>
  <c r="AW636" i="1"/>
  <c r="AX636" i="1"/>
  <c r="AY636" i="1"/>
  <c r="AZ636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AU637" i="1"/>
  <c r="AV637" i="1"/>
  <c r="AW637" i="1"/>
  <c r="AX637" i="1"/>
  <c r="AY637" i="1"/>
  <c r="AZ637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AU638" i="1"/>
  <c r="AV638" i="1"/>
  <c r="AW638" i="1"/>
  <c r="AX638" i="1"/>
  <c r="AY638" i="1"/>
  <c r="AZ638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AU639" i="1"/>
  <c r="AV639" i="1"/>
  <c r="AW639" i="1"/>
  <c r="AX639" i="1"/>
  <c r="AY639" i="1"/>
  <c r="AZ639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AU640" i="1"/>
  <c r="AV640" i="1"/>
  <c r="AW640" i="1"/>
  <c r="AX640" i="1"/>
  <c r="AY640" i="1"/>
  <c r="AZ640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AZ643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AU644" i="1"/>
  <c r="AV644" i="1"/>
  <c r="AW644" i="1"/>
  <c r="AX644" i="1"/>
  <c r="AY644" i="1"/>
  <c r="AZ644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AU647" i="1"/>
  <c r="AV647" i="1"/>
  <c r="AW647" i="1"/>
  <c r="AX647" i="1"/>
  <c r="AY647" i="1"/>
  <c r="AZ647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AU648" i="1"/>
  <c r="AV648" i="1"/>
  <c r="AW648" i="1"/>
  <c r="AX648" i="1"/>
  <c r="AY648" i="1"/>
  <c r="AZ648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AU649" i="1"/>
  <c r="AV649" i="1"/>
  <c r="AW649" i="1"/>
  <c r="AX649" i="1"/>
  <c r="AY649" i="1"/>
  <c r="AZ649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AU650" i="1"/>
  <c r="AV650" i="1"/>
  <c r="AW650" i="1"/>
  <c r="AX650" i="1"/>
  <c r="AY650" i="1"/>
  <c r="AZ650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AU651" i="1"/>
  <c r="AV651" i="1"/>
  <c r="AW651" i="1"/>
  <c r="AX651" i="1"/>
  <c r="AY651" i="1"/>
  <c r="AZ651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AU652" i="1"/>
  <c r="AV652" i="1"/>
  <c r="AW652" i="1"/>
  <c r="AX652" i="1"/>
  <c r="AY652" i="1"/>
  <c r="AZ652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AU654" i="1"/>
  <c r="AV654" i="1"/>
  <c r="AW654" i="1"/>
  <c r="AX654" i="1"/>
  <c r="AY654" i="1"/>
  <c r="AZ654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AU655" i="1"/>
  <c r="AV655" i="1"/>
  <c r="AW655" i="1"/>
  <c r="AX655" i="1"/>
  <c r="AY655" i="1"/>
  <c r="AZ655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AU656" i="1"/>
  <c r="AV656" i="1"/>
  <c r="AW656" i="1"/>
  <c r="AX656" i="1"/>
  <c r="AY656" i="1"/>
  <c r="AZ656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AU657" i="1"/>
  <c r="AV657" i="1"/>
  <c r="AW657" i="1"/>
  <c r="AX657" i="1"/>
  <c r="AY657" i="1"/>
  <c r="AZ657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AU659" i="1"/>
  <c r="AV659" i="1"/>
  <c r="AW659" i="1"/>
  <c r="AX659" i="1"/>
  <c r="AY659" i="1"/>
  <c r="AZ659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AU662" i="1"/>
  <c r="AV662" i="1"/>
  <c r="AW662" i="1"/>
  <c r="AX662" i="1"/>
  <c r="AY662" i="1"/>
  <c r="AZ662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AU663" i="1"/>
  <c r="AV663" i="1"/>
  <c r="AW663" i="1"/>
  <c r="AX663" i="1"/>
  <c r="AY663" i="1"/>
  <c r="AZ663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AU664" i="1"/>
  <c r="AV664" i="1"/>
  <c r="AW664" i="1"/>
  <c r="AX664" i="1"/>
  <c r="AY664" i="1"/>
  <c r="AZ664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AU665" i="1"/>
  <c r="AV665" i="1"/>
  <c r="AW665" i="1"/>
  <c r="AX665" i="1"/>
  <c r="AY665" i="1"/>
  <c r="AZ665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AU666" i="1"/>
  <c r="AV666" i="1"/>
  <c r="AW666" i="1"/>
  <c r="AX666" i="1"/>
  <c r="AY666" i="1"/>
  <c r="AZ666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AU668" i="1"/>
  <c r="AV668" i="1"/>
  <c r="AW668" i="1"/>
  <c r="AX668" i="1"/>
  <c r="AY668" i="1"/>
  <c r="AZ668" i="1"/>
  <c r="AY3" i="1"/>
  <c r="AZ3" i="1"/>
  <c r="AX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273" i="1"/>
  <c r="AG273" i="1"/>
  <c r="AF274" i="1"/>
  <c r="AG274" i="1"/>
  <c r="AF275" i="1"/>
  <c r="AG275" i="1"/>
  <c r="AF276" i="1"/>
  <c r="AG276" i="1"/>
  <c r="AF277" i="1"/>
  <c r="AG277" i="1"/>
  <c r="AF278" i="1"/>
  <c r="AG278" i="1"/>
  <c r="AF279" i="1"/>
  <c r="AG279" i="1"/>
  <c r="AF280" i="1"/>
  <c r="AG280" i="1"/>
  <c r="AF281" i="1"/>
  <c r="AG281" i="1"/>
  <c r="AF282" i="1"/>
  <c r="AG282" i="1"/>
  <c r="AF283" i="1"/>
  <c r="AG283" i="1"/>
  <c r="AF284" i="1"/>
  <c r="AG284" i="1"/>
  <c r="AF285" i="1"/>
  <c r="AG285" i="1"/>
  <c r="AF286" i="1"/>
  <c r="AG286" i="1"/>
  <c r="AF287" i="1"/>
  <c r="AG287" i="1"/>
  <c r="AF288" i="1"/>
  <c r="AG288" i="1"/>
  <c r="AF289" i="1"/>
  <c r="AG289" i="1"/>
  <c r="AF290" i="1"/>
  <c r="AG290" i="1"/>
  <c r="AF291" i="1"/>
  <c r="AG291" i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305" i="1"/>
  <c r="AG305" i="1"/>
  <c r="AF306" i="1"/>
  <c r="AG306" i="1"/>
  <c r="AF307" i="1"/>
  <c r="AG307" i="1"/>
  <c r="AF308" i="1"/>
  <c r="AG308" i="1"/>
  <c r="AF309" i="1"/>
  <c r="AG309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65" i="1"/>
  <c r="AG365" i="1"/>
  <c r="AF366" i="1"/>
  <c r="AG366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82" i="1"/>
  <c r="AG382" i="1"/>
  <c r="AF383" i="1"/>
  <c r="AG383" i="1"/>
  <c r="AF384" i="1"/>
  <c r="AG384" i="1"/>
  <c r="AF385" i="1"/>
  <c r="AG385" i="1"/>
  <c r="AF386" i="1"/>
  <c r="AG386" i="1"/>
  <c r="AF387" i="1"/>
  <c r="AG387" i="1"/>
  <c r="AF388" i="1"/>
  <c r="AG388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56" i="1"/>
  <c r="AG456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5" i="1"/>
  <c r="AG485" i="1"/>
  <c r="AF486" i="1"/>
  <c r="AG486" i="1"/>
  <c r="AF487" i="1"/>
  <c r="AG487" i="1"/>
  <c r="AF488" i="1"/>
  <c r="AG488" i="1"/>
  <c r="AF489" i="1"/>
  <c r="AG489" i="1"/>
  <c r="AF490" i="1"/>
  <c r="AG490" i="1"/>
  <c r="AF491" i="1"/>
  <c r="AG491" i="1"/>
  <c r="AF492" i="1"/>
  <c r="AG492" i="1"/>
  <c r="AF493" i="1"/>
  <c r="AG493" i="1"/>
  <c r="AF494" i="1"/>
  <c r="AG494" i="1"/>
  <c r="AF495" i="1"/>
  <c r="AG495" i="1"/>
  <c r="AF496" i="1"/>
  <c r="AG496" i="1"/>
  <c r="AF497" i="1"/>
  <c r="AG497" i="1"/>
  <c r="AF498" i="1"/>
  <c r="AG498" i="1"/>
  <c r="AF499" i="1"/>
  <c r="AG499" i="1"/>
  <c r="AF500" i="1"/>
  <c r="AG500" i="1"/>
  <c r="AF501" i="1"/>
  <c r="AG501" i="1"/>
  <c r="AF502" i="1"/>
  <c r="AG502" i="1"/>
  <c r="AF503" i="1"/>
  <c r="AG503" i="1"/>
  <c r="AF504" i="1"/>
  <c r="AG504" i="1"/>
  <c r="AF505" i="1"/>
  <c r="AG505" i="1"/>
  <c r="AF506" i="1"/>
  <c r="AG506" i="1"/>
  <c r="AF507" i="1"/>
  <c r="AG507" i="1"/>
  <c r="AF508" i="1"/>
  <c r="AG508" i="1"/>
  <c r="AF509" i="1"/>
  <c r="AG509" i="1"/>
  <c r="AF510" i="1"/>
  <c r="AG510" i="1"/>
  <c r="AF511" i="1"/>
  <c r="AG511" i="1"/>
  <c r="AF512" i="1"/>
  <c r="AG512" i="1"/>
  <c r="AF513" i="1"/>
  <c r="AG513" i="1"/>
  <c r="AF514" i="1"/>
  <c r="AG514" i="1"/>
  <c r="AF515" i="1"/>
  <c r="AG515" i="1"/>
  <c r="AF516" i="1"/>
  <c r="AG516" i="1"/>
  <c r="AF517" i="1"/>
  <c r="AG517" i="1"/>
  <c r="AF518" i="1"/>
  <c r="AG518" i="1"/>
  <c r="AF519" i="1"/>
  <c r="AG519" i="1"/>
  <c r="AF520" i="1"/>
  <c r="AG520" i="1"/>
  <c r="AF521" i="1"/>
  <c r="AG521" i="1"/>
  <c r="AF522" i="1"/>
  <c r="AG522" i="1"/>
  <c r="AF523" i="1"/>
  <c r="AG523" i="1"/>
  <c r="AF524" i="1"/>
  <c r="AG524" i="1"/>
  <c r="AF525" i="1"/>
  <c r="AG525" i="1"/>
  <c r="AF526" i="1"/>
  <c r="AG526" i="1"/>
  <c r="AF527" i="1"/>
  <c r="AG527" i="1"/>
  <c r="AF528" i="1"/>
  <c r="AG528" i="1"/>
  <c r="AF529" i="1"/>
  <c r="AG529" i="1"/>
  <c r="AF530" i="1"/>
  <c r="AG530" i="1"/>
  <c r="AF531" i="1"/>
  <c r="AG531" i="1"/>
  <c r="AF532" i="1"/>
  <c r="AG532" i="1"/>
  <c r="AF533" i="1"/>
  <c r="AG533" i="1"/>
  <c r="AF534" i="1"/>
  <c r="AG534" i="1"/>
  <c r="AF535" i="1"/>
  <c r="AG535" i="1"/>
  <c r="AF536" i="1"/>
  <c r="AG536" i="1"/>
  <c r="AF537" i="1"/>
  <c r="AG537" i="1"/>
  <c r="AF538" i="1"/>
  <c r="AG538" i="1"/>
  <c r="AF539" i="1"/>
  <c r="AG539" i="1"/>
  <c r="AF540" i="1"/>
  <c r="AG540" i="1"/>
  <c r="AF541" i="1"/>
  <c r="AG541" i="1"/>
  <c r="AF542" i="1"/>
  <c r="AG542" i="1"/>
  <c r="AF543" i="1"/>
  <c r="AG543" i="1"/>
  <c r="AF544" i="1"/>
  <c r="AG544" i="1"/>
  <c r="AF545" i="1"/>
  <c r="AG545" i="1"/>
  <c r="AF546" i="1"/>
  <c r="AG546" i="1"/>
  <c r="AF547" i="1"/>
  <c r="AG547" i="1"/>
  <c r="AF548" i="1"/>
  <c r="AG548" i="1"/>
  <c r="AF549" i="1"/>
  <c r="AG549" i="1"/>
  <c r="AF550" i="1"/>
  <c r="AG550" i="1"/>
  <c r="AF551" i="1"/>
  <c r="AG551" i="1"/>
  <c r="AF552" i="1"/>
  <c r="AG552" i="1"/>
  <c r="AF553" i="1"/>
  <c r="AG553" i="1"/>
  <c r="AF554" i="1"/>
  <c r="AG554" i="1"/>
  <c r="AF555" i="1"/>
  <c r="AG555" i="1"/>
  <c r="AF556" i="1"/>
  <c r="AG556" i="1"/>
  <c r="AF557" i="1"/>
  <c r="AG557" i="1"/>
  <c r="AF558" i="1"/>
  <c r="AG558" i="1"/>
  <c r="AF559" i="1"/>
  <c r="AG559" i="1"/>
  <c r="AF560" i="1"/>
  <c r="AG560" i="1"/>
  <c r="AF561" i="1"/>
  <c r="AG561" i="1"/>
  <c r="AF562" i="1"/>
  <c r="AG562" i="1"/>
  <c r="AF563" i="1"/>
  <c r="AG563" i="1"/>
  <c r="AF564" i="1"/>
  <c r="AG564" i="1"/>
  <c r="AF565" i="1"/>
  <c r="AG565" i="1"/>
  <c r="AF566" i="1"/>
  <c r="AG566" i="1"/>
  <c r="AF567" i="1"/>
  <c r="AG567" i="1"/>
  <c r="AF568" i="1"/>
  <c r="AG568" i="1"/>
  <c r="AF569" i="1"/>
  <c r="AG569" i="1"/>
  <c r="AF570" i="1"/>
  <c r="AG570" i="1"/>
  <c r="AF571" i="1"/>
  <c r="AG571" i="1"/>
  <c r="AF572" i="1"/>
  <c r="AG572" i="1"/>
  <c r="AF573" i="1"/>
  <c r="AG573" i="1"/>
  <c r="AF574" i="1"/>
  <c r="AG574" i="1"/>
  <c r="AF575" i="1"/>
  <c r="AG575" i="1"/>
  <c r="AF576" i="1"/>
  <c r="AG576" i="1"/>
  <c r="AF577" i="1"/>
  <c r="AG577" i="1"/>
  <c r="AF578" i="1"/>
  <c r="AG578" i="1"/>
  <c r="AF579" i="1"/>
  <c r="AG579" i="1"/>
  <c r="AF580" i="1"/>
  <c r="AG580" i="1"/>
  <c r="AF581" i="1"/>
  <c r="AG581" i="1"/>
  <c r="AF582" i="1"/>
  <c r="AG582" i="1"/>
  <c r="AF583" i="1"/>
  <c r="AG583" i="1"/>
  <c r="AF584" i="1"/>
  <c r="AG584" i="1"/>
  <c r="AF585" i="1"/>
  <c r="AG585" i="1"/>
  <c r="AF586" i="1"/>
  <c r="AG586" i="1"/>
  <c r="AF587" i="1"/>
  <c r="AG587" i="1"/>
  <c r="AF588" i="1"/>
  <c r="AG588" i="1"/>
  <c r="AF589" i="1"/>
  <c r="AG589" i="1"/>
  <c r="AF590" i="1"/>
  <c r="AG590" i="1"/>
  <c r="AF591" i="1"/>
  <c r="AG591" i="1"/>
  <c r="AF592" i="1"/>
  <c r="AG592" i="1"/>
  <c r="AF593" i="1"/>
  <c r="AG593" i="1"/>
  <c r="AF594" i="1"/>
  <c r="AG594" i="1"/>
  <c r="AF595" i="1"/>
  <c r="AG595" i="1"/>
  <c r="AF596" i="1"/>
  <c r="AG596" i="1"/>
  <c r="AF597" i="1"/>
  <c r="AG597" i="1"/>
  <c r="AF598" i="1"/>
  <c r="AG598" i="1"/>
  <c r="AF599" i="1"/>
  <c r="AG599" i="1"/>
  <c r="AF600" i="1"/>
  <c r="AG600" i="1"/>
  <c r="AF601" i="1"/>
  <c r="AG601" i="1"/>
  <c r="AF602" i="1"/>
  <c r="AG602" i="1"/>
  <c r="AF603" i="1"/>
  <c r="AG603" i="1"/>
  <c r="AF604" i="1"/>
  <c r="AG604" i="1"/>
  <c r="AF605" i="1"/>
  <c r="AG605" i="1"/>
  <c r="AF606" i="1"/>
  <c r="AG606" i="1"/>
  <c r="AF607" i="1"/>
  <c r="AG607" i="1"/>
  <c r="AF608" i="1"/>
  <c r="AG608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G627" i="1"/>
  <c r="AF628" i="1"/>
  <c r="AG628" i="1"/>
  <c r="AF629" i="1"/>
  <c r="AG629" i="1"/>
  <c r="AF630" i="1"/>
  <c r="AG630" i="1"/>
  <c r="AF631" i="1"/>
  <c r="AG631" i="1"/>
  <c r="AF632" i="1"/>
  <c r="AG632" i="1"/>
  <c r="AF633" i="1"/>
  <c r="AG633" i="1"/>
  <c r="AF634" i="1"/>
  <c r="AG634" i="1"/>
  <c r="AF635" i="1"/>
  <c r="AG635" i="1"/>
  <c r="AF636" i="1"/>
  <c r="AG636" i="1"/>
  <c r="AF637" i="1"/>
  <c r="AG637" i="1"/>
  <c r="AF638" i="1"/>
  <c r="AG638" i="1"/>
  <c r="AF639" i="1"/>
  <c r="AG639" i="1"/>
  <c r="AF640" i="1"/>
  <c r="AG640" i="1"/>
  <c r="AF641" i="1"/>
  <c r="AG641" i="1"/>
  <c r="AF642" i="1"/>
  <c r="AG642" i="1"/>
  <c r="AF643" i="1"/>
  <c r="AG643" i="1"/>
  <c r="AF644" i="1"/>
  <c r="AG644" i="1"/>
  <c r="AF645" i="1"/>
  <c r="AG645" i="1"/>
  <c r="AF646" i="1"/>
  <c r="AG646" i="1"/>
  <c r="AF647" i="1"/>
  <c r="AG647" i="1"/>
  <c r="AF648" i="1"/>
  <c r="AG648" i="1"/>
  <c r="AF649" i="1"/>
  <c r="AG649" i="1"/>
  <c r="AF650" i="1"/>
  <c r="AG650" i="1"/>
  <c r="AF651" i="1"/>
  <c r="AG651" i="1"/>
  <c r="AF652" i="1"/>
  <c r="AG652" i="1"/>
  <c r="AF653" i="1"/>
  <c r="AG653" i="1"/>
  <c r="AF654" i="1"/>
  <c r="AG654" i="1"/>
  <c r="AF655" i="1"/>
  <c r="AG655" i="1"/>
  <c r="AF656" i="1"/>
  <c r="AG656" i="1"/>
  <c r="AF657" i="1"/>
  <c r="AG657" i="1"/>
  <c r="AF658" i="1"/>
  <c r="AG658" i="1"/>
  <c r="AF659" i="1"/>
  <c r="AG659" i="1"/>
  <c r="AF660" i="1"/>
  <c r="AG660" i="1"/>
  <c r="AF661" i="1"/>
  <c r="AG661" i="1"/>
  <c r="AF662" i="1"/>
  <c r="AG662" i="1"/>
  <c r="AF663" i="1"/>
  <c r="AG663" i="1"/>
  <c r="AF664" i="1"/>
  <c r="AG664" i="1"/>
  <c r="AF665" i="1"/>
  <c r="AG665" i="1"/>
  <c r="AF666" i="1"/>
  <c r="AG666" i="1"/>
  <c r="AF667" i="1"/>
  <c r="AG667" i="1"/>
  <c r="AF668" i="1"/>
  <c r="AG668" i="1"/>
  <c r="AG3" i="1"/>
  <c r="AF3" i="1"/>
  <c r="AC4" i="1"/>
  <c r="AD4" i="1"/>
  <c r="AE4" i="1"/>
  <c r="AC5" i="1"/>
  <c r="AD5" i="1"/>
  <c r="AE5" i="1"/>
  <c r="AC6" i="1"/>
  <c r="AD6" i="1"/>
  <c r="AE6" i="1"/>
  <c r="AC7" i="1"/>
  <c r="AD7" i="1"/>
  <c r="AE7" i="1"/>
  <c r="AC8" i="1"/>
  <c r="AD8" i="1"/>
  <c r="AE8" i="1"/>
  <c r="AC9" i="1"/>
  <c r="AD9" i="1"/>
  <c r="AE9" i="1"/>
  <c r="AC10" i="1"/>
  <c r="AD10" i="1"/>
  <c r="AE10" i="1"/>
  <c r="AC11" i="1"/>
  <c r="AD11" i="1"/>
  <c r="AE11" i="1"/>
  <c r="AC12" i="1"/>
  <c r="AD12" i="1"/>
  <c r="AE12" i="1"/>
  <c r="AC13" i="1"/>
  <c r="AD13" i="1"/>
  <c r="AE13" i="1"/>
  <c r="AC14" i="1"/>
  <c r="AD14" i="1"/>
  <c r="AE14" i="1"/>
  <c r="AC15" i="1"/>
  <c r="AD15" i="1"/>
  <c r="AE15" i="1"/>
  <c r="AC16" i="1"/>
  <c r="AD16" i="1"/>
  <c r="AE16" i="1"/>
  <c r="AC17" i="1"/>
  <c r="AD17" i="1"/>
  <c r="AE17" i="1"/>
  <c r="AC18" i="1"/>
  <c r="AD18" i="1"/>
  <c r="AE18" i="1"/>
  <c r="AC19" i="1"/>
  <c r="AD19" i="1"/>
  <c r="AE19" i="1"/>
  <c r="AC20" i="1"/>
  <c r="AD20" i="1"/>
  <c r="AE20" i="1"/>
  <c r="AC21" i="1"/>
  <c r="AD21" i="1"/>
  <c r="AE21" i="1"/>
  <c r="AC22" i="1"/>
  <c r="AD22" i="1"/>
  <c r="AE22" i="1"/>
  <c r="AC23" i="1"/>
  <c r="AD23" i="1"/>
  <c r="AE23" i="1"/>
  <c r="AC24" i="1"/>
  <c r="AD24" i="1"/>
  <c r="AE24" i="1"/>
  <c r="AC25" i="1"/>
  <c r="AD25" i="1"/>
  <c r="AE25" i="1"/>
  <c r="AC26" i="1"/>
  <c r="AD26" i="1"/>
  <c r="AE26" i="1"/>
  <c r="AC27" i="1"/>
  <c r="AD27" i="1"/>
  <c r="AE27" i="1"/>
  <c r="AC28" i="1"/>
  <c r="AD28" i="1"/>
  <c r="AE28" i="1"/>
  <c r="AC29" i="1"/>
  <c r="AD29" i="1"/>
  <c r="AE29" i="1"/>
  <c r="AC30" i="1"/>
  <c r="AD30" i="1"/>
  <c r="AE30" i="1"/>
  <c r="AC31" i="1"/>
  <c r="AD31" i="1"/>
  <c r="AE31" i="1"/>
  <c r="AC32" i="1"/>
  <c r="AD32" i="1"/>
  <c r="AE32" i="1"/>
  <c r="AC33" i="1"/>
  <c r="AD33" i="1"/>
  <c r="AE33" i="1"/>
  <c r="AC34" i="1"/>
  <c r="AD34" i="1"/>
  <c r="AE34" i="1"/>
  <c r="AC35" i="1"/>
  <c r="AD35" i="1"/>
  <c r="AE35" i="1"/>
  <c r="AC36" i="1"/>
  <c r="AD36" i="1"/>
  <c r="AE36" i="1"/>
  <c r="AC37" i="1"/>
  <c r="AD37" i="1"/>
  <c r="AE37" i="1"/>
  <c r="AC38" i="1"/>
  <c r="AD38" i="1"/>
  <c r="AE38" i="1"/>
  <c r="AC39" i="1"/>
  <c r="AD39" i="1"/>
  <c r="AE39" i="1"/>
  <c r="AC40" i="1"/>
  <c r="AD40" i="1"/>
  <c r="AE40" i="1"/>
  <c r="AC41" i="1"/>
  <c r="AD41" i="1"/>
  <c r="AE41" i="1"/>
  <c r="AC42" i="1"/>
  <c r="AD42" i="1"/>
  <c r="AE42" i="1"/>
  <c r="AC43" i="1"/>
  <c r="AD43" i="1"/>
  <c r="AE43" i="1"/>
  <c r="AC44" i="1"/>
  <c r="AD44" i="1"/>
  <c r="AE44" i="1"/>
  <c r="AC45" i="1"/>
  <c r="AD45" i="1"/>
  <c r="AE45" i="1"/>
  <c r="AC46" i="1"/>
  <c r="AD46" i="1"/>
  <c r="AE46" i="1"/>
  <c r="AC47" i="1"/>
  <c r="AD47" i="1"/>
  <c r="AE47" i="1"/>
  <c r="AC48" i="1"/>
  <c r="AD48" i="1"/>
  <c r="AE48" i="1"/>
  <c r="AC49" i="1"/>
  <c r="AD49" i="1"/>
  <c r="AE49" i="1"/>
  <c r="AC50" i="1"/>
  <c r="AD50" i="1"/>
  <c r="AE50" i="1"/>
  <c r="AC51" i="1"/>
  <c r="AD51" i="1"/>
  <c r="AE51" i="1"/>
  <c r="AC52" i="1"/>
  <c r="AD52" i="1"/>
  <c r="AE52" i="1"/>
  <c r="AC53" i="1"/>
  <c r="AD53" i="1"/>
  <c r="AE53" i="1"/>
  <c r="AC54" i="1"/>
  <c r="AD54" i="1"/>
  <c r="AE54" i="1"/>
  <c r="AC55" i="1"/>
  <c r="AD55" i="1"/>
  <c r="AE55" i="1"/>
  <c r="AC56" i="1"/>
  <c r="AD56" i="1"/>
  <c r="AE56" i="1"/>
  <c r="AC57" i="1"/>
  <c r="AD57" i="1"/>
  <c r="AE57" i="1"/>
  <c r="AC58" i="1"/>
  <c r="AD58" i="1"/>
  <c r="AE58" i="1"/>
  <c r="AC59" i="1"/>
  <c r="AD59" i="1"/>
  <c r="AE59" i="1"/>
  <c r="AC60" i="1"/>
  <c r="AD60" i="1"/>
  <c r="AE60" i="1"/>
  <c r="AC61" i="1"/>
  <c r="AD61" i="1"/>
  <c r="AE61" i="1"/>
  <c r="AC62" i="1"/>
  <c r="AD62" i="1"/>
  <c r="AE62" i="1"/>
  <c r="AC63" i="1"/>
  <c r="AD63" i="1"/>
  <c r="AE63" i="1"/>
  <c r="AC64" i="1"/>
  <c r="AD64" i="1"/>
  <c r="AE64" i="1"/>
  <c r="AC65" i="1"/>
  <c r="AD65" i="1"/>
  <c r="AE65" i="1"/>
  <c r="AC66" i="1"/>
  <c r="AD66" i="1"/>
  <c r="AE66" i="1"/>
  <c r="AC67" i="1"/>
  <c r="AD67" i="1"/>
  <c r="AE67" i="1"/>
  <c r="AC68" i="1"/>
  <c r="AD68" i="1"/>
  <c r="AE68" i="1"/>
  <c r="AC69" i="1"/>
  <c r="AD69" i="1"/>
  <c r="AE69" i="1"/>
  <c r="AC70" i="1"/>
  <c r="AD70" i="1"/>
  <c r="AE70" i="1"/>
  <c r="AC71" i="1"/>
  <c r="AD71" i="1"/>
  <c r="AE71" i="1"/>
  <c r="AC72" i="1"/>
  <c r="AD72" i="1"/>
  <c r="AE72" i="1"/>
  <c r="AC73" i="1"/>
  <c r="AD73" i="1"/>
  <c r="AE73" i="1"/>
  <c r="AC74" i="1"/>
  <c r="AD74" i="1"/>
  <c r="AE74" i="1"/>
  <c r="AC75" i="1"/>
  <c r="AD75" i="1"/>
  <c r="AE75" i="1"/>
  <c r="AC76" i="1"/>
  <c r="AD76" i="1"/>
  <c r="AE76" i="1"/>
  <c r="AC77" i="1"/>
  <c r="AD77" i="1"/>
  <c r="AE77" i="1"/>
  <c r="AC78" i="1"/>
  <c r="AD78" i="1"/>
  <c r="AE78" i="1"/>
  <c r="AC79" i="1"/>
  <c r="AD79" i="1"/>
  <c r="AE79" i="1"/>
  <c r="AC80" i="1"/>
  <c r="AD80" i="1"/>
  <c r="AE80" i="1"/>
  <c r="AC81" i="1"/>
  <c r="AD81" i="1"/>
  <c r="AE81" i="1"/>
  <c r="AC82" i="1"/>
  <c r="AD82" i="1"/>
  <c r="AE82" i="1"/>
  <c r="AC83" i="1"/>
  <c r="AD83" i="1"/>
  <c r="AE83" i="1"/>
  <c r="AC84" i="1"/>
  <c r="AD84" i="1"/>
  <c r="AE84" i="1"/>
  <c r="AC85" i="1"/>
  <c r="AD85" i="1"/>
  <c r="AE85" i="1"/>
  <c r="AC86" i="1"/>
  <c r="AD86" i="1"/>
  <c r="AE86" i="1"/>
  <c r="AC87" i="1"/>
  <c r="AD87" i="1"/>
  <c r="AE87" i="1"/>
  <c r="AC88" i="1"/>
  <c r="AD88" i="1"/>
  <c r="AE88" i="1"/>
  <c r="AC89" i="1"/>
  <c r="AD89" i="1"/>
  <c r="AE89" i="1"/>
  <c r="AC90" i="1"/>
  <c r="AD90" i="1"/>
  <c r="AE90" i="1"/>
  <c r="AC91" i="1"/>
  <c r="AD91" i="1"/>
  <c r="AE91" i="1"/>
  <c r="AC92" i="1"/>
  <c r="AD92" i="1"/>
  <c r="AE92" i="1"/>
  <c r="AC93" i="1"/>
  <c r="AD93" i="1"/>
  <c r="AE93" i="1"/>
  <c r="AC94" i="1"/>
  <c r="AD94" i="1"/>
  <c r="AE94" i="1"/>
  <c r="AC95" i="1"/>
  <c r="AD95" i="1"/>
  <c r="AE95" i="1"/>
  <c r="AC96" i="1"/>
  <c r="AD96" i="1"/>
  <c r="AE96" i="1"/>
  <c r="AC97" i="1"/>
  <c r="AD97" i="1"/>
  <c r="AE97" i="1"/>
  <c r="AC98" i="1"/>
  <c r="AD98" i="1"/>
  <c r="AE98" i="1"/>
  <c r="AC99" i="1"/>
  <c r="AD99" i="1"/>
  <c r="AE99" i="1"/>
  <c r="AC100" i="1"/>
  <c r="AD100" i="1"/>
  <c r="AE100" i="1"/>
  <c r="AC101" i="1"/>
  <c r="AD101" i="1"/>
  <c r="AE101" i="1"/>
  <c r="AC102" i="1"/>
  <c r="AD102" i="1"/>
  <c r="AE102" i="1"/>
  <c r="AC103" i="1"/>
  <c r="AD103" i="1"/>
  <c r="AE103" i="1"/>
  <c r="AC104" i="1"/>
  <c r="AD104" i="1"/>
  <c r="AE104" i="1"/>
  <c r="AC105" i="1"/>
  <c r="AD105" i="1"/>
  <c r="AE105" i="1"/>
  <c r="AC106" i="1"/>
  <c r="AD106" i="1"/>
  <c r="AE106" i="1"/>
  <c r="AC107" i="1"/>
  <c r="AD107" i="1"/>
  <c r="AE107" i="1"/>
  <c r="AC108" i="1"/>
  <c r="AD108" i="1"/>
  <c r="AE108" i="1"/>
  <c r="AC109" i="1"/>
  <c r="AD109" i="1"/>
  <c r="AE109" i="1"/>
  <c r="AC110" i="1"/>
  <c r="AD110" i="1"/>
  <c r="AE110" i="1"/>
  <c r="AC111" i="1"/>
  <c r="AD111" i="1"/>
  <c r="AE111" i="1"/>
  <c r="AC112" i="1"/>
  <c r="AD112" i="1"/>
  <c r="AE112" i="1"/>
  <c r="AC113" i="1"/>
  <c r="AD113" i="1"/>
  <c r="AE113" i="1"/>
  <c r="AC114" i="1"/>
  <c r="AD114" i="1"/>
  <c r="AE114" i="1"/>
  <c r="AC115" i="1"/>
  <c r="AD115" i="1"/>
  <c r="AE115" i="1"/>
  <c r="AC116" i="1"/>
  <c r="AD116" i="1"/>
  <c r="AE116" i="1"/>
  <c r="AC117" i="1"/>
  <c r="AD117" i="1"/>
  <c r="AE117" i="1"/>
  <c r="AC118" i="1"/>
  <c r="AD118" i="1"/>
  <c r="AE118" i="1"/>
  <c r="AC119" i="1"/>
  <c r="AD119" i="1"/>
  <c r="AE119" i="1"/>
  <c r="AC120" i="1"/>
  <c r="AD120" i="1"/>
  <c r="AE120" i="1"/>
  <c r="AC121" i="1"/>
  <c r="AD121" i="1"/>
  <c r="AE121" i="1"/>
  <c r="AC122" i="1"/>
  <c r="AD122" i="1"/>
  <c r="AE122" i="1"/>
  <c r="AC123" i="1"/>
  <c r="AD123" i="1"/>
  <c r="AE123" i="1"/>
  <c r="AC124" i="1"/>
  <c r="AD124" i="1"/>
  <c r="AE124" i="1"/>
  <c r="AC125" i="1"/>
  <c r="AD125" i="1"/>
  <c r="AE125" i="1"/>
  <c r="AC126" i="1"/>
  <c r="AD126" i="1"/>
  <c r="AE126" i="1"/>
  <c r="AC127" i="1"/>
  <c r="AD127" i="1"/>
  <c r="AE127" i="1"/>
  <c r="AC128" i="1"/>
  <c r="AD128" i="1"/>
  <c r="AE128" i="1"/>
  <c r="AC129" i="1"/>
  <c r="AD129" i="1"/>
  <c r="AE129" i="1"/>
  <c r="AC130" i="1"/>
  <c r="AD130" i="1"/>
  <c r="AE130" i="1"/>
  <c r="AC131" i="1"/>
  <c r="AD131" i="1"/>
  <c r="AE131" i="1"/>
  <c r="AC132" i="1"/>
  <c r="AD132" i="1"/>
  <c r="AE132" i="1"/>
  <c r="AC133" i="1"/>
  <c r="AD133" i="1"/>
  <c r="AE133" i="1"/>
  <c r="AC134" i="1"/>
  <c r="AD134" i="1"/>
  <c r="AE134" i="1"/>
  <c r="AC135" i="1"/>
  <c r="AD135" i="1"/>
  <c r="AE135" i="1"/>
  <c r="AC136" i="1"/>
  <c r="AD136" i="1"/>
  <c r="AE136" i="1"/>
  <c r="AC137" i="1"/>
  <c r="AD137" i="1"/>
  <c r="AE137" i="1"/>
  <c r="AC138" i="1"/>
  <c r="AD138" i="1"/>
  <c r="AE138" i="1"/>
  <c r="AC139" i="1"/>
  <c r="AD139" i="1"/>
  <c r="AE139" i="1"/>
  <c r="AC140" i="1"/>
  <c r="AD140" i="1"/>
  <c r="AE140" i="1"/>
  <c r="AC141" i="1"/>
  <c r="AD141" i="1"/>
  <c r="AE141" i="1"/>
  <c r="AC142" i="1"/>
  <c r="AD142" i="1"/>
  <c r="AE142" i="1"/>
  <c r="AC143" i="1"/>
  <c r="AD143" i="1"/>
  <c r="AE143" i="1"/>
  <c r="AC144" i="1"/>
  <c r="AD144" i="1"/>
  <c r="AE144" i="1"/>
  <c r="AC145" i="1"/>
  <c r="AD145" i="1"/>
  <c r="AE145" i="1"/>
  <c r="AC146" i="1"/>
  <c r="AD146" i="1"/>
  <c r="AE146" i="1"/>
  <c r="AC147" i="1"/>
  <c r="AD147" i="1"/>
  <c r="AE147" i="1"/>
  <c r="AC148" i="1"/>
  <c r="AD148" i="1"/>
  <c r="AE148" i="1"/>
  <c r="AC149" i="1"/>
  <c r="AD149" i="1"/>
  <c r="AE149" i="1"/>
  <c r="AC150" i="1"/>
  <c r="AD150" i="1"/>
  <c r="AE150" i="1"/>
  <c r="AC151" i="1"/>
  <c r="AD151" i="1"/>
  <c r="AE151" i="1"/>
  <c r="AC152" i="1"/>
  <c r="AD152" i="1"/>
  <c r="AE152" i="1"/>
  <c r="AC153" i="1"/>
  <c r="AD153" i="1"/>
  <c r="AE153" i="1"/>
  <c r="AC154" i="1"/>
  <c r="AD154" i="1"/>
  <c r="AE154" i="1"/>
  <c r="AC155" i="1"/>
  <c r="AD155" i="1"/>
  <c r="AE155" i="1"/>
  <c r="AC156" i="1"/>
  <c r="AD156" i="1"/>
  <c r="AE156" i="1"/>
  <c r="AC157" i="1"/>
  <c r="AD157" i="1"/>
  <c r="AE157" i="1"/>
  <c r="AC158" i="1"/>
  <c r="AD158" i="1"/>
  <c r="AE158" i="1"/>
  <c r="AC159" i="1"/>
  <c r="AD159" i="1"/>
  <c r="AE159" i="1"/>
  <c r="AC160" i="1"/>
  <c r="AD160" i="1"/>
  <c r="AE160" i="1"/>
  <c r="AC161" i="1"/>
  <c r="AD161" i="1"/>
  <c r="AE161" i="1"/>
  <c r="AC162" i="1"/>
  <c r="AD162" i="1"/>
  <c r="AE162" i="1"/>
  <c r="AC163" i="1"/>
  <c r="AD163" i="1"/>
  <c r="AE163" i="1"/>
  <c r="AC164" i="1"/>
  <c r="AD164" i="1"/>
  <c r="AE164" i="1"/>
  <c r="AC165" i="1"/>
  <c r="AD165" i="1"/>
  <c r="AE165" i="1"/>
  <c r="AC166" i="1"/>
  <c r="AD166" i="1"/>
  <c r="AE166" i="1"/>
  <c r="AC167" i="1"/>
  <c r="AD167" i="1"/>
  <c r="AE167" i="1"/>
  <c r="AC168" i="1"/>
  <c r="AD168" i="1"/>
  <c r="AE168" i="1"/>
  <c r="AC169" i="1"/>
  <c r="AD169" i="1"/>
  <c r="AE169" i="1"/>
  <c r="AC170" i="1"/>
  <c r="AD170" i="1"/>
  <c r="AE170" i="1"/>
  <c r="AC171" i="1"/>
  <c r="AD171" i="1"/>
  <c r="AE171" i="1"/>
  <c r="AC172" i="1"/>
  <c r="AD172" i="1"/>
  <c r="AE172" i="1"/>
  <c r="AC173" i="1"/>
  <c r="AD173" i="1"/>
  <c r="AE173" i="1"/>
  <c r="AC174" i="1"/>
  <c r="AD174" i="1"/>
  <c r="AE174" i="1"/>
  <c r="AC175" i="1"/>
  <c r="AD175" i="1"/>
  <c r="AE175" i="1"/>
  <c r="AC176" i="1"/>
  <c r="AD176" i="1"/>
  <c r="AE176" i="1"/>
  <c r="AC177" i="1"/>
  <c r="AD177" i="1"/>
  <c r="AE177" i="1"/>
  <c r="AC178" i="1"/>
  <c r="AD178" i="1"/>
  <c r="AE178" i="1"/>
  <c r="AC179" i="1"/>
  <c r="AD179" i="1"/>
  <c r="AE179" i="1"/>
  <c r="AC180" i="1"/>
  <c r="AD180" i="1"/>
  <c r="AE180" i="1"/>
  <c r="AC181" i="1"/>
  <c r="AD181" i="1"/>
  <c r="AE181" i="1"/>
  <c r="AC182" i="1"/>
  <c r="AD182" i="1"/>
  <c r="AE182" i="1"/>
  <c r="AC183" i="1"/>
  <c r="AD183" i="1"/>
  <c r="AE183" i="1"/>
  <c r="AC184" i="1"/>
  <c r="AD184" i="1"/>
  <c r="AE184" i="1"/>
  <c r="AC185" i="1"/>
  <c r="AD185" i="1"/>
  <c r="AE185" i="1"/>
  <c r="AC186" i="1"/>
  <c r="AD186" i="1"/>
  <c r="AE186" i="1"/>
  <c r="AC187" i="1"/>
  <c r="AD187" i="1"/>
  <c r="AE187" i="1"/>
  <c r="AC188" i="1"/>
  <c r="AD188" i="1"/>
  <c r="AE188" i="1"/>
  <c r="AC189" i="1"/>
  <c r="AD189" i="1"/>
  <c r="AE189" i="1"/>
  <c r="AC190" i="1"/>
  <c r="AD190" i="1"/>
  <c r="AE190" i="1"/>
  <c r="AC191" i="1"/>
  <c r="AD191" i="1"/>
  <c r="AE191" i="1"/>
  <c r="AC192" i="1"/>
  <c r="AD192" i="1"/>
  <c r="AE192" i="1"/>
  <c r="AC193" i="1"/>
  <c r="AD193" i="1"/>
  <c r="AE193" i="1"/>
  <c r="AC194" i="1"/>
  <c r="AD194" i="1"/>
  <c r="AE194" i="1"/>
  <c r="AC195" i="1"/>
  <c r="AD195" i="1"/>
  <c r="AE195" i="1"/>
  <c r="AC196" i="1"/>
  <c r="AD196" i="1"/>
  <c r="AE196" i="1"/>
  <c r="AC197" i="1"/>
  <c r="AD197" i="1"/>
  <c r="AE197" i="1"/>
  <c r="AC198" i="1"/>
  <c r="AD198" i="1"/>
  <c r="AE198" i="1"/>
  <c r="AC199" i="1"/>
  <c r="AD199" i="1"/>
  <c r="AE199" i="1"/>
  <c r="AC200" i="1"/>
  <c r="AD200" i="1"/>
  <c r="AE200" i="1"/>
  <c r="AC201" i="1"/>
  <c r="AD201" i="1"/>
  <c r="AE201" i="1"/>
  <c r="AC202" i="1"/>
  <c r="AD202" i="1"/>
  <c r="AE202" i="1"/>
  <c r="AC203" i="1"/>
  <c r="AD203" i="1"/>
  <c r="AE203" i="1"/>
  <c r="AC204" i="1"/>
  <c r="AD204" i="1"/>
  <c r="AE204" i="1"/>
  <c r="AC205" i="1"/>
  <c r="AD205" i="1"/>
  <c r="AE205" i="1"/>
  <c r="AC206" i="1"/>
  <c r="AD206" i="1"/>
  <c r="AE206" i="1"/>
  <c r="AC207" i="1"/>
  <c r="AD207" i="1"/>
  <c r="AE207" i="1"/>
  <c r="AC208" i="1"/>
  <c r="AD208" i="1"/>
  <c r="AE208" i="1"/>
  <c r="AC209" i="1"/>
  <c r="AD209" i="1"/>
  <c r="AE209" i="1"/>
  <c r="AC210" i="1"/>
  <c r="AD210" i="1"/>
  <c r="AE210" i="1"/>
  <c r="AC211" i="1"/>
  <c r="AD211" i="1"/>
  <c r="AE211" i="1"/>
  <c r="AC212" i="1"/>
  <c r="AD212" i="1"/>
  <c r="AE212" i="1"/>
  <c r="AC213" i="1"/>
  <c r="AD213" i="1"/>
  <c r="AE213" i="1"/>
  <c r="AC214" i="1"/>
  <c r="AD214" i="1"/>
  <c r="AE214" i="1"/>
  <c r="AC215" i="1"/>
  <c r="AD215" i="1"/>
  <c r="AE215" i="1"/>
  <c r="AC216" i="1"/>
  <c r="AD216" i="1"/>
  <c r="AE216" i="1"/>
  <c r="AC217" i="1"/>
  <c r="AD217" i="1"/>
  <c r="AE217" i="1"/>
  <c r="AC218" i="1"/>
  <c r="AD218" i="1"/>
  <c r="AE218" i="1"/>
  <c r="AC219" i="1"/>
  <c r="AD219" i="1"/>
  <c r="AE219" i="1"/>
  <c r="AC220" i="1"/>
  <c r="AD220" i="1"/>
  <c r="AE220" i="1"/>
  <c r="AC221" i="1"/>
  <c r="AD221" i="1"/>
  <c r="AE221" i="1"/>
  <c r="AC222" i="1"/>
  <c r="AD222" i="1"/>
  <c r="AE222" i="1"/>
  <c r="AC223" i="1"/>
  <c r="AD223" i="1"/>
  <c r="AE223" i="1"/>
  <c r="AC224" i="1"/>
  <c r="AD224" i="1"/>
  <c r="AE224" i="1"/>
  <c r="AC225" i="1"/>
  <c r="AD225" i="1"/>
  <c r="AE225" i="1"/>
  <c r="AC226" i="1"/>
  <c r="AD226" i="1"/>
  <c r="AE226" i="1"/>
  <c r="AC227" i="1"/>
  <c r="AD227" i="1"/>
  <c r="AE227" i="1"/>
  <c r="AC228" i="1"/>
  <c r="AD228" i="1"/>
  <c r="AE228" i="1"/>
  <c r="AC229" i="1"/>
  <c r="AD229" i="1"/>
  <c r="AE229" i="1"/>
  <c r="AC230" i="1"/>
  <c r="AD230" i="1"/>
  <c r="AE230" i="1"/>
  <c r="AC231" i="1"/>
  <c r="AD231" i="1"/>
  <c r="AE231" i="1"/>
  <c r="AC232" i="1"/>
  <c r="AD232" i="1"/>
  <c r="AE232" i="1"/>
  <c r="AC233" i="1"/>
  <c r="AD233" i="1"/>
  <c r="AE233" i="1"/>
  <c r="AC234" i="1"/>
  <c r="AD234" i="1"/>
  <c r="AE234" i="1"/>
  <c r="AC235" i="1"/>
  <c r="AD235" i="1"/>
  <c r="AE235" i="1"/>
  <c r="AC236" i="1"/>
  <c r="AD236" i="1"/>
  <c r="AE236" i="1"/>
  <c r="AC237" i="1"/>
  <c r="AD237" i="1"/>
  <c r="AE237" i="1"/>
  <c r="AC238" i="1"/>
  <c r="AD238" i="1"/>
  <c r="AE238" i="1"/>
  <c r="AC239" i="1"/>
  <c r="AD239" i="1"/>
  <c r="AE239" i="1"/>
  <c r="AC240" i="1"/>
  <c r="AD240" i="1"/>
  <c r="AE240" i="1"/>
  <c r="AC241" i="1"/>
  <c r="AD241" i="1"/>
  <c r="AE241" i="1"/>
  <c r="AC242" i="1"/>
  <c r="AD242" i="1"/>
  <c r="AE242" i="1"/>
  <c r="AC243" i="1"/>
  <c r="AD243" i="1"/>
  <c r="AE243" i="1"/>
  <c r="AC244" i="1"/>
  <c r="AD244" i="1"/>
  <c r="AE244" i="1"/>
  <c r="AC245" i="1"/>
  <c r="AD245" i="1"/>
  <c r="AE245" i="1"/>
  <c r="AC246" i="1"/>
  <c r="AD246" i="1"/>
  <c r="AE246" i="1"/>
  <c r="AC247" i="1"/>
  <c r="AD247" i="1"/>
  <c r="AE247" i="1"/>
  <c r="AC248" i="1"/>
  <c r="AD248" i="1"/>
  <c r="AE248" i="1"/>
  <c r="AC249" i="1"/>
  <c r="AD249" i="1"/>
  <c r="AE249" i="1"/>
  <c r="AC250" i="1"/>
  <c r="AD250" i="1"/>
  <c r="AE250" i="1"/>
  <c r="AC251" i="1"/>
  <c r="AD251" i="1"/>
  <c r="AE251" i="1"/>
  <c r="AC252" i="1"/>
  <c r="AD252" i="1"/>
  <c r="AE252" i="1"/>
  <c r="AC253" i="1"/>
  <c r="AD253" i="1"/>
  <c r="AE253" i="1"/>
  <c r="AC254" i="1"/>
  <c r="AD254" i="1"/>
  <c r="AE254" i="1"/>
  <c r="AC255" i="1"/>
  <c r="AD255" i="1"/>
  <c r="AE255" i="1"/>
  <c r="AC256" i="1"/>
  <c r="AD256" i="1"/>
  <c r="AE256" i="1"/>
  <c r="AC257" i="1"/>
  <c r="AD257" i="1"/>
  <c r="AE257" i="1"/>
  <c r="AC258" i="1"/>
  <c r="AD258" i="1"/>
  <c r="AE258" i="1"/>
  <c r="AC259" i="1"/>
  <c r="AD259" i="1"/>
  <c r="AE259" i="1"/>
  <c r="AC260" i="1"/>
  <c r="AD260" i="1"/>
  <c r="AE260" i="1"/>
  <c r="AC261" i="1"/>
  <c r="AD261" i="1"/>
  <c r="AE261" i="1"/>
  <c r="AC262" i="1"/>
  <c r="AD262" i="1"/>
  <c r="AE262" i="1"/>
  <c r="AC263" i="1"/>
  <c r="AD263" i="1"/>
  <c r="AE263" i="1"/>
  <c r="AC264" i="1"/>
  <c r="AD264" i="1"/>
  <c r="AE264" i="1"/>
  <c r="AC265" i="1"/>
  <c r="AD265" i="1"/>
  <c r="AE265" i="1"/>
  <c r="AC266" i="1"/>
  <c r="AD266" i="1"/>
  <c r="AE266" i="1"/>
  <c r="AC267" i="1"/>
  <c r="AD267" i="1"/>
  <c r="AE267" i="1"/>
  <c r="AC268" i="1"/>
  <c r="AD268" i="1"/>
  <c r="AE268" i="1"/>
  <c r="AC269" i="1"/>
  <c r="AD269" i="1"/>
  <c r="AE269" i="1"/>
  <c r="AC270" i="1"/>
  <c r="AD270" i="1"/>
  <c r="AE270" i="1"/>
  <c r="AC271" i="1"/>
  <c r="AD271" i="1"/>
  <c r="AE271" i="1"/>
  <c r="AC272" i="1"/>
  <c r="AD272" i="1"/>
  <c r="AE272" i="1"/>
  <c r="AC273" i="1"/>
  <c r="AD273" i="1"/>
  <c r="AE273" i="1"/>
  <c r="AC274" i="1"/>
  <c r="AD274" i="1"/>
  <c r="AE274" i="1"/>
  <c r="AC275" i="1"/>
  <c r="AD275" i="1"/>
  <c r="AE275" i="1"/>
  <c r="AC276" i="1"/>
  <c r="AD276" i="1"/>
  <c r="AE276" i="1"/>
  <c r="AC277" i="1"/>
  <c r="AD277" i="1"/>
  <c r="AE277" i="1"/>
  <c r="AC278" i="1"/>
  <c r="AD278" i="1"/>
  <c r="AE278" i="1"/>
  <c r="AC279" i="1"/>
  <c r="AD279" i="1"/>
  <c r="AE279" i="1"/>
  <c r="AC280" i="1"/>
  <c r="AD280" i="1"/>
  <c r="AE280" i="1"/>
  <c r="AC281" i="1"/>
  <c r="AD281" i="1"/>
  <c r="AE281" i="1"/>
  <c r="AC282" i="1"/>
  <c r="AD282" i="1"/>
  <c r="AE282" i="1"/>
  <c r="AC283" i="1"/>
  <c r="AD283" i="1"/>
  <c r="AE283" i="1"/>
  <c r="AC284" i="1"/>
  <c r="AD284" i="1"/>
  <c r="AE284" i="1"/>
  <c r="AC285" i="1"/>
  <c r="AD285" i="1"/>
  <c r="AE285" i="1"/>
  <c r="AC286" i="1"/>
  <c r="AD286" i="1"/>
  <c r="AE286" i="1"/>
  <c r="AC287" i="1"/>
  <c r="AD287" i="1"/>
  <c r="AE287" i="1"/>
  <c r="AC288" i="1"/>
  <c r="AD288" i="1"/>
  <c r="AE288" i="1"/>
  <c r="AC289" i="1"/>
  <c r="AD289" i="1"/>
  <c r="AE289" i="1"/>
  <c r="AC290" i="1"/>
  <c r="AD290" i="1"/>
  <c r="AE290" i="1"/>
  <c r="AC291" i="1"/>
  <c r="AD291" i="1"/>
  <c r="AE291" i="1"/>
  <c r="AC292" i="1"/>
  <c r="AD292" i="1"/>
  <c r="AE292" i="1"/>
  <c r="AC293" i="1"/>
  <c r="AD293" i="1"/>
  <c r="AE293" i="1"/>
  <c r="AC294" i="1"/>
  <c r="AD294" i="1"/>
  <c r="AE294" i="1"/>
  <c r="AC295" i="1"/>
  <c r="AD295" i="1"/>
  <c r="AE295" i="1"/>
  <c r="AC296" i="1"/>
  <c r="AD296" i="1"/>
  <c r="AE296" i="1"/>
  <c r="AC297" i="1"/>
  <c r="AD297" i="1"/>
  <c r="AE297" i="1"/>
  <c r="AC298" i="1"/>
  <c r="AD298" i="1"/>
  <c r="AE298" i="1"/>
  <c r="AC299" i="1"/>
  <c r="AD299" i="1"/>
  <c r="AE299" i="1"/>
  <c r="AC300" i="1"/>
  <c r="AD300" i="1"/>
  <c r="AE300" i="1"/>
  <c r="AC301" i="1"/>
  <c r="AD301" i="1"/>
  <c r="AE301" i="1"/>
  <c r="AC302" i="1"/>
  <c r="AD302" i="1"/>
  <c r="AE302" i="1"/>
  <c r="AC303" i="1"/>
  <c r="AD303" i="1"/>
  <c r="AE303" i="1"/>
  <c r="AC304" i="1"/>
  <c r="AD304" i="1"/>
  <c r="AE304" i="1"/>
  <c r="AC305" i="1"/>
  <c r="AD305" i="1"/>
  <c r="AE305" i="1"/>
  <c r="AC306" i="1"/>
  <c r="AD306" i="1"/>
  <c r="AE306" i="1"/>
  <c r="AC307" i="1"/>
  <c r="AD307" i="1"/>
  <c r="AE307" i="1"/>
  <c r="AC308" i="1"/>
  <c r="AD308" i="1"/>
  <c r="AE308" i="1"/>
  <c r="AC309" i="1"/>
  <c r="AD309" i="1"/>
  <c r="AE309" i="1"/>
  <c r="AC310" i="1"/>
  <c r="AD310" i="1"/>
  <c r="AE310" i="1"/>
  <c r="AC311" i="1"/>
  <c r="AD311" i="1"/>
  <c r="AE311" i="1"/>
  <c r="AC312" i="1"/>
  <c r="AD312" i="1"/>
  <c r="AE312" i="1"/>
  <c r="AC313" i="1"/>
  <c r="AD313" i="1"/>
  <c r="AE313" i="1"/>
  <c r="AC314" i="1"/>
  <c r="AD314" i="1"/>
  <c r="AE314" i="1"/>
  <c r="AC315" i="1"/>
  <c r="AD315" i="1"/>
  <c r="AE315" i="1"/>
  <c r="AC316" i="1"/>
  <c r="AD316" i="1"/>
  <c r="AE316" i="1"/>
  <c r="AC317" i="1"/>
  <c r="AD317" i="1"/>
  <c r="AE317" i="1"/>
  <c r="AC318" i="1"/>
  <c r="AD318" i="1"/>
  <c r="AE318" i="1"/>
  <c r="AC319" i="1"/>
  <c r="AD319" i="1"/>
  <c r="AE319" i="1"/>
  <c r="AC320" i="1"/>
  <c r="AD320" i="1"/>
  <c r="AE320" i="1"/>
  <c r="AC321" i="1"/>
  <c r="AD321" i="1"/>
  <c r="AE321" i="1"/>
  <c r="AC322" i="1"/>
  <c r="AD322" i="1"/>
  <c r="AE322" i="1"/>
  <c r="AC323" i="1"/>
  <c r="AD323" i="1"/>
  <c r="AE323" i="1"/>
  <c r="AC324" i="1"/>
  <c r="AD324" i="1"/>
  <c r="AE324" i="1"/>
  <c r="AC325" i="1"/>
  <c r="AD325" i="1"/>
  <c r="AE325" i="1"/>
  <c r="AC326" i="1"/>
  <c r="AD326" i="1"/>
  <c r="AE326" i="1"/>
  <c r="AC327" i="1"/>
  <c r="AD327" i="1"/>
  <c r="AE327" i="1"/>
  <c r="AC328" i="1"/>
  <c r="AD328" i="1"/>
  <c r="AE328" i="1"/>
  <c r="AC329" i="1"/>
  <c r="AD329" i="1"/>
  <c r="AE329" i="1"/>
  <c r="AC330" i="1"/>
  <c r="AD330" i="1"/>
  <c r="AE330" i="1"/>
  <c r="AC331" i="1"/>
  <c r="AD331" i="1"/>
  <c r="AE331" i="1"/>
  <c r="AC332" i="1"/>
  <c r="AD332" i="1"/>
  <c r="AE332" i="1"/>
  <c r="AC333" i="1"/>
  <c r="AD333" i="1"/>
  <c r="AE333" i="1"/>
  <c r="AC334" i="1"/>
  <c r="AD334" i="1"/>
  <c r="AE334" i="1"/>
  <c r="AC335" i="1"/>
  <c r="AD335" i="1"/>
  <c r="AE335" i="1"/>
  <c r="AC336" i="1"/>
  <c r="AD336" i="1"/>
  <c r="AE336" i="1"/>
  <c r="AC337" i="1"/>
  <c r="AD337" i="1"/>
  <c r="AE337" i="1"/>
  <c r="AC338" i="1"/>
  <c r="AD338" i="1"/>
  <c r="AE338" i="1"/>
  <c r="AC339" i="1"/>
  <c r="AD339" i="1"/>
  <c r="AE339" i="1"/>
  <c r="AC340" i="1"/>
  <c r="AD340" i="1"/>
  <c r="AE340" i="1"/>
  <c r="AC341" i="1"/>
  <c r="AD341" i="1"/>
  <c r="AE341" i="1"/>
  <c r="AC342" i="1"/>
  <c r="AD342" i="1"/>
  <c r="AE342" i="1"/>
  <c r="AC343" i="1"/>
  <c r="AD343" i="1"/>
  <c r="AE343" i="1"/>
  <c r="AC344" i="1"/>
  <c r="AD344" i="1"/>
  <c r="AE344" i="1"/>
  <c r="AC345" i="1"/>
  <c r="AD345" i="1"/>
  <c r="AE345" i="1"/>
  <c r="AC346" i="1"/>
  <c r="AD346" i="1"/>
  <c r="AE346" i="1"/>
  <c r="AC347" i="1"/>
  <c r="AD347" i="1"/>
  <c r="AE347" i="1"/>
  <c r="AC348" i="1"/>
  <c r="AD348" i="1"/>
  <c r="AE348" i="1"/>
  <c r="AC349" i="1"/>
  <c r="AD349" i="1"/>
  <c r="AE349" i="1"/>
  <c r="AC350" i="1"/>
  <c r="AD350" i="1"/>
  <c r="AE350" i="1"/>
  <c r="AC351" i="1"/>
  <c r="AD351" i="1"/>
  <c r="AE351" i="1"/>
  <c r="AC352" i="1"/>
  <c r="AD352" i="1"/>
  <c r="AE352" i="1"/>
  <c r="AC353" i="1"/>
  <c r="AD353" i="1"/>
  <c r="AE353" i="1"/>
  <c r="AC354" i="1"/>
  <c r="AD354" i="1"/>
  <c r="AE354" i="1"/>
  <c r="AC355" i="1"/>
  <c r="AD355" i="1"/>
  <c r="AE355" i="1"/>
  <c r="AC356" i="1"/>
  <c r="AD356" i="1"/>
  <c r="AE356" i="1"/>
  <c r="AC357" i="1"/>
  <c r="AD357" i="1"/>
  <c r="AE357" i="1"/>
  <c r="AC358" i="1"/>
  <c r="AD358" i="1"/>
  <c r="AE358" i="1"/>
  <c r="AC359" i="1"/>
  <c r="AD359" i="1"/>
  <c r="AE359" i="1"/>
  <c r="AC360" i="1"/>
  <c r="AD360" i="1"/>
  <c r="AE360" i="1"/>
  <c r="AC361" i="1"/>
  <c r="AD361" i="1"/>
  <c r="AE361" i="1"/>
  <c r="AC362" i="1"/>
  <c r="AD362" i="1"/>
  <c r="AE362" i="1"/>
  <c r="AC363" i="1"/>
  <c r="AD363" i="1"/>
  <c r="AE363" i="1"/>
  <c r="AC364" i="1"/>
  <c r="AD364" i="1"/>
  <c r="AE364" i="1"/>
  <c r="AC365" i="1"/>
  <c r="AD365" i="1"/>
  <c r="AE365" i="1"/>
  <c r="AC366" i="1"/>
  <c r="AD366" i="1"/>
  <c r="AE366" i="1"/>
  <c r="AC367" i="1"/>
  <c r="AD367" i="1"/>
  <c r="AE367" i="1"/>
  <c r="AC368" i="1"/>
  <c r="AD368" i="1"/>
  <c r="AE368" i="1"/>
  <c r="AC369" i="1"/>
  <c r="AD369" i="1"/>
  <c r="AE369" i="1"/>
  <c r="AC370" i="1"/>
  <c r="AD370" i="1"/>
  <c r="AE370" i="1"/>
  <c r="AC371" i="1"/>
  <c r="AD371" i="1"/>
  <c r="AE371" i="1"/>
  <c r="AC372" i="1"/>
  <c r="AD372" i="1"/>
  <c r="AE372" i="1"/>
  <c r="AC373" i="1"/>
  <c r="AD373" i="1"/>
  <c r="AE373" i="1"/>
  <c r="AC374" i="1"/>
  <c r="AD374" i="1"/>
  <c r="AE374" i="1"/>
  <c r="AC375" i="1"/>
  <c r="AD375" i="1"/>
  <c r="AE375" i="1"/>
  <c r="AC376" i="1"/>
  <c r="AD376" i="1"/>
  <c r="AE376" i="1"/>
  <c r="AC377" i="1"/>
  <c r="AD377" i="1"/>
  <c r="AE377" i="1"/>
  <c r="AC378" i="1"/>
  <c r="AD378" i="1"/>
  <c r="AE378" i="1"/>
  <c r="AC379" i="1"/>
  <c r="AD379" i="1"/>
  <c r="AE379" i="1"/>
  <c r="AC380" i="1"/>
  <c r="AD380" i="1"/>
  <c r="AE380" i="1"/>
  <c r="AC381" i="1"/>
  <c r="AD381" i="1"/>
  <c r="AE381" i="1"/>
  <c r="AC382" i="1"/>
  <c r="AD382" i="1"/>
  <c r="AE382" i="1"/>
  <c r="AC383" i="1"/>
  <c r="AD383" i="1"/>
  <c r="AE383" i="1"/>
  <c r="AC384" i="1"/>
  <c r="AD384" i="1"/>
  <c r="AE384" i="1"/>
  <c r="AC385" i="1"/>
  <c r="AD385" i="1"/>
  <c r="AE385" i="1"/>
  <c r="AC386" i="1"/>
  <c r="AD386" i="1"/>
  <c r="AE386" i="1"/>
  <c r="AC387" i="1"/>
  <c r="AD387" i="1"/>
  <c r="AE387" i="1"/>
  <c r="AC388" i="1"/>
  <c r="AD388" i="1"/>
  <c r="AE388" i="1"/>
  <c r="AC389" i="1"/>
  <c r="AD389" i="1"/>
  <c r="AE389" i="1"/>
  <c r="AC390" i="1"/>
  <c r="AD390" i="1"/>
  <c r="AE390" i="1"/>
  <c r="AC391" i="1"/>
  <c r="AD391" i="1"/>
  <c r="AE391" i="1"/>
  <c r="AC392" i="1"/>
  <c r="AD392" i="1"/>
  <c r="AE392" i="1"/>
  <c r="AC393" i="1"/>
  <c r="AD393" i="1"/>
  <c r="AE393" i="1"/>
  <c r="AC394" i="1"/>
  <c r="AD394" i="1"/>
  <c r="AE394" i="1"/>
  <c r="AC395" i="1"/>
  <c r="AD395" i="1"/>
  <c r="AE395" i="1"/>
  <c r="AC396" i="1"/>
  <c r="AD396" i="1"/>
  <c r="AE396" i="1"/>
  <c r="AC397" i="1"/>
  <c r="AD397" i="1"/>
  <c r="AE397" i="1"/>
  <c r="AC398" i="1"/>
  <c r="AD398" i="1"/>
  <c r="AE398" i="1"/>
  <c r="AC399" i="1"/>
  <c r="AD399" i="1"/>
  <c r="AE399" i="1"/>
  <c r="AC400" i="1"/>
  <c r="AD400" i="1"/>
  <c r="AE400" i="1"/>
  <c r="AC401" i="1"/>
  <c r="AD401" i="1"/>
  <c r="AE401" i="1"/>
  <c r="AC402" i="1"/>
  <c r="AD402" i="1"/>
  <c r="AE402" i="1"/>
  <c r="AC403" i="1"/>
  <c r="AD403" i="1"/>
  <c r="AE403" i="1"/>
  <c r="AC404" i="1"/>
  <c r="AD404" i="1"/>
  <c r="AE404" i="1"/>
  <c r="AC405" i="1"/>
  <c r="AD405" i="1"/>
  <c r="AE405" i="1"/>
  <c r="AC406" i="1"/>
  <c r="AD406" i="1"/>
  <c r="AE406" i="1"/>
  <c r="AC407" i="1"/>
  <c r="AD407" i="1"/>
  <c r="AE407" i="1"/>
  <c r="AC408" i="1"/>
  <c r="AD408" i="1"/>
  <c r="AE408" i="1"/>
  <c r="AC409" i="1"/>
  <c r="AD409" i="1"/>
  <c r="AE409" i="1"/>
  <c r="AC410" i="1"/>
  <c r="AD410" i="1"/>
  <c r="AE410" i="1"/>
  <c r="AC411" i="1"/>
  <c r="AD411" i="1"/>
  <c r="AE411" i="1"/>
  <c r="AC412" i="1"/>
  <c r="AD412" i="1"/>
  <c r="AE412" i="1"/>
  <c r="AC413" i="1"/>
  <c r="AD413" i="1"/>
  <c r="AE413" i="1"/>
  <c r="AC414" i="1"/>
  <c r="AD414" i="1"/>
  <c r="AE414" i="1"/>
  <c r="AC415" i="1"/>
  <c r="AD415" i="1"/>
  <c r="AE415" i="1"/>
  <c r="AC416" i="1"/>
  <c r="AD416" i="1"/>
  <c r="AE416" i="1"/>
  <c r="AC417" i="1"/>
  <c r="AD417" i="1"/>
  <c r="AE417" i="1"/>
  <c r="AC418" i="1"/>
  <c r="AD418" i="1"/>
  <c r="AE418" i="1"/>
  <c r="AC419" i="1"/>
  <c r="AD419" i="1"/>
  <c r="AE419" i="1"/>
  <c r="AC420" i="1"/>
  <c r="AD420" i="1"/>
  <c r="AE420" i="1"/>
  <c r="AC421" i="1"/>
  <c r="AD421" i="1"/>
  <c r="AE421" i="1"/>
  <c r="AC422" i="1"/>
  <c r="AD422" i="1"/>
  <c r="AE422" i="1"/>
  <c r="AC423" i="1"/>
  <c r="AD423" i="1"/>
  <c r="AE423" i="1"/>
  <c r="AC424" i="1"/>
  <c r="AD424" i="1"/>
  <c r="AE424" i="1"/>
  <c r="AC425" i="1"/>
  <c r="AD425" i="1"/>
  <c r="AE425" i="1"/>
  <c r="AC426" i="1"/>
  <c r="AD426" i="1"/>
  <c r="AE426" i="1"/>
  <c r="AC427" i="1"/>
  <c r="AD427" i="1"/>
  <c r="AE427" i="1"/>
  <c r="AC428" i="1"/>
  <c r="AD428" i="1"/>
  <c r="AE428" i="1"/>
  <c r="AC429" i="1"/>
  <c r="AD429" i="1"/>
  <c r="AE429" i="1"/>
  <c r="AC430" i="1"/>
  <c r="AD430" i="1"/>
  <c r="AE430" i="1"/>
  <c r="AC431" i="1"/>
  <c r="AD431" i="1"/>
  <c r="AE431" i="1"/>
  <c r="AC432" i="1"/>
  <c r="AD432" i="1"/>
  <c r="AE432" i="1"/>
  <c r="AC433" i="1"/>
  <c r="AD433" i="1"/>
  <c r="AE433" i="1"/>
  <c r="AC434" i="1"/>
  <c r="AD434" i="1"/>
  <c r="AE434" i="1"/>
  <c r="AC435" i="1"/>
  <c r="AD435" i="1"/>
  <c r="AE435" i="1"/>
  <c r="AC436" i="1"/>
  <c r="AD436" i="1"/>
  <c r="AE436" i="1"/>
  <c r="AC437" i="1"/>
  <c r="AD437" i="1"/>
  <c r="AE437" i="1"/>
  <c r="AC438" i="1"/>
  <c r="AD438" i="1"/>
  <c r="AE438" i="1"/>
  <c r="AC439" i="1"/>
  <c r="AD439" i="1"/>
  <c r="AE439" i="1"/>
  <c r="AC440" i="1"/>
  <c r="AD440" i="1"/>
  <c r="AE440" i="1"/>
  <c r="AC441" i="1"/>
  <c r="AD441" i="1"/>
  <c r="AE441" i="1"/>
  <c r="AC442" i="1"/>
  <c r="AD442" i="1"/>
  <c r="AE442" i="1"/>
  <c r="AC443" i="1"/>
  <c r="AD443" i="1"/>
  <c r="AE443" i="1"/>
  <c r="AC444" i="1"/>
  <c r="AD444" i="1"/>
  <c r="AE444" i="1"/>
  <c r="AC445" i="1"/>
  <c r="AD445" i="1"/>
  <c r="AE445" i="1"/>
  <c r="AC446" i="1"/>
  <c r="AD446" i="1"/>
  <c r="AE446" i="1"/>
  <c r="AC447" i="1"/>
  <c r="AD447" i="1"/>
  <c r="AE447" i="1"/>
  <c r="AC448" i="1"/>
  <c r="AD448" i="1"/>
  <c r="AE448" i="1"/>
  <c r="AC449" i="1"/>
  <c r="AD449" i="1"/>
  <c r="AE449" i="1"/>
  <c r="AC450" i="1"/>
  <c r="AD450" i="1"/>
  <c r="AE450" i="1"/>
  <c r="AC451" i="1"/>
  <c r="AD451" i="1"/>
  <c r="AE451" i="1"/>
  <c r="AC452" i="1"/>
  <c r="AD452" i="1"/>
  <c r="AE452" i="1"/>
  <c r="AC453" i="1"/>
  <c r="AD453" i="1"/>
  <c r="AE453" i="1"/>
  <c r="AC454" i="1"/>
  <c r="AD454" i="1"/>
  <c r="AE454" i="1"/>
  <c r="AC455" i="1"/>
  <c r="AD455" i="1"/>
  <c r="AE455" i="1"/>
  <c r="AC456" i="1"/>
  <c r="AD456" i="1"/>
  <c r="AE456" i="1"/>
  <c r="AC457" i="1"/>
  <c r="AD457" i="1"/>
  <c r="AE457" i="1"/>
  <c r="AC458" i="1"/>
  <c r="AD458" i="1"/>
  <c r="AE458" i="1"/>
  <c r="AC459" i="1"/>
  <c r="AD459" i="1"/>
  <c r="AE459" i="1"/>
  <c r="AC460" i="1"/>
  <c r="AD460" i="1"/>
  <c r="AE460" i="1"/>
  <c r="AC461" i="1"/>
  <c r="AD461" i="1"/>
  <c r="AE461" i="1"/>
  <c r="AC462" i="1"/>
  <c r="AD462" i="1"/>
  <c r="AE462" i="1"/>
  <c r="AC463" i="1"/>
  <c r="AD463" i="1"/>
  <c r="AE463" i="1"/>
  <c r="AC464" i="1"/>
  <c r="AD464" i="1"/>
  <c r="AE464" i="1"/>
  <c r="AC465" i="1"/>
  <c r="AD465" i="1"/>
  <c r="AE465" i="1"/>
  <c r="AC466" i="1"/>
  <c r="AD466" i="1"/>
  <c r="AE466" i="1"/>
  <c r="AC467" i="1"/>
  <c r="AD467" i="1"/>
  <c r="AE467" i="1"/>
  <c r="AC468" i="1"/>
  <c r="AD468" i="1"/>
  <c r="AE468" i="1"/>
  <c r="AC469" i="1"/>
  <c r="AD469" i="1"/>
  <c r="AE469" i="1"/>
  <c r="AC470" i="1"/>
  <c r="AD470" i="1"/>
  <c r="AE470" i="1"/>
  <c r="AC471" i="1"/>
  <c r="AD471" i="1"/>
  <c r="AE471" i="1"/>
  <c r="AC472" i="1"/>
  <c r="AD472" i="1"/>
  <c r="AE472" i="1"/>
  <c r="AC473" i="1"/>
  <c r="AD473" i="1"/>
  <c r="AE473" i="1"/>
  <c r="AC474" i="1"/>
  <c r="AD474" i="1"/>
  <c r="AE474" i="1"/>
  <c r="AC475" i="1"/>
  <c r="AD475" i="1"/>
  <c r="AE475" i="1"/>
  <c r="AC476" i="1"/>
  <c r="AD476" i="1"/>
  <c r="AE476" i="1"/>
  <c r="AC477" i="1"/>
  <c r="AD477" i="1"/>
  <c r="AE477" i="1"/>
  <c r="AC478" i="1"/>
  <c r="AD478" i="1"/>
  <c r="AE478" i="1"/>
  <c r="AC479" i="1"/>
  <c r="AD479" i="1"/>
  <c r="AE479" i="1"/>
  <c r="AC480" i="1"/>
  <c r="AD480" i="1"/>
  <c r="AE480" i="1"/>
  <c r="AC481" i="1"/>
  <c r="AD481" i="1"/>
  <c r="AE481" i="1"/>
  <c r="AC482" i="1"/>
  <c r="AD482" i="1"/>
  <c r="AE482" i="1"/>
  <c r="AC483" i="1"/>
  <c r="AD483" i="1"/>
  <c r="AE483" i="1"/>
  <c r="AC484" i="1"/>
  <c r="AD484" i="1"/>
  <c r="AE484" i="1"/>
  <c r="AC485" i="1"/>
  <c r="AD485" i="1"/>
  <c r="AE485" i="1"/>
  <c r="AC486" i="1"/>
  <c r="AD486" i="1"/>
  <c r="AE486" i="1"/>
  <c r="AC487" i="1"/>
  <c r="AD487" i="1"/>
  <c r="AE487" i="1"/>
  <c r="AC488" i="1"/>
  <c r="AD488" i="1"/>
  <c r="AE488" i="1"/>
  <c r="AC489" i="1"/>
  <c r="AD489" i="1"/>
  <c r="AE489" i="1"/>
  <c r="AC490" i="1"/>
  <c r="AD490" i="1"/>
  <c r="AE490" i="1"/>
  <c r="AC491" i="1"/>
  <c r="AD491" i="1"/>
  <c r="AE491" i="1"/>
  <c r="AC492" i="1"/>
  <c r="AD492" i="1"/>
  <c r="AE492" i="1"/>
  <c r="AC493" i="1"/>
  <c r="AD493" i="1"/>
  <c r="AE493" i="1"/>
  <c r="AC494" i="1"/>
  <c r="AD494" i="1"/>
  <c r="AE494" i="1"/>
  <c r="AC495" i="1"/>
  <c r="AD495" i="1"/>
  <c r="AE495" i="1"/>
  <c r="AC496" i="1"/>
  <c r="AD496" i="1"/>
  <c r="AE496" i="1"/>
  <c r="AC497" i="1"/>
  <c r="AD497" i="1"/>
  <c r="AE497" i="1"/>
  <c r="AC498" i="1"/>
  <c r="AD498" i="1"/>
  <c r="AE498" i="1"/>
  <c r="AC499" i="1"/>
  <c r="AD499" i="1"/>
  <c r="AE499" i="1"/>
  <c r="AC500" i="1"/>
  <c r="AD500" i="1"/>
  <c r="AE500" i="1"/>
  <c r="AC501" i="1"/>
  <c r="AD501" i="1"/>
  <c r="AE501" i="1"/>
  <c r="AC502" i="1"/>
  <c r="AD502" i="1"/>
  <c r="AE502" i="1"/>
  <c r="AC503" i="1"/>
  <c r="AD503" i="1"/>
  <c r="AE503" i="1"/>
  <c r="AC504" i="1"/>
  <c r="AD504" i="1"/>
  <c r="AE504" i="1"/>
  <c r="AC505" i="1"/>
  <c r="AD505" i="1"/>
  <c r="AE505" i="1"/>
  <c r="AC506" i="1"/>
  <c r="AD506" i="1"/>
  <c r="AE506" i="1"/>
  <c r="AC507" i="1"/>
  <c r="AD507" i="1"/>
  <c r="AE507" i="1"/>
  <c r="AC508" i="1"/>
  <c r="AD508" i="1"/>
  <c r="AE508" i="1"/>
  <c r="AC509" i="1"/>
  <c r="AD509" i="1"/>
  <c r="AE509" i="1"/>
  <c r="AC510" i="1"/>
  <c r="AD510" i="1"/>
  <c r="AE510" i="1"/>
  <c r="AC511" i="1"/>
  <c r="AD511" i="1"/>
  <c r="AE511" i="1"/>
  <c r="AC512" i="1"/>
  <c r="AD512" i="1"/>
  <c r="AE512" i="1"/>
  <c r="AC513" i="1"/>
  <c r="AD513" i="1"/>
  <c r="AE513" i="1"/>
  <c r="AC514" i="1"/>
  <c r="AD514" i="1"/>
  <c r="AE514" i="1"/>
  <c r="AC515" i="1"/>
  <c r="AD515" i="1"/>
  <c r="AE515" i="1"/>
  <c r="AC516" i="1"/>
  <c r="AD516" i="1"/>
  <c r="AE516" i="1"/>
  <c r="AC517" i="1"/>
  <c r="AD517" i="1"/>
  <c r="AE517" i="1"/>
  <c r="AC518" i="1"/>
  <c r="AD518" i="1"/>
  <c r="AE518" i="1"/>
  <c r="AC519" i="1"/>
  <c r="AD519" i="1"/>
  <c r="AE519" i="1"/>
  <c r="AC520" i="1"/>
  <c r="AD520" i="1"/>
  <c r="AE520" i="1"/>
  <c r="AC521" i="1"/>
  <c r="AD521" i="1"/>
  <c r="AE521" i="1"/>
  <c r="AC522" i="1"/>
  <c r="AD522" i="1"/>
  <c r="AE522" i="1"/>
  <c r="AC523" i="1"/>
  <c r="AD523" i="1"/>
  <c r="AE523" i="1"/>
  <c r="AC524" i="1"/>
  <c r="AD524" i="1"/>
  <c r="AE524" i="1"/>
  <c r="AC525" i="1"/>
  <c r="AD525" i="1"/>
  <c r="AE525" i="1"/>
  <c r="AC526" i="1"/>
  <c r="AD526" i="1"/>
  <c r="AE526" i="1"/>
  <c r="AC527" i="1"/>
  <c r="AD527" i="1"/>
  <c r="AE527" i="1"/>
  <c r="AC528" i="1"/>
  <c r="AD528" i="1"/>
  <c r="AE528" i="1"/>
  <c r="AC529" i="1"/>
  <c r="AD529" i="1"/>
  <c r="AE529" i="1"/>
  <c r="AC530" i="1"/>
  <c r="AD530" i="1"/>
  <c r="AE530" i="1"/>
  <c r="AC531" i="1"/>
  <c r="AD531" i="1"/>
  <c r="AE531" i="1"/>
  <c r="AC532" i="1"/>
  <c r="AD532" i="1"/>
  <c r="AE532" i="1"/>
  <c r="AC533" i="1"/>
  <c r="AD533" i="1"/>
  <c r="AE533" i="1"/>
  <c r="AC534" i="1"/>
  <c r="AD534" i="1"/>
  <c r="AE534" i="1"/>
  <c r="AC535" i="1"/>
  <c r="AD535" i="1"/>
  <c r="AE535" i="1"/>
  <c r="AC536" i="1"/>
  <c r="AD536" i="1"/>
  <c r="AE536" i="1"/>
  <c r="AC537" i="1"/>
  <c r="AD537" i="1"/>
  <c r="AE537" i="1"/>
  <c r="AC538" i="1"/>
  <c r="AD538" i="1"/>
  <c r="AE538" i="1"/>
  <c r="AC539" i="1"/>
  <c r="AD539" i="1"/>
  <c r="AE539" i="1"/>
  <c r="AC540" i="1"/>
  <c r="AD540" i="1"/>
  <c r="AE540" i="1"/>
  <c r="AC541" i="1"/>
  <c r="AD541" i="1"/>
  <c r="AE541" i="1"/>
  <c r="AC542" i="1"/>
  <c r="AD542" i="1"/>
  <c r="AE542" i="1"/>
  <c r="AC543" i="1"/>
  <c r="AD543" i="1"/>
  <c r="AE543" i="1"/>
  <c r="AC544" i="1"/>
  <c r="AD544" i="1"/>
  <c r="AE544" i="1"/>
  <c r="AC545" i="1"/>
  <c r="AD545" i="1"/>
  <c r="AE545" i="1"/>
  <c r="AC546" i="1"/>
  <c r="AD546" i="1"/>
  <c r="AE546" i="1"/>
  <c r="AC547" i="1"/>
  <c r="AD547" i="1"/>
  <c r="AE547" i="1"/>
  <c r="AC548" i="1"/>
  <c r="AD548" i="1"/>
  <c r="AE548" i="1"/>
  <c r="AC549" i="1"/>
  <c r="AD549" i="1"/>
  <c r="AE549" i="1"/>
  <c r="AC550" i="1"/>
  <c r="AD550" i="1"/>
  <c r="AE550" i="1"/>
  <c r="AC551" i="1"/>
  <c r="AD551" i="1"/>
  <c r="AE551" i="1"/>
  <c r="AC552" i="1"/>
  <c r="AD552" i="1"/>
  <c r="AE552" i="1"/>
  <c r="AC553" i="1"/>
  <c r="AD553" i="1"/>
  <c r="AE553" i="1"/>
  <c r="AC554" i="1"/>
  <c r="AD554" i="1"/>
  <c r="AE554" i="1"/>
  <c r="AC555" i="1"/>
  <c r="AD555" i="1"/>
  <c r="AE555" i="1"/>
  <c r="AC556" i="1"/>
  <c r="AD556" i="1"/>
  <c r="AE556" i="1"/>
  <c r="AC557" i="1"/>
  <c r="AD557" i="1"/>
  <c r="AE557" i="1"/>
  <c r="AC558" i="1"/>
  <c r="AD558" i="1"/>
  <c r="AE558" i="1"/>
  <c r="AC559" i="1"/>
  <c r="AD559" i="1"/>
  <c r="AE559" i="1"/>
  <c r="AC560" i="1"/>
  <c r="AD560" i="1"/>
  <c r="AE560" i="1"/>
  <c r="AC561" i="1"/>
  <c r="AD561" i="1"/>
  <c r="AE561" i="1"/>
  <c r="AC562" i="1"/>
  <c r="AD562" i="1"/>
  <c r="AE562" i="1"/>
  <c r="AC563" i="1"/>
  <c r="AD563" i="1"/>
  <c r="AE563" i="1"/>
  <c r="AC564" i="1"/>
  <c r="AD564" i="1"/>
  <c r="AE564" i="1"/>
  <c r="AC565" i="1"/>
  <c r="AD565" i="1"/>
  <c r="AE565" i="1"/>
  <c r="AC566" i="1"/>
  <c r="AD566" i="1"/>
  <c r="AE566" i="1"/>
  <c r="AC567" i="1"/>
  <c r="AD567" i="1"/>
  <c r="AE567" i="1"/>
  <c r="AC568" i="1"/>
  <c r="AD568" i="1"/>
  <c r="AE568" i="1"/>
  <c r="AC569" i="1"/>
  <c r="AD569" i="1"/>
  <c r="AE569" i="1"/>
  <c r="AC570" i="1"/>
  <c r="AD570" i="1"/>
  <c r="AE570" i="1"/>
  <c r="AC571" i="1"/>
  <c r="AD571" i="1"/>
  <c r="AE571" i="1"/>
  <c r="AC572" i="1"/>
  <c r="AD572" i="1"/>
  <c r="AE572" i="1"/>
  <c r="AC573" i="1"/>
  <c r="AD573" i="1"/>
  <c r="AE573" i="1"/>
  <c r="AC574" i="1"/>
  <c r="AD574" i="1"/>
  <c r="AE574" i="1"/>
  <c r="AC575" i="1"/>
  <c r="AD575" i="1"/>
  <c r="AE575" i="1"/>
  <c r="AC576" i="1"/>
  <c r="AD576" i="1"/>
  <c r="AE576" i="1"/>
  <c r="AC577" i="1"/>
  <c r="AD577" i="1"/>
  <c r="AE577" i="1"/>
  <c r="AC578" i="1"/>
  <c r="AD578" i="1"/>
  <c r="AE578" i="1"/>
  <c r="AC579" i="1"/>
  <c r="AD579" i="1"/>
  <c r="AE579" i="1"/>
  <c r="AC580" i="1"/>
  <c r="AD580" i="1"/>
  <c r="AE580" i="1"/>
  <c r="AC581" i="1"/>
  <c r="AD581" i="1"/>
  <c r="AE581" i="1"/>
  <c r="AC582" i="1"/>
  <c r="AD582" i="1"/>
  <c r="AE582" i="1"/>
  <c r="AC583" i="1"/>
  <c r="AD583" i="1"/>
  <c r="AE583" i="1"/>
  <c r="AC584" i="1"/>
  <c r="AD584" i="1"/>
  <c r="AE584" i="1"/>
  <c r="AC585" i="1"/>
  <c r="AD585" i="1"/>
  <c r="AE585" i="1"/>
  <c r="AC586" i="1"/>
  <c r="AD586" i="1"/>
  <c r="AE586" i="1"/>
  <c r="AC587" i="1"/>
  <c r="AD587" i="1"/>
  <c r="AE587" i="1"/>
  <c r="AC588" i="1"/>
  <c r="AD588" i="1"/>
  <c r="AE588" i="1"/>
  <c r="AC589" i="1"/>
  <c r="AD589" i="1"/>
  <c r="AE589" i="1"/>
  <c r="AC590" i="1"/>
  <c r="AD590" i="1"/>
  <c r="AE590" i="1"/>
  <c r="AC591" i="1"/>
  <c r="AD591" i="1"/>
  <c r="AE591" i="1"/>
  <c r="AC592" i="1"/>
  <c r="AD592" i="1"/>
  <c r="AE592" i="1"/>
  <c r="AC593" i="1"/>
  <c r="AD593" i="1"/>
  <c r="AE593" i="1"/>
  <c r="AC594" i="1"/>
  <c r="AD594" i="1"/>
  <c r="AE594" i="1"/>
  <c r="AC595" i="1"/>
  <c r="AD595" i="1"/>
  <c r="AE595" i="1"/>
  <c r="AC596" i="1"/>
  <c r="AD596" i="1"/>
  <c r="AE596" i="1"/>
  <c r="AC597" i="1"/>
  <c r="AD597" i="1"/>
  <c r="AE597" i="1"/>
  <c r="AC598" i="1"/>
  <c r="AD598" i="1"/>
  <c r="AE598" i="1"/>
  <c r="AC599" i="1"/>
  <c r="AD599" i="1"/>
  <c r="AE599" i="1"/>
  <c r="AC600" i="1"/>
  <c r="AD600" i="1"/>
  <c r="AE600" i="1"/>
  <c r="AC601" i="1"/>
  <c r="AD601" i="1"/>
  <c r="AE601" i="1"/>
  <c r="AC602" i="1"/>
  <c r="AD602" i="1"/>
  <c r="AE602" i="1"/>
  <c r="AC603" i="1"/>
  <c r="AD603" i="1"/>
  <c r="AE603" i="1"/>
  <c r="AC604" i="1"/>
  <c r="AD604" i="1"/>
  <c r="AE604" i="1"/>
  <c r="AC605" i="1"/>
  <c r="AD605" i="1"/>
  <c r="AE605" i="1"/>
  <c r="AC606" i="1"/>
  <c r="AD606" i="1"/>
  <c r="AE606" i="1"/>
  <c r="AC607" i="1"/>
  <c r="AD607" i="1"/>
  <c r="AE607" i="1"/>
  <c r="AC608" i="1"/>
  <c r="AD608" i="1"/>
  <c r="AE608" i="1"/>
  <c r="AC609" i="1"/>
  <c r="AD609" i="1"/>
  <c r="AE609" i="1"/>
  <c r="AC610" i="1"/>
  <c r="AD610" i="1"/>
  <c r="AE610" i="1"/>
  <c r="AC611" i="1"/>
  <c r="AD611" i="1"/>
  <c r="AE611" i="1"/>
  <c r="AC612" i="1"/>
  <c r="AD612" i="1"/>
  <c r="AE612" i="1"/>
  <c r="AC613" i="1"/>
  <c r="AD613" i="1"/>
  <c r="AE613" i="1"/>
  <c r="AC614" i="1"/>
  <c r="AD614" i="1"/>
  <c r="AE614" i="1"/>
  <c r="AC615" i="1"/>
  <c r="AD615" i="1"/>
  <c r="AE615" i="1"/>
  <c r="AC616" i="1"/>
  <c r="AD616" i="1"/>
  <c r="AE616" i="1"/>
  <c r="AC617" i="1"/>
  <c r="AD617" i="1"/>
  <c r="AE617" i="1"/>
  <c r="AC618" i="1"/>
  <c r="AD618" i="1"/>
  <c r="AE618" i="1"/>
  <c r="AC619" i="1"/>
  <c r="AD619" i="1"/>
  <c r="AE619" i="1"/>
  <c r="AC620" i="1"/>
  <c r="AD620" i="1"/>
  <c r="AE620" i="1"/>
  <c r="AC621" i="1"/>
  <c r="AD621" i="1"/>
  <c r="AE621" i="1"/>
  <c r="AC622" i="1"/>
  <c r="AD622" i="1"/>
  <c r="AE622" i="1"/>
  <c r="AC623" i="1"/>
  <c r="AD623" i="1"/>
  <c r="AE623" i="1"/>
  <c r="AC624" i="1"/>
  <c r="AD624" i="1"/>
  <c r="AE624" i="1"/>
  <c r="AC625" i="1"/>
  <c r="AD625" i="1"/>
  <c r="AE625" i="1"/>
  <c r="AC626" i="1"/>
  <c r="AD626" i="1"/>
  <c r="AE626" i="1"/>
  <c r="AC627" i="1"/>
  <c r="AD627" i="1"/>
  <c r="AE627" i="1"/>
  <c r="AC628" i="1"/>
  <c r="AD628" i="1"/>
  <c r="AE628" i="1"/>
  <c r="AC629" i="1"/>
  <c r="AD629" i="1"/>
  <c r="AE629" i="1"/>
  <c r="AC630" i="1"/>
  <c r="AD630" i="1"/>
  <c r="AE630" i="1"/>
  <c r="AC631" i="1"/>
  <c r="AD631" i="1"/>
  <c r="AE631" i="1"/>
  <c r="AC632" i="1"/>
  <c r="AD632" i="1"/>
  <c r="AE632" i="1"/>
  <c r="AC633" i="1"/>
  <c r="AD633" i="1"/>
  <c r="AE633" i="1"/>
  <c r="AC634" i="1"/>
  <c r="AD634" i="1"/>
  <c r="AE634" i="1"/>
  <c r="AC635" i="1"/>
  <c r="AD635" i="1"/>
  <c r="AE635" i="1"/>
  <c r="AC636" i="1"/>
  <c r="AD636" i="1"/>
  <c r="AE636" i="1"/>
  <c r="AC637" i="1"/>
  <c r="AD637" i="1"/>
  <c r="AE637" i="1"/>
  <c r="AC638" i="1"/>
  <c r="AD638" i="1"/>
  <c r="AE638" i="1"/>
  <c r="AC639" i="1"/>
  <c r="AD639" i="1"/>
  <c r="AE639" i="1"/>
  <c r="AC640" i="1"/>
  <c r="AD640" i="1"/>
  <c r="AE640" i="1"/>
  <c r="AC641" i="1"/>
  <c r="AD641" i="1"/>
  <c r="AE641" i="1"/>
  <c r="AC642" i="1"/>
  <c r="AD642" i="1"/>
  <c r="AE642" i="1"/>
  <c r="AC643" i="1"/>
  <c r="AD643" i="1"/>
  <c r="AE643" i="1"/>
  <c r="AC644" i="1"/>
  <c r="AD644" i="1"/>
  <c r="AE644" i="1"/>
  <c r="AC645" i="1"/>
  <c r="AD645" i="1"/>
  <c r="AE645" i="1"/>
  <c r="AC646" i="1"/>
  <c r="AD646" i="1"/>
  <c r="AE646" i="1"/>
  <c r="AC647" i="1"/>
  <c r="AD647" i="1"/>
  <c r="AE647" i="1"/>
  <c r="AC648" i="1"/>
  <c r="AD648" i="1"/>
  <c r="AE648" i="1"/>
  <c r="AC649" i="1"/>
  <c r="AD649" i="1"/>
  <c r="AE649" i="1"/>
  <c r="AC650" i="1"/>
  <c r="AD650" i="1"/>
  <c r="AE650" i="1"/>
  <c r="AC651" i="1"/>
  <c r="AD651" i="1"/>
  <c r="AE651" i="1"/>
  <c r="AC652" i="1"/>
  <c r="AD652" i="1"/>
  <c r="AE652" i="1"/>
  <c r="AC653" i="1"/>
  <c r="AD653" i="1"/>
  <c r="AE653" i="1"/>
  <c r="AC654" i="1"/>
  <c r="AD654" i="1"/>
  <c r="AE654" i="1"/>
  <c r="AC655" i="1"/>
  <c r="AD655" i="1"/>
  <c r="AE655" i="1"/>
  <c r="AC656" i="1"/>
  <c r="AD656" i="1"/>
  <c r="AE656" i="1"/>
  <c r="AC657" i="1"/>
  <c r="AD657" i="1"/>
  <c r="AE657" i="1"/>
  <c r="AC658" i="1"/>
  <c r="AD658" i="1"/>
  <c r="AE658" i="1"/>
  <c r="AC659" i="1"/>
  <c r="AD659" i="1"/>
  <c r="AE659" i="1"/>
  <c r="AC660" i="1"/>
  <c r="AD660" i="1"/>
  <c r="AE660" i="1"/>
  <c r="AC661" i="1"/>
  <c r="AD661" i="1"/>
  <c r="AE661" i="1"/>
  <c r="AC662" i="1"/>
  <c r="AD662" i="1"/>
  <c r="AE662" i="1"/>
  <c r="AC663" i="1"/>
  <c r="AD663" i="1"/>
  <c r="AE663" i="1"/>
  <c r="AC664" i="1"/>
  <c r="AD664" i="1"/>
  <c r="AE664" i="1"/>
  <c r="AC665" i="1"/>
  <c r="AD665" i="1"/>
  <c r="AE665" i="1"/>
  <c r="AC666" i="1"/>
  <c r="AD666" i="1"/>
  <c r="AE666" i="1"/>
  <c r="AC667" i="1"/>
  <c r="AD667" i="1"/>
  <c r="AE667" i="1"/>
  <c r="AC668" i="1"/>
  <c r="AD668" i="1"/>
  <c r="AE668" i="1"/>
  <c r="AE3" i="1"/>
  <c r="AD3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3" i="1"/>
  <c r="C15" i="5" l="1"/>
  <c r="D15" i="5"/>
  <c r="E15" i="5"/>
  <c r="F15" i="5"/>
  <c r="G15" i="5"/>
  <c r="H15" i="5"/>
  <c r="I15" i="5"/>
  <c r="J15" i="5"/>
  <c r="K15" i="5"/>
  <c r="L15" i="5"/>
  <c r="M15" i="5"/>
  <c r="C16" i="5"/>
  <c r="D16" i="5"/>
  <c r="E16" i="5"/>
  <c r="F16" i="5"/>
  <c r="G16" i="5"/>
  <c r="H16" i="5"/>
  <c r="I16" i="5"/>
  <c r="J16" i="5"/>
  <c r="K16" i="5"/>
  <c r="L16" i="5"/>
  <c r="M16" i="5"/>
  <c r="C17" i="5"/>
  <c r="D17" i="5"/>
  <c r="E17" i="5"/>
  <c r="F17" i="5"/>
  <c r="G17" i="5"/>
  <c r="H17" i="5"/>
  <c r="I17" i="5"/>
  <c r="J17" i="5"/>
  <c r="K17" i="5"/>
  <c r="L17" i="5"/>
  <c r="M17" i="5"/>
  <c r="C18" i="5"/>
  <c r="D18" i="5"/>
  <c r="E18" i="5"/>
  <c r="F18" i="5"/>
  <c r="G18" i="5"/>
  <c r="H18" i="5"/>
  <c r="I18" i="5"/>
  <c r="J18" i="5"/>
  <c r="K18" i="5"/>
  <c r="L18" i="5"/>
  <c r="M18" i="5"/>
  <c r="C19" i="5"/>
  <c r="D19" i="5"/>
  <c r="E19" i="5"/>
  <c r="F19" i="5"/>
  <c r="G19" i="5"/>
  <c r="H19" i="5"/>
  <c r="I19" i="5"/>
  <c r="J19" i="5"/>
  <c r="K19" i="5"/>
  <c r="L19" i="5"/>
  <c r="M19" i="5"/>
  <c r="C20" i="5"/>
  <c r="D20" i="5"/>
  <c r="E20" i="5"/>
  <c r="F20" i="5"/>
  <c r="G20" i="5"/>
  <c r="H20" i="5"/>
  <c r="I20" i="5"/>
  <c r="J20" i="5"/>
  <c r="K20" i="5"/>
  <c r="L20" i="5"/>
  <c r="M20" i="5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B22" i="5"/>
  <c r="B21" i="5"/>
  <c r="B20" i="5"/>
  <c r="B19" i="5"/>
  <c r="B18" i="5"/>
  <c r="B17" i="5"/>
  <c r="B16" i="5"/>
  <c r="B15" i="5"/>
  <c r="C2" i="5"/>
  <c r="D2" i="5"/>
  <c r="E2" i="5"/>
  <c r="F2" i="5"/>
  <c r="G2" i="5"/>
  <c r="H2" i="5"/>
  <c r="I2" i="5"/>
  <c r="J2" i="5"/>
  <c r="K2" i="5"/>
  <c r="L2" i="5"/>
  <c r="M2" i="5"/>
  <c r="C3" i="5"/>
  <c r="D3" i="5"/>
  <c r="E3" i="5"/>
  <c r="F3" i="5"/>
  <c r="G3" i="5"/>
  <c r="H3" i="5"/>
  <c r="I3" i="5"/>
  <c r="J3" i="5"/>
  <c r="K3" i="5"/>
  <c r="L3" i="5"/>
  <c r="M3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C8" i="5"/>
  <c r="D8" i="5"/>
  <c r="E8" i="5"/>
  <c r="F8" i="5"/>
  <c r="G8" i="5"/>
  <c r="H8" i="5"/>
  <c r="I8" i="5"/>
  <c r="J8" i="5"/>
  <c r="K8" i="5"/>
  <c r="L8" i="5"/>
  <c r="M8" i="5"/>
  <c r="C9" i="5"/>
  <c r="D9" i="5"/>
  <c r="E9" i="5"/>
  <c r="F9" i="5"/>
  <c r="G9" i="5"/>
  <c r="H9" i="5"/>
  <c r="I9" i="5"/>
  <c r="J9" i="5"/>
  <c r="K9" i="5"/>
  <c r="L9" i="5"/>
  <c r="M9" i="5"/>
  <c r="B9" i="5"/>
  <c r="B8" i="5"/>
  <c r="B7" i="5"/>
  <c r="B6" i="5"/>
  <c r="B5" i="5"/>
  <c r="B4" i="5"/>
  <c r="B3" i="5"/>
  <c r="B2" i="5"/>
  <c r="BA554" i="1"/>
  <c r="BA555" i="1"/>
  <c r="BA556" i="1"/>
  <c r="BA557" i="1"/>
  <c r="BA558" i="1"/>
  <c r="BA559" i="1"/>
  <c r="BA560" i="1"/>
  <c r="BA561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3" i="1"/>
  <c r="AH43" i="1"/>
  <c r="AH45" i="1"/>
  <c r="AH48" i="1"/>
  <c r="AH44" i="1"/>
  <c r="AH47" i="1"/>
  <c r="AH46" i="1"/>
  <c r="AH42" i="1"/>
  <c r="AH49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3" i="1"/>
  <c r="AH24" i="1"/>
  <c r="AH25" i="1"/>
  <c r="AH26" i="1"/>
  <c r="AH27" i="1"/>
  <c r="AH28" i="1"/>
  <c r="AH30" i="1"/>
  <c r="AH35" i="1"/>
  <c r="AH39" i="1"/>
  <c r="AH41" i="1"/>
  <c r="AH50" i="1"/>
  <c r="AH51" i="1"/>
  <c r="AH54" i="1"/>
  <c r="AH60" i="1"/>
  <c r="AH63" i="1"/>
  <c r="AH70" i="1"/>
  <c r="AH72" i="1"/>
  <c r="AH75" i="1"/>
  <c r="AH78" i="1"/>
  <c r="AH81" i="1"/>
  <c r="AH82" i="1"/>
  <c r="AH86" i="1"/>
  <c r="AH87" i="1"/>
  <c r="AH91" i="1"/>
  <c r="AH102" i="1"/>
  <c r="AH105" i="1"/>
  <c r="AH110" i="1"/>
  <c r="AH111" i="1"/>
  <c r="AH114" i="1"/>
  <c r="AH115" i="1"/>
  <c r="AH123" i="1"/>
  <c r="AH125" i="1"/>
  <c r="AH132" i="1"/>
  <c r="AH134" i="1"/>
  <c r="AH135" i="1"/>
  <c r="AH140" i="1"/>
  <c r="AH142" i="1"/>
  <c r="AH143" i="1"/>
  <c r="AH147" i="1"/>
  <c r="AH148" i="1"/>
  <c r="AH151" i="1"/>
  <c r="AH153" i="1"/>
  <c r="AH156" i="1"/>
  <c r="AH158" i="1"/>
  <c r="AH159" i="1"/>
  <c r="AH162" i="1"/>
  <c r="AH170" i="1"/>
  <c r="AH177" i="1"/>
  <c r="AH181" i="1"/>
  <c r="AH186" i="1"/>
  <c r="AH188" i="1"/>
  <c r="AH190" i="1"/>
  <c r="AH192" i="1"/>
  <c r="AH194" i="1"/>
  <c r="AH196" i="1"/>
  <c r="AH198" i="1"/>
  <c r="AH201" i="1"/>
  <c r="AH203" i="1"/>
  <c r="AH204" i="1"/>
  <c r="AH206" i="1"/>
  <c r="AH211" i="1"/>
  <c r="AH212" i="1"/>
  <c r="AH214" i="1"/>
  <c r="AH217" i="1"/>
  <c r="AH218" i="1"/>
  <c r="AH225" i="1"/>
  <c r="AH227" i="1"/>
  <c r="AH228" i="1"/>
  <c r="AH230" i="1"/>
  <c r="AH238" i="1"/>
  <c r="AH241" i="1"/>
  <c r="AH242" i="1"/>
  <c r="AH243" i="1"/>
  <c r="AH246" i="1"/>
  <c r="AH247" i="1"/>
  <c r="AH251" i="1"/>
  <c r="AH252" i="1"/>
  <c r="AH257" i="1"/>
  <c r="AH260" i="1"/>
  <c r="AH267" i="1"/>
  <c r="AH268" i="1"/>
  <c r="AH271" i="1"/>
  <c r="AH273" i="1"/>
  <c r="AH274" i="1"/>
  <c r="AH276" i="1"/>
  <c r="AH279" i="1"/>
  <c r="AH281" i="1"/>
  <c r="AH283" i="1"/>
  <c r="AH285" i="1"/>
  <c r="AH290" i="1"/>
  <c r="AH291" i="1"/>
  <c r="AH303" i="1"/>
  <c r="AH304" i="1"/>
  <c r="AH311" i="1"/>
  <c r="AH314" i="1"/>
  <c r="AH315" i="1"/>
  <c r="AH317" i="1"/>
  <c r="AH323" i="1"/>
  <c r="AH326" i="1"/>
  <c r="AH327" i="1"/>
  <c r="AH328" i="1"/>
  <c r="AH330" i="1"/>
  <c r="AH331" i="1"/>
  <c r="AH332" i="1"/>
  <c r="AH335" i="1"/>
  <c r="AH336" i="1"/>
  <c r="AH337" i="1"/>
  <c r="AH339" i="1"/>
  <c r="AH341" i="1"/>
  <c r="AH343" i="1"/>
  <c r="AH347" i="1"/>
  <c r="AH350" i="1"/>
  <c r="AH351" i="1"/>
  <c r="AH356" i="1"/>
  <c r="AH358" i="1"/>
  <c r="AH361" i="1"/>
  <c r="AH364" i="1"/>
  <c r="AH366" i="1"/>
  <c r="AH367" i="1"/>
  <c r="AH370" i="1"/>
  <c r="AH371" i="1"/>
  <c r="AH372" i="1"/>
  <c r="AH376" i="1"/>
  <c r="AH378" i="1"/>
  <c r="AH379" i="1"/>
  <c r="AH380" i="1"/>
  <c r="AH387" i="1"/>
  <c r="AH390" i="1"/>
  <c r="AH391" i="1"/>
  <c r="AH394" i="1"/>
  <c r="AH395" i="1"/>
  <c r="AH398" i="1"/>
  <c r="AH399" i="1"/>
  <c r="AH409" i="1"/>
  <c r="AH412" i="1"/>
  <c r="AH414" i="1"/>
  <c r="AH419" i="1"/>
  <c r="AH420" i="1"/>
  <c r="AH422" i="1"/>
  <c r="AH425" i="1"/>
  <c r="AH430" i="1"/>
  <c r="AH432" i="1"/>
  <c r="AH434" i="1"/>
  <c r="AH437" i="1"/>
  <c r="AH442" i="1"/>
  <c r="AH447" i="1"/>
  <c r="AH450" i="1"/>
  <c r="AH455" i="1"/>
  <c r="AH459" i="1"/>
  <c r="AH473" i="1"/>
  <c r="AH474" i="1"/>
  <c r="AH484" i="1"/>
  <c r="AH486" i="1"/>
  <c r="AH487" i="1"/>
  <c r="AH491" i="1"/>
  <c r="AH497" i="1"/>
  <c r="AH499" i="1"/>
  <c r="AH500" i="1"/>
  <c r="AH502" i="1"/>
  <c r="AH504" i="1"/>
  <c r="AH505" i="1"/>
  <c r="AH507" i="1"/>
  <c r="AH508" i="1"/>
  <c r="AH510" i="1"/>
  <c r="AH520" i="1"/>
  <c r="AH523" i="1"/>
  <c r="AH524" i="1"/>
  <c r="AH527" i="1"/>
  <c r="AH529" i="1"/>
  <c r="AH532" i="1"/>
  <c r="AH536" i="1"/>
  <c r="AH543" i="1"/>
  <c r="AH545" i="1"/>
  <c r="AH546" i="1"/>
  <c r="AH549" i="1"/>
  <c r="AH553" i="1"/>
  <c r="AH558" i="1"/>
  <c r="AH561" i="1"/>
  <c r="AH563" i="1"/>
  <c r="AH564" i="1"/>
  <c r="AH566" i="1"/>
  <c r="AH567" i="1"/>
  <c r="AH570" i="1"/>
  <c r="AH577" i="1"/>
  <c r="AH579" i="1"/>
  <c r="AH583" i="1"/>
  <c r="AH584" i="1"/>
  <c r="AH586" i="1"/>
  <c r="AH587" i="1"/>
  <c r="AH590" i="1"/>
  <c r="AH594" i="1"/>
  <c r="AH598" i="1"/>
  <c r="AH602" i="1"/>
  <c r="AH603" i="1"/>
  <c r="AH606" i="1"/>
  <c r="AH610" i="1"/>
  <c r="AH614" i="1"/>
  <c r="AH616" i="1"/>
  <c r="AH618" i="1"/>
  <c r="AH620" i="1"/>
  <c r="AH621" i="1"/>
  <c r="AH624" i="1"/>
  <c r="AH627" i="1"/>
  <c r="AH633" i="1"/>
  <c r="AH635" i="1"/>
  <c r="AH642" i="1"/>
  <c r="AH644" i="1"/>
  <c r="AH650" i="1"/>
  <c r="AH651" i="1"/>
  <c r="AH652" i="1"/>
  <c r="AH654" i="1"/>
  <c r="AH655" i="1"/>
  <c r="AH657" i="1"/>
  <c r="AH658" i="1"/>
  <c r="AH666" i="1"/>
  <c r="AH20" i="1"/>
  <c r="AH29" i="1"/>
  <c r="AH107" i="1"/>
  <c r="AH112" i="1"/>
  <c r="AH116" i="1"/>
  <c r="AH120" i="1"/>
  <c r="AH172" i="1"/>
  <c r="AH205" i="1"/>
  <c r="AH216" i="1"/>
  <c r="AH235" i="1"/>
  <c r="AH240" i="1"/>
  <c r="AH272" i="1"/>
  <c r="AH277" i="1"/>
  <c r="AH282" i="1"/>
  <c r="AH307" i="1"/>
  <c r="AH312" i="1"/>
  <c r="AH333" i="1"/>
  <c r="AH360" i="1"/>
  <c r="AH362" i="1"/>
  <c r="AH384" i="1"/>
  <c r="AH393" i="1"/>
  <c r="AH396" i="1"/>
  <c r="AH415" i="1"/>
  <c r="AH456" i="1"/>
  <c r="AH461" i="1"/>
  <c r="AH463" i="1"/>
  <c r="AH478" i="1"/>
  <c r="AH480" i="1"/>
  <c r="AH495" i="1"/>
  <c r="AH498" i="1"/>
  <c r="AH515" i="1"/>
  <c r="AH518" i="1"/>
  <c r="AH522" i="1"/>
  <c r="AH525" i="1"/>
  <c r="AH537" i="1"/>
  <c r="AH541" i="1"/>
  <c r="AH569" i="1"/>
  <c r="AH596" i="1"/>
  <c r="AH597" i="1"/>
  <c r="AH637" i="1"/>
  <c r="AH664" i="1"/>
  <c r="AH665" i="1"/>
  <c r="AH32" i="1"/>
  <c r="AH61" i="1"/>
  <c r="AH85" i="1"/>
  <c r="AH94" i="1"/>
  <c r="AH96" i="1"/>
  <c r="AH97" i="1"/>
  <c r="AH106" i="1"/>
  <c r="AH119" i="1"/>
  <c r="AH126" i="1"/>
  <c r="AH129" i="1"/>
  <c r="AH138" i="1"/>
  <c r="AH146" i="1"/>
  <c r="AH152" i="1"/>
  <c r="AH157" i="1"/>
  <c r="AH161" i="1"/>
  <c r="AH167" i="1"/>
  <c r="AH173" i="1"/>
  <c r="AH215" i="1"/>
  <c r="AH221" i="1"/>
  <c r="AH231" i="1"/>
  <c r="AH233" i="1"/>
  <c r="AH320" i="1"/>
  <c r="AH324" i="1"/>
  <c r="AH346" i="1"/>
  <c r="AH348" i="1"/>
  <c r="AH363" i="1"/>
  <c r="AH397" i="1"/>
  <c r="AH424" i="1"/>
  <c r="AH435" i="1"/>
  <c r="AH445" i="1"/>
  <c r="AH465" i="1"/>
  <c r="AH470" i="1"/>
  <c r="AH506" i="1"/>
  <c r="AH513" i="1"/>
  <c r="AH540" i="1"/>
  <c r="AH576" i="1"/>
  <c r="AH581" i="1"/>
  <c r="AH593" i="1"/>
  <c r="AH599" i="1"/>
  <c r="AH609" i="1"/>
  <c r="AH613" i="1"/>
  <c r="AH626" i="1"/>
  <c r="AH640" i="1"/>
  <c r="AH648" i="1"/>
  <c r="AH31" i="1"/>
  <c r="AH34" i="1"/>
  <c r="AH53" i="1"/>
  <c r="AH56" i="1"/>
  <c r="AH68" i="1"/>
  <c r="AH69" i="1"/>
  <c r="AH101" i="1"/>
  <c r="AH113" i="1"/>
  <c r="AH124" i="1"/>
  <c r="AH149" i="1"/>
  <c r="AH169" i="1"/>
  <c r="AH191" i="1"/>
  <c r="AH248" i="1"/>
  <c r="AH253" i="1"/>
  <c r="AH270" i="1"/>
  <c r="AH289" i="1"/>
  <c r="AH297" i="1"/>
  <c r="AH340" i="1"/>
  <c r="AH352" i="1"/>
  <c r="AH368" i="1"/>
  <c r="AH374" i="1"/>
  <c r="AH383" i="1"/>
  <c r="AH389" i="1"/>
  <c r="AH404" i="1"/>
  <c r="AH418" i="1"/>
  <c r="AH431" i="1"/>
  <c r="AH453" i="1"/>
  <c r="AH458" i="1"/>
  <c r="AH462" i="1"/>
  <c r="AH472" i="1"/>
  <c r="AH492" i="1"/>
  <c r="AH519" i="1"/>
  <c r="AH528" i="1"/>
  <c r="AH542" i="1"/>
  <c r="AH552" i="1"/>
  <c r="AH560" i="1"/>
  <c r="AH574" i="1"/>
  <c r="AH601" i="1"/>
  <c r="AH645" i="1"/>
  <c r="AH660" i="1"/>
  <c r="AH663" i="1"/>
  <c r="AH33" i="1"/>
  <c r="AH73" i="1"/>
  <c r="AH84" i="1"/>
  <c r="AH118" i="1"/>
  <c r="AH122" i="1"/>
  <c r="AH130" i="1"/>
  <c r="AH144" i="1"/>
  <c r="AH168" i="1"/>
  <c r="AH175" i="1"/>
  <c r="AH184" i="1"/>
  <c r="AH209" i="1"/>
  <c r="AH220" i="1"/>
  <c r="AH250" i="1"/>
  <c r="AH258" i="1"/>
  <c r="AH280" i="1"/>
  <c r="AH284" i="1"/>
  <c r="AH296" i="1"/>
  <c r="AH305" i="1"/>
  <c r="AH313" i="1"/>
  <c r="AH318" i="1"/>
  <c r="AH319" i="1"/>
  <c r="AH406" i="1"/>
  <c r="AH421" i="1"/>
  <c r="AH449" i="1"/>
  <c r="AH464" i="1"/>
  <c r="AH469" i="1"/>
  <c r="AH477" i="1"/>
  <c r="AH479" i="1"/>
  <c r="AH481" i="1"/>
  <c r="AH488" i="1"/>
  <c r="AH501" i="1"/>
  <c r="AH533" i="1"/>
  <c r="AH565" i="1"/>
  <c r="AH578" i="1"/>
  <c r="AH592" i="1"/>
  <c r="AH608" i="1"/>
  <c r="AH612" i="1"/>
  <c r="AH668" i="1"/>
  <c r="AH36" i="1"/>
  <c r="AH58" i="1"/>
  <c r="AH64" i="1"/>
  <c r="AH65" i="1"/>
  <c r="AH71" i="1"/>
  <c r="AH80" i="1"/>
  <c r="AH95" i="1"/>
  <c r="AH99" i="1"/>
  <c r="AH117" i="1"/>
  <c r="AH139" i="1"/>
  <c r="AH193" i="1"/>
  <c r="AH261" i="1"/>
  <c r="AH278" i="1"/>
  <c r="AH286" i="1"/>
  <c r="AH293" i="1"/>
  <c r="AH295" i="1"/>
  <c r="AH308" i="1"/>
  <c r="AH309" i="1"/>
  <c r="AH321" i="1"/>
  <c r="AH344" i="1"/>
  <c r="AH349" i="1"/>
  <c r="AH355" i="1"/>
  <c r="AH357" i="1"/>
  <c r="AH359" i="1"/>
  <c r="AH381" i="1"/>
  <c r="AH400" i="1"/>
  <c r="AH401" i="1"/>
  <c r="AH405" i="1"/>
  <c r="AH410" i="1"/>
  <c r="AH413" i="1"/>
  <c r="AH416" i="1"/>
  <c r="AH426" i="1"/>
  <c r="AH429" i="1"/>
  <c r="AH452" i="1"/>
  <c r="AH471" i="1"/>
  <c r="AH490" i="1"/>
  <c r="AH521" i="1"/>
  <c r="AH534" i="1"/>
  <c r="AH554" i="1"/>
  <c r="AH571" i="1"/>
  <c r="AH575" i="1"/>
  <c r="AH591" i="1"/>
  <c r="AH600" i="1"/>
  <c r="AH605" i="1"/>
  <c r="AH615" i="1"/>
  <c r="AH629" i="1"/>
  <c r="AH631" i="1"/>
  <c r="AH647" i="1"/>
  <c r="AH661" i="1"/>
  <c r="AH22" i="1"/>
  <c r="AH52" i="1"/>
  <c r="AH88" i="1"/>
  <c r="AH89" i="1"/>
  <c r="AH100" i="1"/>
  <c r="AH136" i="1"/>
  <c r="AH154" i="1"/>
  <c r="AH176" i="1"/>
  <c r="AH189" i="1"/>
  <c r="AH197" i="1"/>
  <c r="AH200" i="1"/>
  <c r="AH232" i="1"/>
  <c r="AH239" i="1"/>
  <c r="AH255" i="1"/>
  <c r="AH288" i="1"/>
  <c r="AH292" i="1"/>
  <c r="AH300" i="1"/>
  <c r="AH345" i="1"/>
  <c r="AH353" i="1"/>
  <c r="AH373" i="1"/>
  <c r="AH408" i="1"/>
  <c r="AH417" i="1"/>
  <c r="AH440" i="1"/>
  <c r="AH448" i="1"/>
  <c r="AH454" i="1"/>
  <c r="AH457" i="1"/>
  <c r="AH466" i="1"/>
  <c r="AH468" i="1"/>
  <c r="AH476" i="1"/>
  <c r="AH493" i="1"/>
  <c r="AH494" i="1"/>
  <c r="AH509" i="1"/>
  <c r="AH517" i="1"/>
  <c r="AH526" i="1"/>
  <c r="AH535" i="1"/>
  <c r="AH557" i="1"/>
  <c r="AH573" i="1"/>
  <c r="AH604" i="1"/>
  <c r="AH646" i="1"/>
  <c r="AH656" i="1"/>
  <c r="AH21" i="1"/>
  <c r="AH37" i="1"/>
  <c r="AH38" i="1"/>
  <c r="AH40" i="1"/>
  <c r="AH55" i="1"/>
  <c r="AH57" i="1"/>
  <c r="AH59" i="1"/>
  <c r="AH62" i="1"/>
  <c r="AH66" i="1"/>
  <c r="AH67" i="1"/>
  <c r="AH74" i="1"/>
  <c r="AH76" i="1"/>
  <c r="AH77" i="1"/>
  <c r="AH79" i="1"/>
  <c r="AH83" i="1"/>
  <c r="AH90" i="1"/>
  <c r="AH92" i="1"/>
  <c r="AH93" i="1"/>
  <c r="AH98" i="1"/>
  <c r="AH103" i="1"/>
  <c r="AH104" i="1"/>
  <c r="AH108" i="1"/>
  <c r="AH109" i="1"/>
  <c r="AH121" i="1"/>
  <c r="AH127" i="1"/>
  <c r="AH128" i="1"/>
  <c r="AH131" i="1"/>
  <c r="AH133" i="1"/>
  <c r="AH137" i="1"/>
  <c r="AH141" i="1"/>
  <c r="AH145" i="1"/>
  <c r="AH150" i="1"/>
  <c r="AH155" i="1"/>
  <c r="AH160" i="1"/>
  <c r="AH163" i="1"/>
  <c r="AH164" i="1"/>
  <c r="AH165" i="1"/>
  <c r="AH166" i="1"/>
  <c r="AH171" i="1"/>
  <c r="AH174" i="1"/>
  <c r="AH178" i="1"/>
  <c r="AH179" i="1"/>
  <c r="AH180" i="1"/>
  <c r="AH182" i="1"/>
  <c r="AH183" i="1"/>
  <c r="AH185" i="1"/>
  <c r="AH187" i="1"/>
  <c r="AH195" i="1"/>
  <c r="AH199" i="1"/>
  <c r="AH202" i="1"/>
  <c r="AH207" i="1"/>
  <c r="AH208" i="1"/>
  <c r="AH210" i="1"/>
  <c r="AH213" i="1"/>
  <c r="AH219" i="1"/>
  <c r="AH222" i="1"/>
  <c r="AH223" i="1"/>
  <c r="AH224" i="1"/>
  <c r="AH226" i="1"/>
  <c r="AH229" i="1"/>
  <c r="AH234" i="1"/>
  <c r="AH236" i="1"/>
  <c r="AH237" i="1"/>
  <c r="AH244" i="1"/>
  <c r="AH245" i="1"/>
  <c r="AH249" i="1"/>
  <c r="AH254" i="1"/>
  <c r="AH256" i="1"/>
  <c r="AH259" i="1"/>
  <c r="AH262" i="1"/>
  <c r="AH263" i="1"/>
  <c r="AH264" i="1"/>
  <c r="AH265" i="1"/>
  <c r="AH266" i="1"/>
  <c r="AH269" i="1"/>
  <c r="AH275" i="1"/>
  <c r="AH287" i="1"/>
  <c r="AH294" i="1"/>
  <c r="AH298" i="1"/>
  <c r="AH299" i="1"/>
  <c r="AH301" i="1"/>
  <c r="AH302" i="1"/>
  <c r="AH306" i="1"/>
  <c r="AH310" i="1"/>
  <c r="AH316" i="1"/>
  <c r="AH322" i="1"/>
  <c r="AH325" i="1"/>
  <c r="AH329" i="1"/>
  <c r="AH334" i="1"/>
  <c r="AH338" i="1"/>
  <c r="AH342" i="1"/>
  <c r="AH354" i="1"/>
  <c r="AH365" i="1"/>
  <c r="AH369" i="1"/>
  <c r="AH375" i="1"/>
  <c r="AH377" i="1"/>
  <c r="AH382" i="1"/>
  <c r="AH385" i="1"/>
  <c r="AH386" i="1"/>
  <c r="AH388" i="1"/>
  <c r="AH392" i="1"/>
  <c r="AH402" i="1"/>
  <c r="AH403" i="1"/>
  <c r="AH407" i="1"/>
  <c r="AH411" i="1"/>
  <c r="AH423" i="1"/>
  <c r="AH427" i="1"/>
  <c r="AH428" i="1"/>
  <c r="AH433" i="1"/>
  <c r="AH436" i="1"/>
  <c r="AH438" i="1"/>
  <c r="AH439" i="1"/>
  <c r="AH441" i="1"/>
  <c r="AH443" i="1"/>
  <c r="AH444" i="1"/>
  <c r="AH446" i="1"/>
  <c r="AH451" i="1"/>
  <c r="AH460" i="1"/>
  <c r="AH467" i="1"/>
  <c r="AH475" i="1"/>
  <c r="AH482" i="1"/>
  <c r="AH483" i="1"/>
  <c r="AH485" i="1"/>
  <c r="AH489" i="1"/>
  <c r="AH496" i="1"/>
  <c r="AH503" i="1"/>
  <c r="AH511" i="1"/>
  <c r="AH512" i="1"/>
  <c r="AH514" i="1"/>
  <c r="AH516" i="1"/>
  <c r="AH530" i="1"/>
  <c r="AH531" i="1"/>
  <c r="AH538" i="1"/>
  <c r="AH539" i="1"/>
  <c r="AH544" i="1"/>
  <c r="AH547" i="1"/>
  <c r="AH548" i="1"/>
  <c r="AH550" i="1"/>
  <c r="AH551" i="1"/>
  <c r="AH555" i="1"/>
  <c r="AH556" i="1"/>
  <c r="AH559" i="1"/>
  <c r="AH562" i="1"/>
  <c r="AH568" i="1"/>
  <c r="AH572" i="1"/>
  <c r="AH580" i="1"/>
  <c r="AH582" i="1"/>
  <c r="AH585" i="1"/>
  <c r="AH588" i="1"/>
  <c r="AH589" i="1"/>
  <c r="AH595" i="1"/>
  <c r="AH607" i="1"/>
  <c r="AH611" i="1"/>
  <c r="AH617" i="1"/>
  <c r="AH619" i="1"/>
  <c r="AH622" i="1"/>
  <c r="AH623" i="1"/>
  <c r="AH625" i="1"/>
  <c r="AH628" i="1"/>
  <c r="AH630" i="1"/>
  <c r="AH632" i="1"/>
  <c r="AH634" i="1"/>
  <c r="AH636" i="1"/>
  <c r="AH638" i="1"/>
  <c r="AH639" i="1"/>
  <c r="AH641" i="1"/>
  <c r="AH643" i="1"/>
  <c r="AH649" i="1"/>
  <c r="AH653" i="1"/>
  <c r="AH659" i="1"/>
  <c r="AH662" i="1"/>
  <c r="AH667" i="1"/>
  <c r="AH3" i="1"/>
</calcChain>
</file>

<file path=xl/sharedStrings.xml><?xml version="1.0" encoding="utf-8"?>
<sst xmlns="http://schemas.openxmlformats.org/spreadsheetml/2006/main" count="8493" uniqueCount="83">
  <si>
    <t>cosine</t>
  </si>
  <si>
    <t>cosine</t>
    <phoneticPr fontId="18"/>
  </si>
  <si>
    <t>dice</t>
  </si>
  <si>
    <t>dice</t>
    <phoneticPr fontId="18"/>
  </si>
  <si>
    <t>euclidean</t>
  </si>
  <si>
    <t>euclidean</t>
    <phoneticPr fontId="18"/>
  </si>
  <si>
    <t>jaccard</t>
  </si>
  <si>
    <t>jaccard</t>
    <phoneticPr fontId="18"/>
  </si>
  <si>
    <t>lcs</t>
  </si>
  <si>
    <t>lcs</t>
    <phoneticPr fontId="18"/>
  </si>
  <si>
    <t>levenshtein</t>
  </si>
  <si>
    <t>levenshtein</t>
    <phoneticPr fontId="18"/>
  </si>
  <si>
    <t>simpson</t>
  </si>
  <si>
    <t>simpson</t>
    <phoneticPr fontId="18"/>
  </si>
  <si>
    <t>weighted-jaccard</t>
  </si>
  <si>
    <t>weighted-jaccard</t>
    <phoneticPr fontId="18"/>
  </si>
  <si>
    <t>left</t>
  </si>
  <si>
    <t>left</t>
    <phoneticPr fontId="18"/>
  </si>
  <si>
    <t>right</t>
  </si>
  <si>
    <t>right</t>
    <phoneticPr fontId="18"/>
  </si>
  <si>
    <t>amd64</t>
  </si>
  <si>
    <t>darwin</t>
  </si>
  <si>
    <t>clang</t>
  </si>
  <si>
    <t>gcc</t>
  </si>
  <si>
    <t>go</t>
  </si>
  <si>
    <t>rs-pure</t>
  </si>
  <si>
    <t>rs-sys</t>
  </si>
  <si>
    <t>tgo</t>
  </si>
  <si>
    <t>linux</t>
  </si>
  <si>
    <t>windows</t>
  </si>
  <si>
    <t>arm64</t>
  </si>
  <si>
    <t>msvc</t>
  </si>
  <si>
    <t>both_windows_clang</t>
    <phoneticPr fontId="18"/>
  </si>
  <si>
    <t>both C</t>
    <phoneticPr fontId="18"/>
  </si>
  <si>
    <t>both Go</t>
    <phoneticPr fontId="18"/>
  </si>
  <si>
    <t>both Rust</t>
    <phoneticPr fontId="18"/>
  </si>
  <si>
    <t>same_os</t>
    <phoneticPr fontId="18"/>
  </si>
  <si>
    <t>same_arch</t>
    <phoneticPr fontId="18"/>
  </si>
  <si>
    <t>same_lang</t>
    <phoneticPr fontId="18"/>
  </si>
  <si>
    <t>windows</t>
    <phoneticPr fontId="18"/>
  </si>
  <si>
    <t>Rust</t>
    <phoneticPr fontId="18"/>
  </si>
  <si>
    <t>rs-pure</t>
    <phoneticPr fontId="18"/>
  </si>
  <si>
    <t>tgo</t>
    <phoneticPr fontId="18"/>
  </si>
  <si>
    <t>go</t>
    <phoneticPr fontId="18"/>
  </si>
  <si>
    <t>最大値</t>
    <rPh sb="0" eb="3">
      <t>サイダイ</t>
    </rPh>
    <phoneticPr fontId="18"/>
  </si>
  <si>
    <r>
      <t>第４</t>
    </r>
    <r>
      <rPr>
        <sz val="12"/>
        <color theme="1"/>
        <rFont val="游ゴシック"/>
        <family val="2"/>
        <charset val="128"/>
      </rPr>
      <t>四</t>
    </r>
    <r>
      <rPr>
        <sz val="12"/>
        <color theme="1"/>
        <rFont val="游ゴシック"/>
        <family val="2"/>
        <charset val="128"/>
        <scheme val="minor"/>
      </rPr>
      <t>分位数</t>
    </r>
    <rPh sb="0" eb="1">
      <t>ダイ４シブンイ</t>
    </rPh>
    <rPh sb="2" eb="3">
      <t>🪾</t>
    </rPh>
    <rPh sb="3" eb="5">
      <t>ブn</t>
    </rPh>
    <rPh sb="5" eb="6">
      <t xml:space="preserve">スウ </t>
    </rPh>
    <phoneticPr fontId="18"/>
  </si>
  <si>
    <t>中央値</t>
    <rPh sb="0" eb="3">
      <t>チュウ</t>
    </rPh>
    <phoneticPr fontId="18"/>
  </si>
  <si>
    <r>
      <t>第２</t>
    </r>
    <r>
      <rPr>
        <sz val="12"/>
        <color theme="1"/>
        <rFont val="游ゴシック"/>
        <family val="2"/>
        <charset val="128"/>
      </rPr>
      <t>四</t>
    </r>
    <r>
      <rPr>
        <sz val="12"/>
        <color theme="1"/>
        <rFont val="游ゴシック"/>
        <family val="2"/>
        <charset val="128"/>
        <scheme val="minor"/>
      </rPr>
      <t>分位数</t>
    </r>
    <rPh sb="0" eb="1">
      <t>ダイ４シブンイ</t>
    </rPh>
    <rPh sb="2" eb="3">
      <t>🪾</t>
    </rPh>
    <rPh sb="3" eb="5">
      <t>ブn</t>
    </rPh>
    <rPh sb="5" eb="6">
      <t xml:space="preserve">スウ </t>
    </rPh>
    <phoneticPr fontId="18"/>
  </si>
  <si>
    <t>最小値</t>
    <rPh sb="0" eb="1">
      <t>サイセィオ</t>
    </rPh>
    <phoneticPr fontId="18"/>
  </si>
  <si>
    <t>最大値−75%</t>
    <phoneticPr fontId="18"/>
  </si>
  <si>
    <t>75%−中央値</t>
    <phoneticPr fontId="18"/>
  </si>
  <si>
    <t>中央値−25%</t>
    <phoneticPr fontId="18"/>
  </si>
  <si>
    <t>25%−最小値</t>
    <phoneticPr fontId="18"/>
  </si>
  <si>
    <t>Rust (libbz2)
vs
Rust (Pure)</t>
    <phoneticPr fontId="18"/>
  </si>
  <si>
    <t>Rust (libbz2) 
vs
Clang</t>
    <phoneticPr fontId="18"/>
  </si>
  <si>
    <t>Rust (Pure) 
vs
Clang</t>
    <phoneticPr fontId="18"/>
  </si>
  <si>
    <t>Rust (libbz2)
vs
Gcc</t>
    <phoneticPr fontId="18"/>
  </si>
  <si>
    <t>Rust (Pure)
vs
Gcc</t>
    <phoneticPr fontId="18"/>
  </si>
  <si>
    <t>Rust (libbz2)
vs
Go</t>
    <phoneticPr fontId="18"/>
  </si>
  <si>
    <t>Rust (libbz2)
vs
TinyGo</t>
    <phoneticPr fontId="18"/>
  </si>
  <si>
    <t>Rust (Pure)
vs
Go</t>
    <phoneticPr fontId="18"/>
  </si>
  <si>
    <t>Rust (Pure)
vs
TinyGo</t>
    <phoneticPr fontId="18"/>
  </si>
  <si>
    <t>Windows</t>
    <phoneticPr fontId="18"/>
  </si>
  <si>
    <t>Clang (Windows)</t>
    <phoneticPr fontId="18"/>
  </si>
  <si>
    <t>Go (Linux)</t>
    <phoneticPr fontId="18"/>
  </si>
  <si>
    <t>Go (Darwin)</t>
    <phoneticPr fontId="18"/>
  </si>
  <si>
    <t>Go (Windows)</t>
    <phoneticPr fontId="18"/>
  </si>
  <si>
    <t>MSVC (Windows)</t>
    <phoneticPr fontId="18"/>
  </si>
  <si>
    <t>Gcc (Linux)</t>
    <phoneticPr fontId="18"/>
  </si>
  <si>
    <t>Clang (Linux)</t>
    <phoneticPr fontId="18"/>
  </si>
  <si>
    <t>Cosine</t>
    <phoneticPr fontId="18"/>
  </si>
  <si>
    <t>Dice</t>
    <phoneticPr fontId="18"/>
  </si>
  <si>
    <t>Clang (Darwin)</t>
    <phoneticPr fontId="18"/>
  </si>
  <si>
    <t>Gcc (Darwin)</t>
    <phoneticPr fontId="18"/>
  </si>
  <si>
    <t>Gcc (Windows)</t>
    <phoneticPr fontId="18"/>
  </si>
  <si>
    <t>TinyGo (Linux)</t>
    <phoneticPr fontId="18"/>
  </si>
  <si>
    <t>TinyGo (Darwin)</t>
    <phoneticPr fontId="18"/>
  </si>
  <si>
    <t>Euclidean</t>
    <phoneticPr fontId="18"/>
  </si>
  <si>
    <t>Jaccard</t>
    <phoneticPr fontId="18"/>
  </si>
  <si>
    <t>LCS</t>
    <phoneticPr fontId="18"/>
  </si>
  <si>
    <t>Levenshtein</t>
    <phoneticPr fontId="18"/>
  </si>
  <si>
    <t>Simpson</t>
    <phoneticPr fontId="18"/>
  </si>
  <si>
    <t>Weighted-Jaccard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</si>
</sst>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22183945756779E-2"/>
          <c:y val="3.5933702731602991E-2"/>
          <c:w val="0.89978059383202103"/>
          <c:h val="0.69085763585107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'Bullet in Report'!$A$2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Report'!$B$2:$M$2</c:f>
              <c:numCache>
                <c:formatCode>General</c:formatCode>
                <c:ptCount val="12"/>
                <c:pt idx="0">
                  <c:v>2.7900948697558325E-2</c:v>
                </c:pt>
                <c:pt idx="1">
                  <c:v>3.1838590369865305E-2</c:v>
                </c:pt>
                <c:pt idx="2">
                  <c:v>0.74131269453620152</c:v>
                </c:pt>
                <c:pt idx="3">
                  <c:v>0.337566524887842</c:v>
                </c:pt>
                <c:pt idx="4">
                  <c:v>2.6136202630702078E-2</c:v>
                </c:pt>
                <c:pt idx="5">
                  <c:v>2.7782281159779078E-2</c:v>
                </c:pt>
                <c:pt idx="6">
                  <c:v>0.74111737210718565</c:v>
                </c:pt>
                <c:pt idx="7">
                  <c:v>0.2834880794176165</c:v>
                </c:pt>
                <c:pt idx="8">
                  <c:v>0.35800343550300601</c:v>
                </c:pt>
                <c:pt idx="9">
                  <c:v>4.3944983901658671E-2</c:v>
                </c:pt>
                <c:pt idx="10">
                  <c:v>5.4468837851747449E-2</c:v>
                </c:pt>
                <c:pt idx="11">
                  <c:v>0.70943280571883149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1-DC4D-96D7-C2CFCFE8ABC2}"/>
            </c:ext>
          </c:extLst>
        </c:ser>
        <c:ser>
          <c:idx val="1"/>
          <c:order val="1"/>
          <c:tx>
            <c:strRef>
              <c:f>'Bullet in Report'!$A$3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Report'!$B$3:$M$3</c:f>
              <c:numCache>
                <c:formatCode>General</c:formatCode>
                <c:ptCount val="12"/>
                <c:pt idx="0">
                  <c:v>2.8027076596669951E-2</c:v>
                </c:pt>
                <c:pt idx="1">
                  <c:v>3.1525279659878724E-2</c:v>
                </c:pt>
                <c:pt idx="2">
                  <c:v>0.71763886680788769</c:v>
                </c:pt>
                <c:pt idx="3">
                  <c:v>0.32607675505556999</c:v>
                </c:pt>
                <c:pt idx="4">
                  <c:v>2.5900058374098527E-2</c:v>
                </c:pt>
                <c:pt idx="5">
                  <c:v>2.7118354291876749E-2</c:v>
                </c:pt>
                <c:pt idx="6">
                  <c:v>0.72365834153963005</c:v>
                </c:pt>
                <c:pt idx="7">
                  <c:v>0.27258933288190151</c:v>
                </c:pt>
                <c:pt idx="8">
                  <c:v>0.34711962099882054</c:v>
                </c:pt>
                <c:pt idx="9">
                  <c:v>4.3388571307255798E-2</c:v>
                </c:pt>
                <c:pt idx="10">
                  <c:v>5.3019939264036794E-2</c:v>
                </c:pt>
                <c:pt idx="11">
                  <c:v>0.67368242431416203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1-DC4D-96D7-C2CFCFE8ABC2}"/>
            </c:ext>
          </c:extLst>
        </c:ser>
        <c:ser>
          <c:idx val="2"/>
          <c:order val="2"/>
          <c:tx>
            <c:strRef>
              <c:f>'Bullet in Report'!$A$4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Report'!$B$4:$M$4</c:f>
              <c:numCache>
                <c:formatCode>General</c:formatCode>
                <c:ptCount val="12"/>
                <c:pt idx="0">
                  <c:v>2.4195770196173923E-2</c:v>
                </c:pt>
                <c:pt idx="1">
                  <c:v>2.7296759751339598E-2</c:v>
                </c:pt>
                <c:pt idx="2">
                  <c:v>0.5541018327397107</c:v>
                </c:pt>
                <c:pt idx="3">
                  <c:v>0.28144134186939473</c:v>
                </c:pt>
                <c:pt idx="4">
                  <c:v>2.2701279867365521E-2</c:v>
                </c:pt>
                <c:pt idx="5">
                  <c:v>2.3638255669715325E-2</c:v>
                </c:pt>
                <c:pt idx="6">
                  <c:v>0.55507835001309191</c:v>
                </c:pt>
                <c:pt idx="7">
                  <c:v>0.239464798567633</c:v>
                </c:pt>
                <c:pt idx="8">
                  <c:v>0.29277857348731412</c:v>
                </c:pt>
                <c:pt idx="9">
                  <c:v>3.7907933934929319E-2</c:v>
                </c:pt>
                <c:pt idx="10">
                  <c:v>4.8858892243270627E-2</c:v>
                </c:pt>
                <c:pt idx="11">
                  <c:v>0.53660155338472748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1-DC4D-96D7-C2CFCFE8ABC2}"/>
            </c:ext>
          </c:extLst>
        </c:ser>
        <c:ser>
          <c:idx val="3"/>
          <c:order val="3"/>
          <c:tx>
            <c:strRef>
              <c:f>'Bullet in Report'!$A$5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Report'!$B$5:$M$5</c:f>
              <c:numCache>
                <c:formatCode>General</c:formatCode>
                <c:ptCount val="12"/>
                <c:pt idx="0">
                  <c:v>2.6663825720387172E-2</c:v>
                </c:pt>
                <c:pt idx="1">
                  <c:v>2.9575910766553901E-2</c:v>
                </c:pt>
                <c:pt idx="2">
                  <c:v>0.61186141485814094</c:v>
                </c:pt>
                <c:pt idx="3">
                  <c:v>0.28558518142797895</c:v>
                </c:pt>
                <c:pt idx="4">
                  <c:v>2.4694049887313371E-2</c:v>
                </c:pt>
                <c:pt idx="5">
                  <c:v>2.5360018853475073E-2</c:v>
                </c:pt>
                <c:pt idx="6">
                  <c:v>0.61806734015644149</c:v>
                </c:pt>
                <c:pt idx="7">
                  <c:v>0.24135752028101376</c:v>
                </c:pt>
                <c:pt idx="8">
                  <c:v>0.30748074787005958</c:v>
                </c:pt>
                <c:pt idx="9">
                  <c:v>4.0561233463147495E-2</c:v>
                </c:pt>
                <c:pt idx="10">
                  <c:v>5.0090348032993573E-2</c:v>
                </c:pt>
                <c:pt idx="11">
                  <c:v>0.58082072646389804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1-DC4D-96D7-C2CFCFE8ABC2}"/>
            </c:ext>
          </c:extLst>
        </c:ser>
        <c:ser>
          <c:idx val="4"/>
          <c:order val="4"/>
          <c:tx>
            <c:strRef>
              <c:f>'Bullet in Report'!$A$6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Report'!$B$6:$M$6</c:f>
              <c:numCache>
                <c:formatCode>General</c:formatCode>
                <c:ptCount val="12"/>
                <c:pt idx="0">
                  <c:v>2.1295038529379227E-2</c:v>
                </c:pt>
                <c:pt idx="1">
                  <c:v>2.1256036425594101E-2</c:v>
                </c:pt>
                <c:pt idx="2">
                  <c:v>0.4078467320579815</c:v>
                </c:pt>
                <c:pt idx="3">
                  <c:v>0.22507545169252124</c:v>
                </c:pt>
                <c:pt idx="4">
                  <c:v>1.9828950041900474E-2</c:v>
                </c:pt>
                <c:pt idx="5">
                  <c:v>1.7955658558063848E-2</c:v>
                </c:pt>
                <c:pt idx="6">
                  <c:v>0.41188601798507396</c:v>
                </c:pt>
                <c:pt idx="7">
                  <c:v>0.19351418015372598</c:v>
                </c:pt>
                <c:pt idx="8">
                  <c:v>0.23073372366329112</c:v>
                </c:pt>
                <c:pt idx="9">
                  <c:v>2.9589900878745828E-2</c:v>
                </c:pt>
                <c:pt idx="10">
                  <c:v>4.1280673109813676E-2</c:v>
                </c:pt>
                <c:pt idx="11">
                  <c:v>0.384469127624957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B1-DC4D-96D7-C2CFCFE8ABC2}"/>
            </c:ext>
          </c:extLst>
        </c:ser>
        <c:ser>
          <c:idx val="5"/>
          <c:order val="5"/>
          <c:tx>
            <c:strRef>
              <c:f>'Bullet in Report'!$A$7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Report'!$B$7:$M$7</c:f>
              <c:numCache>
                <c:formatCode>General</c:formatCode>
                <c:ptCount val="12"/>
                <c:pt idx="0">
                  <c:v>1.796610898906275E-2</c:v>
                </c:pt>
                <c:pt idx="1">
                  <c:v>1.6954389168405248E-2</c:v>
                </c:pt>
                <c:pt idx="2">
                  <c:v>0.30012131507056827</c:v>
                </c:pt>
                <c:pt idx="3">
                  <c:v>0.17425813992740175</c:v>
                </c:pt>
                <c:pt idx="4">
                  <c:v>1.6517811674655599E-2</c:v>
                </c:pt>
                <c:pt idx="5">
                  <c:v>1.3975140892211574E-2</c:v>
                </c:pt>
                <c:pt idx="6">
                  <c:v>0.30074124339964325</c:v>
                </c:pt>
                <c:pt idx="7">
                  <c:v>0.1515302721529245</c:v>
                </c:pt>
                <c:pt idx="8">
                  <c:v>0.18229525054531034</c:v>
                </c:pt>
                <c:pt idx="9">
                  <c:v>2.373807647690605E-2</c:v>
                </c:pt>
                <c:pt idx="10">
                  <c:v>3.5609067593418003E-2</c:v>
                </c:pt>
                <c:pt idx="11">
                  <c:v>0.2804588150332295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B1-DC4D-96D7-C2CFCFE8ABC2}"/>
            </c:ext>
          </c:extLst>
        </c:ser>
        <c:ser>
          <c:idx val="6"/>
          <c:order val="6"/>
          <c:tx>
            <c:strRef>
              <c:f>'Bullet in Report'!$A$8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Report'!$B$8:$M$8</c:f>
              <c:numCache>
                <c:formatCode>General</c:formatCode>
                <c:ptCount val="12"/>
                <c:pt idx="0">
                  <c:v>2.972879170914005E-2</c:v>
                </c:pt>
                <c:pt idx="1">
                  <c:v>3.4037312246696552E-2</c:v>
                </c:pt>
                <c:pt idx="2">
                  <c:v>0.90000728278802922</c:v>
                </c:pt>
                <c:pt idx="3">
                  <c:v>0.41232541544415979</c:v>
                </c:pt>
                <c:pt idx="4">
                  <c:v>2.735910541348395E-2</c:v>
                </c:pt>
                <c:pt idx="5">
                  <c:v>2.9297939655384402E-2</c:v>
                </c:pt>
                <c:pt idx="6">
                  <c:v>0.90159884992510408</c:v>
                </c:pt>
                <c:pt idx="7">
                  <c:v>0.33714173206379827</c:v>
                </c:pt>
                <c:pt idx="8">
                  <c:v>0.41189959400751358</c:v>
                </c:pt>
                <c:pt idx="9">
                  <c:v>4.6962873859366198E-2</c:v>
                </c:pt>
                <c:pt idx="10">
                  <c:v>5.6872471095746197E-2</c:v>
                </c:pt>
                <c:pt idx="11">
                  <c:v>0.82159131400420016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B1-DC4D-96D7-C2CFCFE8ABC2}"/>
            </c:ext>
          </c:extLst>
        </c:ser>
        <c:ser>
          <c:idx val="7"/>
          <c:order val="7"/>
          <c:tx>
            <c:strRef>
              <c:f>'Bullet in Report'!$A$9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in Report'!$B$1:$M$1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Report'!$B$9:$M$9</c:f>
              <c:numCache>
                <c:formatCode>General</c:formatCode>
                <c:ptCount val="12"/>
                <c:pt idx="0">
                  <c:v>2.1458352191356451E-2</c:v>
                </c:pt>
                <c:pt idx="1">
                  <c:v>2.3123201252363328E-2</c:v>
                </c:pt>
                <c:pt idx="2">
                  <c:v>0.42643455401614799</c:v>
                </c:pt>
                <c:pt idx="3">
                  <c:v>0.22514343474819126</c:v>
                </c:pt>
                <c:pt idx="4">
                  <c:v>2.0368978299582622E-2</c:v>
                </c:pt>
                <c:pt idx="5">
                  <c:v>1.9934638502791147E-2</c:v>
                </c:pt>
                <c:pt idx="6">
                  <c:v>0.4269132874286875</c:v>
                </c:pt>
                <c:pt idx="7">
                  <c:v>0.19489139258249574</c:v>
                </c:pt>
                <c:pt idx="8">
                  <c:v>0.23795285772831515</c:v>
                </c:pt>
                <c:pt idx="9">
                  <c:v>3.232504459643757E-2</c:v>
                </c:pt>
                <c:pt idx="10">
                  <c:v>4.3137446742075626E-2</c:v>
                </c:pt>
                <c:pt idx="11">
                  <c:v>0.4151839075035062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B1-DC4D-96D7-C2CFCFE8A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646976"/>
        <c:axId val="963489152"/>
      </c:barChart>
      <c:catAx>
        <c:axId val="96864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63489152"/>
        <c:crosses val="autoZero"/>
        <c:auto val="1"/>
        <c:lblAlgn val="ctr"/>
        <c:lblOffset val="100"/>
        <c:noMultiLvlLbl val="0"/>
      </c:catAx>
      <c:valAx>
        <c:axId val="9634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Average Similariy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2769302274715664E-3"/>
              <c:y val="0.237203509283561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6864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513888888888884E-2"/>
          <c:y val="1.8048993875765529E-2"/>
          <c:w val="0.9121527777777777"/>
          <c:h val="6.5284339457567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22183945756779E-2"/>
          <c:y val="3.5933702731602991E-2"/>
          <c:w val="0.89978059383202103"/>
          <c:h val="0.69085763585107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'Bullet in Report'!$A$15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Report'!$B$15:$M$15</c:f>
              <c:numCache>
                <c:formatCode>General</c:formatCode>
                <c:ptCount val="12"/>
                <c:pt idx="0">
                  <c:v>0.46159033380194925</c:v>
                </c:pt>
                <c:pt idx="1">
                  <c:v>0.52400876684115472</c:v>
                </c:pt>
                <c:pt idx="2">
                  <c:v>4.7824784835606725E-2</c:v>
                </c:pt>
                <c:pt idx="3">
                  <c:v>0.13448817847948075</c:v>
                </c:pt>
                <c:pt idx="4">
                  <c:v>0.43801262554356446</c:v>
                </c:pt>
                <c:pt idx="5">
                  <c:v>0.46644400717089596</c:v>
                </c:pt>
                <c:pt idx="6">
                  <c:v>4.7685386587675675E-2</c:v>
                </c:pt>
                <c:pt idx="7">
                  <c:v>0.16498323954405175</c:v>
                </c:pt>
                <c:pt idx="8">
                  <c:v>5.4468837851747449E-2</c:v>
                </c:pt>
                <c:pt idx="9">
                  <c:v>0.71873661543018275</c:v>
                </c:pt>
                <c:pt idx="10">
                  <c:v>0.22499465081624198</c:v>
                </c:pt>
                <c:pt idx="11">
                  <c:v>6.0972319934787425E-2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4-EA46-B5C7-DA935288BFDC}"/>
            </c:ext>
          </c:extLst>
        </c:ser>
        <c:ser>
          <c:idx val="1"/>
          <c:order val="1"/>
          <c:tx>
            <c:strRef>
              <c:f>'Bullet in Report'!$A$16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Report'!$B$16:$M$16</c:f>
              <c:numCache>
                <c:formatCode>General</c:formatCode>
                <c:ptCount val="12"/>
                <c:pt idx="0">
                  <c:v>0.45410650087502369</c:v>
                </c:pt>
                <c:pt idx="1">
                  <c:v>0.52088286141475626</c:v>
                </c:pt>
                <c:pt idx="2">
                  <c:v>4.5590800186852444E-2</c:v>
                </c:pt>
                <c:pt idx="3">
                  <c:v>0.12826084909247876</c:v>
                </c:pt>
                <c:pt idx="4">
                  <c:v>0.41454149180101102</c:v>
                </c:pt>
                <c:pt idx="5">
                  <c:v>0.44241516312520002</c:v>
                </c:pt>
                <c:pt idx="6">
                  <c:v>4.5228300901981176E-2</c:v>
                </c:pt>
                <c:pt idx="7">
                  <c:v>0.15563546126477551</c:v>
                </c:pt>
                <c:pt idx="8">
                  <c:v>5.3019939264036794E-2</c:v>
                </c:pt>
                <c:pt idx="9">
                  <c:v>0.7002900294798341</c:v>
                </c:pt>
                <c:pt idx="10">
                  <c:v>0.21866864964890634</c:v>
                </c:pt>
                <c:pt idx="11">
                  <c:v>5.7779505887206178E-2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4-EA46-B5C7-DA935288BFDC}"/>
            </c:ext>
          </c:extLst>
        </c:ser>
        <c:ser>
          <c:idx val="2"/>
          <c:order val="2"/>
          <c:tx>
            <c:strRef>
              <c:f>'Bullet in Report'!$A$17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Report'!$B$17:$M$17</c:f>
              <c:numCache>
                <c:formatCode>General</c:formatCode>
                <c:ptCount val="12"/>
                <c:pt idx="0">
                  <c:v>0.37336509587477396</c:v>
                </c:pt>
                <c:pt idx="1">
                  <c:v>0.43167873296033898</c:v>
                </c:pt>
                <c:pt idx="2">
                  <c:v>4.0967045966212555E-2</c:v>
                </c:pt>
                <c:pt idx="3">
                  <c:v>0.11242178914283835</c:v>
                </c:pt>
                <c:pt idx="4">
                  <c:v>0.35150110197712126</c:v>
                </c:pt>
                <c:pt idx="5">
                  <c:v>0.38242476270082676</c:v>
                </c:pt>
                <c:pt idx="6">
                  <c:v>4.0425535458523253E-2</c:v>
                </c:pt>
                <c:pt idx="7">
                  <c:v>0.13705902723774024</c:v>
                </c:pt>
                <c:pt idx="8">
                  <c:v>4.8858892243270627E-2</c:v>
                </c:pt>
                <c:pt idx="9">
                  <c:v>0.58232452541605184</c:v>
                </c:pt>
                <c:pt idx="10">
                  <c:v>0.19006301738907427</c:v>
                </c:pt>
                <c:pt idx="11">
                  <c:v>5.1938303934266773E-2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4-EA46-B5C7-DA935288BFDC}"/>
            </c:ext>
          </c:extLst>
        </c:ser>
        <c:ser>
          <c:idx val="3"/>
          <c:order val="3"/>
          <c:tx>
            <c:strRef>
              <c:f>'Bullet in Report'!$A$18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Report'!$B$18:$M$18</c:f>
              <c:numCache>
                <c:formatCode>General</c:formatCode>
                <c:ptCount val="12"/>
                <c:pt idx="0">
                  <c:v>0.40722743288611396</c:v>
                </c:pt>
                <c:pt idx="1">
                  <c:v>0.4668472052130595</c:v>
                </c:pt>
                <c:pt idx="2">
                  <c:v>4.1199827831944778E-2</c:v>
                </c:pt>
                <c:pt idx="3">
                  <c:v>0.11422800825020434</c:v>
                </c:pt>
                <c:pt idx="4">
                  <c:v>0.3690770883404707</c:v>
                </c:pt>
                <c:pt idx="5">
                  <c:v>0.39220398347169949</c:v>
                </c:pt>
                <c:pt idx="6">
                  <c:v>4.0592618318388625E-2</c:v>
                </c:pt>
                <c:pt idx="7">
                  <c:v>0.13833029001616975</c:v>
                </c:pt>
                <c:pt idx="8">
                  <c:v>5.0090348032993573E-2</c:v>
                </c:pt>
                <c:pt idx="9">
                  <c:v>0.61703812065438801</c:v>
                </c:pt>
                <c:pt idx="10">
                  <c:v>0.1983873914198783</c:v>
                </c:pt>
                <c:pt idx="11">
                  <c:v>5.198981749770952E-2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94-EA46-B5C7-DA935288BFDC}"/>
            </c:ext>
          </c:extLst>
        </c:ser>
        <c:ser>
          <c:idx val="4"/>
          <c:order val="4"/>
          <c:tx>
            <c:strRef>
              <c:f>'Bullet in Report'!$A$19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Report'!$B$19:$M$19</c:f>
              <c:numCache>
                <c:formatCode>General</c:formatCode>
                <c:ptCount val="12"/>
                <c:pt idx="0">
                  <c:v>0.30559110747871926</c:v>
                </c:pt>
                <c:pt idx="1">
                  <c:v>0.34726653201920127</c:v>
                </c:pt>
                <c:pt idx="2">
                  <c:v>3.217299433709267E-2</c:v>
                </c:pt>
                <c:pt idx="3">
                  <c:v>8.8137905031107938E-2</c:v>
                </c:pt>
                <c:pt idx="4">
                  <c:v>0.27997804711184998</c:v>
                </c:pt>
                <c:pt idx="5">
                  <c:v>0.29685640589786849</c:v>
                </c:pt>
                <c:pt idx="6">
                  <c:v>3.1650786322231776E-2</c:v>
                </c:pt>
                <c:pt idx="7">
                  <c:v>0.10728053679724767</c:v>
                </c:pt>
                <c:pt idx="8">
                  <c:v>4.1280673109813676E-2</c:v>
                </c:pt>
                <c:pt idx="9">
                  <c:v>0.46297412692282874</c:v>
                </c:pt>
                <c:pt idx="10">
                  <c:v>0.15840038544489121</c:v>
                </c:pt>
                <c:pt idx="11">
                  <c:v>4.0776208879947221E-2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94-EA46-B5C7-DA935288BFDC}"/>
            </c:ext>
          </c:extLst>
        </c:ser>
        <c:ser>
          <c:idx val="5"/>
          <c:order val="5"/>
          <c:tx>
            <c:strRef>
              <c:f>'Bullet in Report'!$A$20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Report'!$B$20:$M$20</c:f>
              <c:numCache>
                <c:formatCode>General</c:formatCode>
                <c:ptCount val="12"/>
                <c:pt idx="0">
                  <c:v>0.23691161550692524</c:v>
                </c:pt>
                <c:pt idx="1">
                  <c:v>0.2685298745370735</c:v>
                </c:pt>
                <c:pt idx="2">
                  <c:v>2.5759218182456023E-2</c:v>
                </c:pt>
                <c:pt idx="3">
                  <c:v>6.9417997330872269E-2</c:v>
                </c:pt>
                <c:pt idx="4">
                  <c:v>0.21566717423686199</c:v>
                </c:pt>
                <c:pt idx="5">
                  <c:v>0.22331104502487351</c:v>
                </c:pt>
                <c:pt idx="6">
                  <c:v>2.5007302054975748E-2</c:v>
                </c:pt>
                <c:pt idx="7">
                  <c:v>8.4322732779710127E-2</c:v>
                </c:pt>
                <c:pt idx="8">
                  <c:v>3.5609067593418003E-2</c:v>
                </c:pt>
                <c:pt idx="9">
                  <c:v>0.35455641087798173</c:v>
                </c:pt>
                <c:pt idx="10">
                  <c:v>0.12952811082038845</c:v>
                </c:pt>
                <c:pt idx="11">
                  <c:v>3.2477281091733E-2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94-EA46-B5C7-DA935288BFDC}"/>
            </c:ext>
          </c:extLst>
        </c:ser>
        <c:ser>
          <c:idx val="6"/>
          <c:order val="6"/>
          <c:tx>
            <c:strRef>
              <c:f>'Bullet in Report'!$A$21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Report'!$B$21:$M$21</c:f>
              <c:numCache>
                <c:formatCode>General</c:formatCode>
                <c:ptCount val="12"/>
                <c:pt idx="0">
                  <c:v>0.5228473019517792</c:v>
                </c:pt>
                <c:pt idx="1">
                  <c:v>0.59862227324913819</c:v>
                </c:pt>
                <c:pt idx="2">
                  <c:v>5.1913947523727098E-2</c:v>
                </c:pt>
                <c:pt idx="3">
                  <c:v>0.14856176490304124</c:v>
                </c:pt>
                <c:pt idx="4">
                  <c:v>0.48117106773823148</c:v>
                </c:pt>
                <c:pt idx="5">
                  <c:v>0.51526980482204321</c:v>
                </c:pt>
                <c:pt idx="6">
                  <c:v>5.2002603528917654E-2</c:v>
                </c:pt>
                <c:pt idx="7">
                  <c:v>0.18099188732305302</c:v>
                </c:pt>
                <c:pt idx="8">
                  <c:v>5.6872471095746197E-2</c:v>
                </c:pt>
                <c:pt idx="9">
                  <c:v>0.82594718714121651</c:v>
                </c:pt>
                <c:pt idx="10">
                  <c:v>0.24861804846330976</c:v>
                </c:pt>
                <c:pt idx="11">
                  <c:v>6.6327738982831216E-2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94-EA46-B5C7-DA935288BFDC}"/>
            </c:ext>
          </c:extLst>
        </c:ser>
        <c:ser>
          <c:idx val="7"/>
          <c:order val="7"/>
          <c:tx>
            <c:strRef>
              <c:f>'Bullet in Report'!$A$22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in Report'!$B$14:$M$14</c:f>
              <c:strCache>
                <c:ptCount val="12"/>
                <c:pt idx="0">
                  <c:v>Clang (Linux)</c:v>
                </c:pt>
                <c:pt idx="1">
                  <c:v>Gcc (Linux)</c:v>
                </c:pt>
                <c:pt idx="2">
                  <c:v>Go (Linux)</c:v>
                </c:pt>
                <c:pt idx="3">
                  <c:v>TinyGo (Linux)</c:v>
                </c:pt>
                <c:pt idx="4">
                  <c:v>Clang (Darwin)</c:v>
                </c:pt>
                <c:pt idx="5">
                  <c:v>Gcc (Darwin)</c:v>
                </c:pt>
                <c:pt idx="6">
                  <c:v>Go (Darwin)</c:v>
                </c:pt>
                <c:pt idx="7">
                  <c:v>TinyGo (Darwin)</c:v>
                </c:pt>
                <c:pt idx="8">
                  <c:v>Clang (Windows)</c:v>
                </c:pt>
                <c:pt idx="9">
                  <c:v>Gcc (Windows)</c:v>
                </c:pt>
                <c:pt idx="10">
                  <c:v>MSVC (Windows)</c:v>
                </c:pt>
                <c:pt idx="11">
                  <c:v>Go (Windows)</c:v>
                </c:pt>
              </c:strCache>
            </c:strRef>
          </c:cat>
          <c:val>
            <c:numRef>
              <c:f>'Bullet in Report'!$B$22:$M$22</c:f>
              <c:numCache>
                <c:formatCode>General</c:formatCode>
                <c:ptCount val="12"/>
                <c:pt idx="0">
                  <c:v>0.30406118336047949</c:v>
                </c:pt>
                <c:pt idx="1">
                  <c:v>0.34632333843653929</c:v>
                </c:pt>
                <c:pt idx="2">
                  <c:v>3.350892647279477E-2</c:v>
                </c:pt>
                <c:pt idx="3">
                  <c:v>9.031188907437937E-2</c:v>
                </c:pt>
                <c:pt idx="4">
                  <c:v>0.28608021092604252</c:v>
                </c:pt>
                <c:pt idx="5">
                  <c:v>0.30688183573660499</c:v>
                </c:pt>
                <c:pt idx="6">
                  <c:v>3.2562911047247171E-2</c:v>
                </c:pt>
                <c:pt idx="7">
                  <c:v>0.10984331801623076</c:v>
                </c:pt>
                <c:pt idx="8">
                  <c:v>4.3137446742075626E-2</c:v>
                </c:pt>
                <c:pt idx="9">
                  <c:v>0.46067591105975453</c:v>
                </c:pt>
                <c:pt idx="10">
                  <c:v>0.15954641050773377</c:v>
                </c:pt>
                <c:pt idx="11">
                  <c:v>4.2303694787159778E-2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94-EA46-B5C7-DA935288B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001664"/>
        <c:axId val="1038995392"/>
      </c:barChart>
      <c:catAx>
        <c:axId val="10390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38995392"/>
        <c:crosses val="autoZero"/>
        <c:auto val="1"/>
        <c:lblAlgn val="ctr"/>
        <c:lblOffset val="100"/>
        <c:noMultiLvlLbl val="0"/>
      </c:catAx>
      <c:valAx>
        <c:axId val="1038995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Average Similarity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2769302274715664E-3"/>
              <c:y val="0.232056965101584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3900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77777777777779E-2"/>
          <c:y val="3.3481092641197627E-2"/>
          <c:w val="0.92083333333333328"/>
          <c:h val="5.911149995139496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Rust!$S$15</c:f>
              <c:strCache>
                <c:ptCount val="1"/>
                <c:pt idx="0">
                  <c:v>25%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Rust!$T$16:$AB$16</c:f>
                <c:numCache>
                  <c:formatCode>General</c:formatCode>
                  <c:ptCount val="9"/>
                  <c:pt idx="0">
                    <c:v>6.1210608020021193E-2</c:v>
                  </c:pt>
                  <c:pt idx="1">
                    <c:v>8.33633383083935E-3</c:v>
                  </c:pt>
                  <c:pt idx="2">
                    <c:v>8.2131476324229548E-3</c:v>
                  </c:pt>
                  <c:pt idx="3">
                    <c:v>2.4297446957814699E-3</c:v>
                  </c:pt>
                  <c:pt idx="4">
                    <c:v>2.3774168359100272E-3</c:v>
                  </c:pt>
                  <c:pt idx="5">
                    <c:v>7.0469060709012848E-2</c:v>
                  </c:pt>
                  <c:pt idx="6">
                    <c:v>3.2719102836783552E-2</c:v>
                  </c:pt>
                  <c:pt idx="7">
                    <c:v>6.9086094529869885E-2</c:v>
                  </c:pt>
                  <c:pt idx="8">
                    <c:v>3.1952056287798972E-2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Rust!$T$11:$X$11</c:f>
              <c:strCache>
                <c:ptCount val="5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</c:strCache>
            </c:strRef>
          </c:cat>
          <c:val>
            <c:numRef>
              <c:f>Rust!$T$15:$X$15</c:f>
              <c:numCache>
                <c:formatCode>General</c:formatCode>
                <c:ptCount val="5"/>
                <c:pt idx="0">
                  <c:v>0.12944274853873899</c:v>
                </c:pt>
                <c:pt idx="1">
                  <c:v>9.7137224545401808E-3</c:v>
                </c:pt>
                <c:pt idx="2">
                  <c:v>9.5549396460458142E-3</c:v>
                </c:pt>
                <c:pt idx="3">
                  <c:v>3.8199244370310699E-3</c:v>
                </c:pt>
                <c:pt idx="4">
                  <c:v>3.7278234695208375E-3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6D-6640-8BEC-4984B0727271}"/>
            </c:ext>
          </c:extLst>
        </c:ser>
        <c:ser>
          <c:idx val="2"/>
          <c:order val="1"/>
          <c:tx>
            <c:strRef>
              <c:f>Rust!$S$14</c:f>
              <c:strCache>
                <c:ptCount val="1"/>
                <c:pt idx="0">
                  <c:v>中央値−25%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Rust!$T$11:$X$11</c:f>
              <c:strCache>
                <c:ptCount val="5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</c:strCache>
            </c:strRef>
          </c:cat>
          <c:val>
            <c:numRef>
              <c:f>Rust!$T$14:$X$14</c:f>
              <c:numCache>
                <c:formatCode>General</c:formatCode>
                <c:ptCount val="5"/>
                <c:pt idx="0">
                  <c:v>0.49607811016789199</c:v>
                </c:pt>
                <c:pt idx="1">
                  <c:v>7.51889911468007E-3</c:v>
                </c:pt>
                <c:pt idx="2">
                  <c:v>7.370245250957785E-3</c:v>
                </c:pt>
                <c:pt idx="3">
                  <c:v>1.144835559996483E-2</c:v>
                </c:pt>
                <c:pt idx="4">
                  <c:v>1.1372307814342113E-2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D-6640-8BEC-4984B0727271}"/>
            </c:ext>
          </c:extLst>
        </c:ser>
        <c:ser>
          <c:idx val="1"/>
          <c:order val="2"/>
          <c:tx>
            <c:strRef>
              <c:f>Rust!$S$13</c:f>
              <c:strCache>
                <c:ptCount val="1"/>
                <c:pt idx="0">
                  <c:v>75%−中央値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Rust!$T$12:$AB$12</c:f>
                <c:numCache>
                  <c:formatCode>General</c:formatCode>
                  <c:ptCount val="9"/>
                  <c:pt idx="0">
                    <c:v>8.6518791913327009E-2</c:v>
                  </c:pt>
                  <c:pt idx="1">
                    <c:v>0.68643221818434252</c:v>
                  </c:pt>
                  <c:pt idx="2">
                    <c:v>0.67908716372721611</c:v>
                  </c:pt>
                  <c:pt idx="3">
                    <c:v>1.3243523506608401E-2</c:v>
                  </c:pt>
                  <c:pt idx="4">
                    <c:v>1.315240588597353E-2</c:v>
                  </c:pt>
                  <c:pt idx="5">
                    <c:v>0.23746929199433842</c:v>
                  </c:pt>
                  <c:pt idx="6">
                    <c:v>0.17849730150335774</c:v>
                  </c:pt>
                  <c:pt idx="7">
                    <c:v>0.23338043935028918</c:v>
                  </c:pt>
                  <c:pt idx="8">
                    <c:v>0.17644069112155972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Rust!$T$11:$X$11</c:f>
              <c:strCache>
                <c:ptCount val="5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</c:strCache>
            </c:strRef>
          </c:cat>
          <c:val>
            <c:numRef>
              <c:f>Rust!$T$13:$X$13</c:f>
              <c:numCache>
                <c:formatCode>General</c:formatCode>
                <c:ptCount val="5"/>
                <c:pt idx="0">
                  <c:v>0.28646154842080895</c:v>
                </c:pt>
                <c:pt idx="1">
                  <c:v>8.4499044920185257E-2</c:v>
                </c:pt>
                <c:pt idx="2">
                  <c:v>8.2464869601199364E-2</c:v>
                </c:pt>
                <c:pt idx="3">
                  <c:v>5.175601615728E-3</c:v>
                </c:pt>
                <c:pt idx="4">
                  <c:v>5.0208441251275229E-3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D-6640-8BEC-4984B0727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68096"/>
        <c:axId val="85669440"/>
      </c:barChart>
      <c:catAx>
        <c:axId val="856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5669440"/>
        <c:crosses val="autoZero"/>
        <c:auto val="1"/>
        <c:lblAlgn val="ctr"/>
        <c:lblOffset val="100"/>
        <c:noMultiLvlLbl val="0"/>
      </c:catAx>
      <c:valAx>
        <c:axId val="8566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56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Rust!$S$15</c:f>
              <c:strCache>
                <c:ptCount val="1"/>
                <c:pt idx="0">
                  <c:v>25%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Rust!$T$16:$AB$16</c:f>
                <c:numCache>
                  <c:formatCode>General</c:formatCode>
                  <c:ptCount val="9"/>
                  <c:pt idx="0">
                    <c:v>6.1210608020021193E-2</c:v>
                  </c:pt>
                  <c:pt idx="1">
                    <c:v>8.33633383083935E-3</c:v>
                  </c:pt>
                  <c:pt idx="2">
                    <c:v>8.2131476324229548E-3</c:v>
                  </c:pt>
                  <c:pt idx="3">
                    <c:v>2.4297446957814699E-3</c:v>
                  </c:pt>
                  <c:pt idx="4">
                    <c:v>2.3774168359100272E-3</c:v>
                  </c:pt>
                  <c:pt idx="5">
                    <c:v>7.0469060709012848E-2</c:v>
                  </c:pt>
                  <c:pt idx="6">
                    <c:v>3.2719102836783552E-2</c:v>
                  </c:pt>
                  <c:pt idx="7">
                    <c:v>6.9086094529869885E-2</c:v>
                  </c:pt>
                  <c:pt idx="8">
                    <c:v>3.1952056287798972E-2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Rust!$T$11:$AB$11</c:f>
              <c:strCache>
                <c:ptCount val="9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  <c:pt idx="5">
                  <c:v>Rust (libbz2)
vs
Go</c:v>
                </c:pt>
                <c:pt idx="6">
                  <c:v>Rust (libbz2)
vs
TinyGo</c:v>
                </c:pt>
                <c:pt idx="7">
                  <c:v>Rust (Pure)
vs
Go</c:v>
                </c:pt>
                <c:pt idx="8">
                  <c:v>Rust (Pure)
vs
TinyGo</c:v>
                </c:pt>
              </c:strCache>
            </c:strRef>
          </c:cat>
          <c:val>
            <c:numRef>
              <c:f>Rust!$T$15:$AB$15</c:f>
              <c:numCache>
                <c:formatCode>General</c:formatCode>
                <c:ptCount val="9"/>
                <c:pt idx="0">
                  <c:v>0.12944274853873899</c:v>
                </c:pt>
                <c:pt idx="1">
                  <c:v>9.7137224545401808E-3</c:v>
                </c:pt>
                <c:pt idx="2">
                  <c:v>9.5549396460458142E-3</c:v>
                </c:pt>
                <c:pt idx="3">
                  <c:v>3.8199244370310699E-3</c:v>
                </c:pt>
                <c:pt idx="4">
                  <c:v>3.7278234695208375E-3</c:v>
                </c:pt>
                <c:pt idx="5">
                  <c:v>0.10185622006548425</c:v>
                </c:pt>
                <c:pt idx="6">
                  <c:v>4.5549067558047954E-2</c:v>
                </c:pt>
                <c:pt idx="7">
                  <c:v>9.967355143970448E-2</c:v>
                </c:pt>
                <c:pt idx="8">
                  <c:v>4.4473945895042673E-2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D-E941-90EB-3BD54046593A}"/>
            </c:ext>
          </c:extLst>
        </c:ser>
        <c:ser>
          <c:idx val="2"/>
          <c:order val="1"/>
          <c:tx>
            <c:strRef>
              <c:f>Rust!$S$14</c:f>
              <c:strCache>
                <c:ptCount val="1"/>
                <c:pt idx="0">
                  <c:v>中央値−25%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Rust!$T$11:$AB$11</c:f>
              <c:strCache>
                <c:ptCount val="9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  <c:pt idx="5">
                  <c:v>Rust (libbz2)
vs
Go</c:v>
                </c:pt>
                <c:pt idx="6">
                  <c:v>Rust (libbz2)
vs
TinyGo</c:v>
                </c:pt>
                <c:pt idx="7">
                  <c:v>Rust (Pure)
vs
Go</c:v>
                </c:pt>
                <c:pt idx="8">
                  <c:v>Rust (Pure)
vs
TinyGo</c:v>
                </c:pt>
              </c:strCache>
            </c:strRef>
          </c:cat>
          <c:val>
            <c:numRef>
              <c:f>Rust!$T$14:$AB$14</c:f>
              <c:numCache>
                <c:formatCode>General</c:formatCode>
                <c:ptCount val="9"/>
                <c:pt idx="0">
                  <c:v>0.49607811016789199</c:v>
                </c:pt>
                <c:pt idx="1">
                  <c:v>7.51889911468007E-3</c:v>
                </c:pt>
                <c:pt idx="2">
                  <c:v>7.370245250957785E-3</c:v>
                </c:pt>
                <c:pt idx="3">
                  <c:v>1.144835559996483E-2</c:v>
                </c:pt>
                <c:pt idx="4">
                  <c:v>1.1372307814342113E-2</c:v>
                </c:pt>
                <c:pt idx="5">
                  <c:v>0.25185971577946931</c:v>
                </c:pt>
                <c:pt idx="6">
                  <c:v>9.1568365312521535E-2</c:v>
                </c:pt>
                <c:pt idx="7">
                  <c:v>0.25016694606044954</c:v>
                </c:pt>
                <c:pt idx="8">
                  <c:v>9.1118616811324327E-2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D-E941-90EB-3BD54046593A}"/>
            </c:ext>
          </c:extLst>
        </c:ser>
        <c:ser>
          <c:idx val="1"/>
          <c:order val="2"/>
          <c:tx>
            <c:strRef>
              <c:f>Rust!$S$13</c:f>
              <c:strCache>
                <c:ptCount val="1"/>
                <c:pt idx="0">
                  <c:v>75%−中央値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Rust!$T$12:$AB$12</c:f>
                <c:numCache>
                  <c:formatCode>General</c:formatCode>
                  <c:ptCount val="9"/>
                  <c:pt idx="0">
                    <c:v>8.6518791913327009E-2</c:v>
                  </c:pt>
                  <c:pt idx="1">
                    <c:v>0.68643221818434252</c:v>
                  </c:pt>
                  <c:pt idx="2">
                    <c:v>0.67908716372721611</c:v>
                  </c:pt>
                  <c:pt idx="3">
                    <c:v>1.3243523506608401E-2</c:v>
                  </c:pt>
                  <c:pt idx="4">
                    <c:v>1.315240588597353E-2</c:v>
                  </c:pt>
                  <c:pt idx="5">
                    <c:v>0.23746929199433842</c:v>
                  </c:pt>
                  <c:pt idx="6">
                    <c:v>0.17849730150335774</c:v>
                  </c:pt>
                  <c:pt idx="7">
                    <c:v>0.23338043935028918</c:v>
                  </c:pt>
                  <c:pt idx="8">
                    <c:v>0.17644069112155972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Rust!$T$11:$AB$11</c:f>
              <c:strCache>
                <c:ptCount val="9"/>
                <c:pt idx="0">
                  <c:v>Rust (libbz2)
vs
Rust (Pure)</c:v>
                </c:pt>
                <c:pt idx="1">
                  <c:v>Rust (libbz2) 
vs
Clang</c:v>
                </c:pt>
                <c:pt idx="2">
                  <c:v>Rust (Pure) 
vs
Clang</c:v>
                </c:pt>
                <c:pt idx="3">
                  <c:v>Rust (libbz2)
vs
Gcc</c:v>
                </c:pt>
                <c:pt idx="4">
                  <c:v>Rust (Pure)
vs
Gcc</c:v>
                </c:pt>
                <c:pt idx="5">
                  <c:v>Rust (libbz2)
vs
Go</c:v>
                </c:pt>
                <c:pt idx="6">
                  <c:v>Rust (libbz2)
vs
TinyGo</c:v>
                </c:pt>
                <c:pt idx="7">
                  <c:v>Rust (Pure)
vs
Go</c:v>
                </c:pt>
                <c:pt idx="8">
                  <c:v>Rust (Pure)
vs
TinyGo</c:v>
                </c:pt>
              </c:strCache>
            </c:strRef>
          </c:cat>
          <c:val>
            <c:numRef>
              <c:f>Rust!$T$13:$AB$13</c:f>
              <c:numCache>
                <c:formatCode>General</c:formatCode>
                <c:ptCount val="9"/>
                <c:pt idx="0">
                  <c:v>0.28646154842080895</c:v>
                </c:pt>
                <c:pt idx="1">
                  <c:v>8.4499044920185257E-2</c:v>
                </c:pt>
                <c:pt idx="2">
                  <c:v>8.2464869601199364E-2</c:v>
                </c:pt>
                <c:pt idx="3">
                  <c:v>5.175601615728E-3</c:v>
                </c:pt>
                <c:pt idx="4">
                  <c:v>5.0208441251275229E-3</c:v>
                </c:pt>
                <c:pt idx="5">
                  <c:v>0.18939140342019201</c:v>
                </c:pt>
                <c:pt idx="6">
                  <c:v>5.2518801286163763E-2</c:v>
                </c:pt>
                <c:pt idx="7">
                  <c:v>0.18774354156682282</c:v>
                </c:pt>
                <c:pt idx="8">
                  <c:v>5.1575858881905273E-2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D-E941-90EB-3BD540465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68096"/>
        <c:axId val="85669440"/>
      </c:barChart>
      <c:catAx>
        <c:axId val="856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5669440"/>
        <c:crosses val="autoZero"/>
        <c:auto val="1"/>
        <c:lblAlgn val="ctr"/>
        <c:lblOffset val="100"/>
        <c:noMultiLvlLbl val="0"/>
      </c:catAx>
      <c:valAx>
        <c:axId val="8566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56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201083</xdr:colOff>
      <xdr:row>0</xdr:row>
      <xdr:rowOff>71966</xdr:rowOff>
    </xdr:from>
    <xdr:to>
      <xdr:col>20</xdr:col>
      <xdr:colOff>819149</xdr:colOff>
      <xdr:row>16</xdr:row>
      <xdr:rowOff>122766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EEF9D8-BEAC-BED8-7E2B-75E698F19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203201</xdr:colOff>
      <xdr:row>20</xdr:row>
      <xdr:rowOff>12700</xdr:rowOff>
    </xdr:from>
    <xdr:to>
      <xdr:col>20</xdr:col>
      <xdr:colOff>821267</xdr:colOff>
      <xdr:row>36</xdr:row>
      <xdr:rowOff>63500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CE7CEFD-F3BE-F48F-DEBA-7587A3CE2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292100</xdr:colOff>
      <xdr:row>17</xdr:row>
      <xdr:rowOff>228606</xdr:rowOff>
    </xdr:from>
    <xdr:to>
      <xdr:col>27</xdr:col>
      <xdr:colOff>495300</xdr:colOff>
      <xdr:row>30</xdr:row>
      <xdr:rowOff>12706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AC6DA5-5362-B6A8-33F5-11D043CF4B8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266700</xdr:colOff>
      <xdr:row>32</xdr:row>
      <xdr:rowOff>101600</xdr:rowOff>
    </xdr:from>
    <xdr:to>
      <xdr:col>27</xdr:col>
      <xdr:colOff>469900</xdr:colOff>
      <xdr:row>44</xdr:row>
      <xdr:rowOff>139700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E47D890-746D-E843-B841-A2AB2CAA7F1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7A17-CCD6-C24E-907A-7038F6F0AE3C}">
  <dimension ref="A1:BB668"/>
  <sheetViews>
    <sheetView tabSelected="1" topLeftCell="N1" workbookViewId="0">
      <selection activeCell="T2" sqref="T2"/>
    </sheetView>
  </sheetViews>
  <sheetFormatPr baseColWidth="10" defaultRowHeight="20"/>
  <cols>
    <col min="1" max="15" width="8.7109375" customWidth="1"/>
    <col min="16" max="54" width="5.7109375" customWidth="1"/>
  </cols>
  <sheetData>
    <row r="1" spans="1:54">
      <c r="AI1" t="s">
        <v>26</v>
      </c>
      <c r="AJ1" t="s">
        <v>26</v>
      </c>
      <c r="AK1" t="s">
        <v>26</v>
      </c>
      <c r="AL1" t="s">
        <v>26</v>
      </c>
      <c r="AM1" t="s">
        <v>26</v>
      </c>
      <c r="AN1" t="s">
        <v>25</v>
      </c>
      <c r="AO1" t="s">
        <v>25</v>
      </c>
      <c r="AP1" t="s">
        <v>25</v>
      </c>
      <c r="AQ1" t="s">
        <v>25</v>
      </c>
      <c r="AR1" t="s">
        <v>22</v>
      </c>
      <c r="AS1" t="s">
        <v>22</v>
      </c>
      <c r="AT1" t="s">
        <v>22</v>
      </c>
      <c r="AU1" t="s">
        <v>23</v>
      </c>
      <c r="AV1" t="s">
        <v>23</v>
      </c>
      <c r="AW1" t="s">
        <v>24</v>
      </c>
      <c r="AX1" t="s">
        <v>28</v>
      </c>
      <c r="AY1" t="s">
        <v>28</v>
      </c>
      <c r="AZ1" t="s">
        <v>21</v>
      </c>
    </row>
    <row r="2" spans="1:54">
      <c r="B2" t="s">
        <v>17</v>
      </c>
      <c r="E2" t="s">
        <v>19</v>
      </c>
      <c r="H2" t="s">
        <v>1</v>
      </c>
      <c r="I2" t="s">
        <v>3</v>
      </c>
      <c r="J2" t="s">
        <v>5</v>
      </c>
      <c r="K2" t="s">
        <v>7</v>
      </c>
      <c r="L2" t="s">
        <v>9</v>
      </c>
      <c r="M2" t="s">
        <v>11</v>
      </c>
      <c r="N2" t="s">
        <v>13</v>
      </c>
      <c r="O2" t="s">
        <v>15</v>
      </c>
      <c r="P2" t="s">
        <v>69</v>
      </c>
      <c r="Q2" t="s">
        <v>68</v>
      </c>
      <c r="R2" t="s">
        <v>64</v>
      </c>
      <c r="S2" t="s">
        <v>75</v>
      </c>
      <c r="T2" t="s">
        <v>72</v>
      </c>
      <c r="U2" t="s">
        <v>73</v>
      </c>
      <c r="V2" t="s">
        <v>65</v>
      </c>
      <c r="W2" t="s">
        <v>76</v>
      </c>
      <c r="X2" t="s">
        <v>63</v>
      </c>
      <c r="Y2" t="s">
        <v>74</v>
      </c>
      <c r="Z2" t="s">
        <v>67</v>
      </c>
      <c r="AA2" t="s">
        <v>66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25</v>
      </c>
      <c r="AJ2" t="s">
        <v>22</v>
      </c>
      <c r="AK2" t="s">
        <v>23</v>
      </c>
      <c r="AL2" t="s">
        <v>24</v>
      </c>
      <c r="AM2" t="s">
        <v>27</v>
      </c>
      <c r="AN2" t="s">
        <v>22</v>
      </c>
      <c r="AO2" t="s">
        <v>23</v>
      </c>
      <c r="AP2" t="s">
        <v>24</v>
      </c>
      <c r="AQ2" t="s">
        <v>27</v>
      </c>
      <c r="AR2" t="s">
        <v>23</v>
      </c>
      <c r="AS2" t="s">
        <v>24</v>
      </c>
      <c r="AT2" t="s">
        <v>27</v>
      </c>
      <c r="AU2" t="s">
        <v>24</v>
      </c>
      <c r="AV2" t="s">
        <v>27</v>
      </c>
      <c r="AW2" t="s">
        <v>27</v>
      </c>
      <c r="AX2" t="s">
        <v>21</v>
      </c>
      <c r="AY2" t="s">
        <v>29</v>
      </c>
      <c r="AZ2" t="s">
        <v>39</v>
      </c>
      <c r="BA2" t="s">
        <v>40</v>
      </c>
      <c r="BB2" t="s">
        <v>62</v>
      </c>
    </row>
    <row r="3" spans="1:54">
      <c r="A3">
        <v>0</v>
      </c>
      <c r="B3" t="s">
        <v>20</v>
      </c>
      <c r="C3" t="s">
        <v>21</v>
      </c>
      <c r="D3" t="s">
        <v>22</v>
      </c>
      <c r="E3" t="s">
        <v>20</v>
      </c>
      <c r="F3" t="s">
        <v>21</v>
      </c>
      <c r="G3" t="s">
        <v>23</v>
      </c>
      <c r="H3" s="3">
        <v>0.87163700991295101</v>
      </c>
      <c r="I3" s="3">
        <v>0.82714709277613596</v>
      </c>
      <c r="J3" s="3">
        <v>0.69909621445399095</v>
      </c>
      <c r="K3" s="3">
        <v>0.75657223870043899</v>
      </c>
      <c r="L3" s="3">
        <v>0.56891009316575702</v>
      </c>
      <c r="M3" s="3">
        <v>0.460406618924594</v>
      </c>
      <c r="N3" s="3">
        <v>0.94029850746268595</v>
      </c>
      <c r="O3" s="3">
        <v>0.60038919438899996</v>
      </c>
      <c r="P3">
        <f>IF(OR(AND($C3="linux",$D3="clang"),AND($F3="linux",$G3="clang")),1,0)</f>
        <v>0</v>
      </c>
      <c r="Q3">
        <f>IF(OR(AND($C3="linux",$D3="gcc"),AND($F3="linux",$G3="gcc")),1,0)</f>
        <v>0</v>
      </c>
      <c r="R3">
        <f>IF(OR(AND($C3="linux",$D3="go"),AND($F3="linux",$G3="go")),1,0)</f>
        <v>0</v>
      </c>
      <c r="S3">
        <f>IF(OR(AND($C3="linux",$D3="tgo"),AND($F3="linux",$G3="tgo")),1,0)</f>
        <v>0</v>
      </c>
      <c r="T3">
        <f>IF(OR(AND($C3="darwin",$D3="clang"),AND($F3="darwin",$G3="clang")),1,0)</f>
        <v>1</v>
      </c>
      <c r="U3">
        <f>IF(OR(AND($C3="darwin",$D3="gcc"),AND($F3="darwin",$G3="gcc")),1,0)</f>
        <v>1</v>
      </c>
      <c r="V3">
        <f>IF(OR(AND($C3="darwin",$D3="go"),AND($F3="darwin",$G3="go")),1,0)</f>
        <v>0</v>
      </c>
      <c r="W3">
        <f>IF(OR(AND($C3="darwin",$D3="tgo"),AND($F3="darwin",$G3="tgo")),1,0)</f>
        <v>0</v>
      </c>
      <c r="X3">
        <f>IF(OR(AND($C3="windows",$D3="clang"),AND($F3="windows",$G3="clang")),1,0)</f>
        <v>0</v>
      </c>
      <c r="Y3">
        <f>IF(OR(AND($C3="windows",$D3="gcc"),AND($F3="windows",$G3="gcc")),1,0)</f>
        <v>0</v>
      </c>
      <c r="Z3">
        <f>IF(OR(AND($C3="windows",$D3="msvc"),AND($F3="windows",$G3="msvc")),1,0)</f>
        <v>0</v>
      </c>
      <c r="AA3">
        <f>IF(OR(AND($C3="windows",$D3="go"),AND($F3="windows",$G3="go")),1,0)</f>
        <v>0</v>
      </c>
      <c r="AB3">
        <f t="shared" ref="AB3:AB66" si="0">IF(AND(AND(C3="windows",D3="clang"),AND(F3="windows",G3="clang")),1,0)</f>
        <v>0</v>
      </c>
      <c r="AC3">
        <f t="shared" ref="AC3:AC66" si="1">IF(AND(OR(D3="clang",D3="gcc",D3="msvc"),OR(G3="gcc",G3="clang",G3="msvc")),1,0)</f>
        <v>1</v>
      </c>
      <c r="AD3">
        <f t="shared" ref="AD3:AD66" si="2">IF(AND(OR(D3="go",D3="tgo"),OR(G3="go",G3="tgo")),1,0)</f>
        <v>0</v>
      </c>
      <c r="AE3">
        <f t="shared" ref="AE3:AE66" si="3">IF(AND(OR(D3="rs-pure",D3="rs-sys"),OR(G3="rs-pure",G3="rs-sys")),1,0)</f>
        <v>0</v>
      </c>
      <c r="AF3">
        <f t="shared" ref="AF3:AF66" si="4">IF(C3=F3,1,0)</f>
        <v>1</v>
      </c>
      <c r="AG3">
        <f t="shared" ref="AG3:AG66" si="5">IF(B3=E3,1,0)</f>
        <v>1</v>
      </c>
      <c r="AH3">
        <f>IF(SUM(AC3:AE3)=1,1,0)</f>
        <v>1</v>
      </c>
      <c r="AI3">
        <f>IF(OR(AND($D3=AI$1,$G3=AI$2),AND($D3=AI$2,$G3=AI$1)),1,0)</f>
        <v>0</v>
      </c>
      <c r="AJ3">
        <f t="shared" ref="AJ3:AW18" si="6">IF(OR(AND($D3=AJ$1,$G3=AJ$2),AND($D3=AJ$2,$G3=AJ$1)),1,0)</f>
        <v>0</v>
      </c>
      <c r="AK3">
        <f t="shared" si="6"/>
        <v>0</v>
      </c>
      <c r="AL3">
        <f t="shared" si="6"/>
        <v>0</v>
      </c>
      <c r="AM3">
        <f t="shared" si="6"/>
        <v>0</v>
      </c>
      <c r="AN3">
        <f t="shared" si="6"/>
        <v>0</v>
      </c>
      <c r="AO3">
        <f t="shared" si="6"/>
        <v>0</v>
      </c>
      <c r="AP3">
        <f t="shared" si="6"/>
        <v>0</v>
      </c>
      <c r="AQ3">
        <f t="shared" si="6"/>
        <v>0</v>
      </c>
      <c r="AR3">
        <f t="shared" si="6"/>
        <v>1</v>
      </c>
      <c r="AS3">
        <f t="shared" si="6"/>
        <v>0</v>
      </c>
      <c r="AT3">
        <f t="shared" si="6"/>
        <v>0</v>
      </c>
      <c r="AU3">
        <f t="shared" si="6"/>
        <v>0</v>
      </c>
      <c r="AV3">
        <f t="shared" si="6"/>
        <v>0</v>
      </c>
      <c r="AW3">
        <f t="shared" si="6"/>
        <v>0</v>
      </c>
      <c r="AX3">
        <f>IF(OR(AND($C3=AX$1,$F3=AX$2),AND($C3=AX$2,$F3=AX$1)),1,0)</f>
        <v>0</v>
      </c>
      <c r="AY3">
        <f t="shared" ref="AY3:AZ18" si="7">IF(OR(AND($C3=AY$1,$F3=AY$2),AND($C3=AY$2,$F3=AY$1)),1,0)</f>
        <v>0</v>
      </c>
      <c r="AZ3">
        <f t="shared" si="7"/>
        <v>0</v>
      </c>
      <c r="BA3">
        <f>IF(SUM(AI3:AQ3)=1,1,0)</f>
        <v>0</v>
      </c>
      <c r="BB3">
        <f>IF(OR(C3="windows",F3="windows"),1,0)</f>
        <v>0</v>
      </c>
    </row>
    <row r="4" spans="1:54">
      <c r="A4">
        <v>1</v>
      </c>
      <c r="B4" t="s">
        <v>20</v>
      </c>
      <c r="C4" t="s">
        <v>21</v>
      </c>
      <c r="D4" t="s">
        <v>22</v>
      </c>
      <c r="E4" t="s">
        <v>20</v>
      </c>
      <c r="F4" t="s">
        <v>21</v>
      </c>
      <c r="G4" t="s">
        <v>24</v>
      </c>
      <c r="H4" s="3">
        <v>2.3006215242964E-2</v>
      </c>
      <c r="I4" s="3">
        <v>2.20690637555708E-2</v>
      </c>
      <c r="J4" s="3">
        <v>1.90075307064125E-2</v>
      </c>
      <c r="K4" s="3">
        <v>2.0150651690965499E-2</v>
      </c>
      <c r="L4" s="3">
        <v>1.41696586898571E-2</v>
      </c>
      <c r="M4" s="3">
        <v>1.1019912321981301E-2</v>
      </c>
      <c r="N4" s="3">
        <v>2.4618991793669401E-2</v>
      </c>
      <c r="O4" s="3">
        <v>1.5347092762907201E-2</v>
      </c>
      <c r="P4">
        <f t="shared" ref="P4:P67" si="8">IF(OR(AND($C4="linux",$D4="clang"),AND($F4="linux",$G4="clang")),1,0)</f>
        <v>0</v>
      </c>
      <c r="Q4">
        <f t="shared" ref="Q4:Q67" si="9">IF(OR(AND($C4="linux",$D4="gcc"),AND($F4="linux",$G4="gcc")),1,0)</f>
        <v>0</v>
      </c>
      <c r="R4">
        <f t="shared" ref="R4:R67" si="10">IF(OR(AND($C4="linux",$D4="go"),AND($F4="linux",$G4="go")),1,0)</f>
        <v>0</v>
      </c>
      <c r="S4">
        <f t="shared" ref="S4:S67" si="11">IF(OR(AND($C4="linux",$D4="tgo"),AND($F4="linux",$G4="tgo")),1,0)</f>
        <v>0</v>
      </c>
      <c r="T4">
        <f t="shared" ref="T4:T67" si="12">IF(OR(AND($C4="darwin",$D4="clang"),AND($F4="darwin",$G4="clang")),1,0)</f>
        <v>1</v>
      </c>
      <c r="U4">
        <f t="shared" ref="U4:U67" si="13">IF(OR(AND($C4="darwin",$D4="gcc"),AND($F4="darwin",$G4="gcc")),1,0)</f>
        <v>0</v>
      </c>
      <c r="V4">
        <f t="shared" ref="V4:V67" si="14">IF(OR(AND($C4="darwin",$D4="go"),AND($F4="darwin",$G4="go")),1,0)</f>
        <v>1</v>
      </c>
      <c r="W4">
        <f t="shared" ref="W4:W67" si="15">IF(OR(AND($C4="darwin",$D4="tgo"),AND($F4="darwin",$G4="tgo")),1,0)</f>
        <v>0</v>
      </c>
      <c r="X4">
        <f t="shared" ref="X4:X67" si="16">IF(OR(AND($C4="windows",$D4="clang"),AND($F4="windows",$G4="clang")),1,0)</f>
        <v>0</v>
      </c>
      <c r="Y4">
        <f t="shared" ref="Y4:Y67" si="17">IF(OR(AND($C4="windows",$D4="gcc"),AND($F4="windows",$G4="gcc")),1,0)</f>
        <v>0</v>
      </c>
      <c r="Z4">
        <f t="shared" ref="Z4:Z67" si="18">IF(OR(AND($C4="windows",$D4="msvc"),AND($F4="windows",$G4="msvc")),1,0)</f>
        <v>0</v>
      </c>
      <c r="AA4">
        <f t="shared" ref="AA4:AA67" si="19">IF(OR(AND($C4="windows",$D4="go"),AND($F4="windows",$G4="go")),1,0)</f>
        <v>0</v>
      </c>
      <c r="AB4">
        <f t="shared" si="0"/>
        <v>0</v>
      </c>
      <c r="AC4">
        <f t="shared" si="1"/>
        <v>0</v>
      </c>
      <c r="AD4">
        <f t="shared" si="2"/>
        <v>0</v>
      </c>
      <c r="AE4">
        <f t="shared" si="3"/>
        <v>0</v>
      </c>
      <c r="AF4">
        <f t="shared" si="4"/>
        <v>1</v>
      </c>
      <c r="AG4">
        <f t="shared" si="5"/>
        <v>1</v>
      </c>
      <c r="AH4">
        <f t="shared" ref="AH4:AH67" si="20">IF(SUM(AC4:AE4)=1,1,0)</f>
        <v>0</v>
      </c>
      <c r="AI4">
        <f t="shared" ref="AI4:AW34" si="21">IF(OR(AND($D4=AI$1,$G4=AI$2),AND($D4=AI$2,$G4=AI$1)),1,0)</f>
        <v>0</v>
      </c>
      <c r="AJ4">
        <f t="shared" si="6"/>
        <v>0</v>
      </c>
      <c r="AK4">
        <f t="shared" si="6"/>
        <v>0</v>
      </c>
      <c r="AL4">
        <f t="shared" si="6"/>
        <v>0</v>
      </c>
      <c r="AM4">
        <f t="shared" si="6"/>
        <v>0</v>
      </c>
      <c r="AN4">
        <f t="shared" si="6"/>
        <v>0</v>
      </c>
      <c r="AO4">
        <f t="shared" si="6"/>
        <v>0</v>
      </c>
      <c r="AP4">
        <f t="shared" si="6"/>
        <v>0</v>
      </c>
      <c r="AQ4">
        <f t="shared" si="6"/>
        <v>0</v>
      </c>
      <c r="AR4">
        <f t="shared" si="6"/>
        <v>0</v>
      </c>
      <c r="AS4">
        <f t="shared" si="6"/>
        <v>1</v>
      </c>
      <c r="AT4">
        <f t="shared" si="6"/>
        <v>0</v>
      </c>
      <c r="AU4">
        <f t="shared" si="6"/>
        <v>0</v>
      </c>
      <c r="AV4">
        <f t="shared" si="6"/>
        <v>0</v>
      </c>
      <c r="AW4">
        <f t="shared" si="6"/>
        <v>0</v>
      </c>
      <c r="AX4">
        <f t="shared" ref="AX4:AZ67" si="22">IF(OR(AND($C4=AX$1,$F4=AX$2),AND($C4=AX$2,$F4=AX$1)),1,0)</f>
        <v>0</v>
      </c>
      <c r="AY4">
        <f t="shared" si="7"/>
        <v>0</v>
      </c>
      <c r="AZ4">
        <f t="shared" si="7"/>
        <v>0</v>
      </c>
      <c r="BA4">
        <f t="shared" ref="BA4:BA67" si="23">IF(SUM(AI4:AQ4)=1,1,0)</f>
        <v>0</v>
      </c>
      <c r="BB4">
        <f t="shared" ref="BB4:BB67" si="24">IF(OR(C4="windows",F4="windows"),1,0)</f>
        <v>0</v>
      </c>
    </row>
    <row r="5" spans="1:54">
      <c r="A5">
        <v>2</v>
      </c>
      <c r="B5" t="s">
        <v>20</v>
      </c>
      <c r="C5" t="s">
        <v>21</v>
      </c>
      <c r="D5" t="s">
        <v>22</v>
      </c>
      <c r="E5" t="s">
        <v>20</v>
      </c>
      <c r="F5" t="s">
        <v>21</v>
      </c>
      <c r="G5" t="s">
        <v>25</v>
      </c>
      <c r="H5" s="3">
        <v>1.7138462934718799E-2</v>
      </c>
      <c r="I5" s="3">
        <v>1.64609819645559E-2</v>
      </c>
      <c r="J5" s="3">
        <v>1.45173836361267E-2</v>
      </c>
      <c r="K5" s="3">
        <v>1.4941893364768701E-2</v>
      </c>
      <c r="L5" s="3">
        <v>1.0991524709153801E-2</v>
      </c>
      <c r="M5" s="3">
        <v>8.4790216071171792E-3</v>
      </c>
      <c r="N5" s="3">
        <v>1.84588338704951E-2</v>
      </c>
      <c r="O5" s="3">
        <v>1.17534895268949E-2</v>
      </c>
      <c r="P5">
        <f t="shared" si="8"/>
        <v>0</v>
      </c>
      <c r="Q5">
        <f t="shared" si="9"/>
        <v>0</v>
      </c>
      <c r="R5">
        <f t="shared" si="10"/>
        <v>0</v>
      </c>
      <c r="S5">
        <f t="shared" si="11"/>
        <v>0</v>
      </c>
      <c r="T5">
        <f t="shared" si="12"/>
        <v>1</v>
      </c>
      <c r="U5">
        <f t="shared" si="13"/>
        <v>0</v>
      </c>
      <c r="V5">
        <f t="shared" si="14"/>
        <v>0</v>
      </c>
      <c r="W5">
        <f t="shared" si="15"/>
        <v>0</v>
      </c>
      <c r="X5">
        <f t="shared" si="16"/>
        <v>0</v>
      </c>
      <c r="Y5">
        <f t="shared" si="17"/>
        <v>0</v>
      </c>
      <c r="Z5">
        <f t="shared" si="18"/>
        <v>0</v>
      </c>
      <c r="AA5">
        <f t="shared" si="19"/>
        <v>0</v>
      </c>
      <c r="AB5">
        <f t="shared" si="0"/>
        <v>0</v>
      </c>
      <c r="AC5">
        <f t="shared" si="1"/>
        <v>0</v>
      </c>
      <c r="AD5">
        <f t="shared" si="2"/>
        <v>0</v>
      </c>
      <c r="AE5">
        <f t="shared" si="3"/>
        <v>0</v>
      </c>
      <c r="AF5">
        <f t="shared" si="4"/>
        <v>1</v>
      </c>
      <c r="AG5">
        <f t="shared" si="5"/>
        <v>1</v>
      </c>
      <c r="AH5">
        <f t="shared" si="20"/>
        <v>0</v>
      </c>
      <c r="AI5">
        <f t="shared" si="21"/>
        <v>0</v>
      </c>
      <c r="AJ5">
        <f t="shared" si="6"/>
        <v>0</v>
      </c>
      <c r="AK5">
        <f t="shared" si="6"/>
        <v>0</v>
      </c>
      <c r="AL5">
        <f t="shared" si="6"/>
        <v>0</v>
      </c>
      <c r="AM5">
        <f t="shared" si="6"/>
        <v>0</v>
      </c>
      <c r="AN5">
        <f t="shared" si="6"/>
        <v>1</v>
      </c>
      <c r="AO5">
        <f t="shared" si="6"/>
        <v>0</v>
      </c>
      <c r="AP5">
        <f t="shared" si="6"/>
        <v>0</v>
      </c>
      <c r="AQ5">
        <f t="shared" si="6"/>
        <v>0</v>
      </c>
      <c r="AR5">
        <f t="shared" si="6"/>
        <v>0</v>
      </c>
      <c r="AS5">
        <f t="shared" si="6"/>
        <v>0</v>
      </c>
      <c r="AT5">
        <f t="shared" si="6"/>
        <v>0</v>
      </c>
      <c r="AU5">
        <f t="shared" si="6"/>
        <v>0</v>
      </c>
      <c r="AV5">
        <f t="shared" si="6"/>
        <v>0</v>
      </c>
      <c r="AW5">
        <f t="shared" si="6"/>
        <v>0</v>
      </c>
      <c r="AX5">
        <f t="shared" si="22"/>
        <v>0</v>
      </c>
      <c r="AY5">
        <f t="shared" si="7"/>
        <v>0</v>
      </c>
      <c r="AZ5">
        <f t="shared" si="7"/>
        <v>0</v>
      </c>
      <c r="BA5">
        <f t="shared" si="23"/>
        <v>1</v>
      </c>
      <c r="BB5">
        <f t="shared" si="24"/>
        <v>0</v>
      </c>
    </row>
    <row r="6" spans="1:54">
      <c r="A6">
        <v>3</v>
      </c>
      <c r="B6" t="s">
        <v>20</v>
      </c>
      <c r="C6" t="s">
        <v>21</v>
      </c>
      <c r="D6" t="s">
        <v>22</v>
      </c>
      <c r="E6" t="s">
        <v>20</v>
      </c>
      <c r="F6" t="s">
        <v>21</v>
      </c>
      <c r="G6" t="s">
        <v>26</v>
      </c>
      <c r="H6" s="3">
        <v>1.73655554558543E-2</v>
      </c>
      <c r="I6" s="3">
        <v>1.6767945857821698E-2</v>
      </c>
      <c r="J6" s="3">
        <v>1.4704665496900899E-2</v>
      </c>
      <c r="K6" s="3">
        <v>1.5291196330159899E-2</v>
      </c>
      <c r="L6" s="3">
        <v>1.1177836282118801E-2</v>
      </c>
      <c r="M6" s="3">
        <v>8.6066648410561396E-3</v>
      </c>
      <c r="N6" s="3">
        <v>1.8699910952804901E-2</v>
      </c>
      <c r="O6" s="3">
        <v>1.1920467052464599E-2</v>
      </c>
      <c r="P6">
        <f t="shared" si="8"/>
        <v>0</v>
      </c>
      <c r="Q6">
        <f t="shared" si="9"/>
        <v>0</v>
      </c>
      <c r="R6">
        <f t="shared" si="10"/>
        <v>0</v>
      </c>
      <c r="S6">
        <f t="shared" si="11"/>
        <v>0</v>
      </c>
      <c r="T6">
        <f t="shared" si="12"/>
        <v>1</v>
      </c>
      <c r="U6">
        <f t="shared" si="13"/>
        <v>0</v>
      </c>
      <c r="V6">
        <f t="shared" si="14"/>
        <v>0</v>
      </c>
      <c r="W6">
        <f t="shared" si="15"/>
        <v>0</v>
      </c>
      <c r="X6">
        <f t="shared" si="16"/>
        <v>0</v>
      </c>
      <c r="Y6">
        <f t="shared" si="17"/>
        <v>0</v>
      </c>
      <c r="Z6">
        <f t="shared" si="18"/>
        <v>0</v>
      </c>
      <c r="AA6">
        <f t="shared" si="19"/>
        <v>0</v>
      </c>
      <c r="AB6">
        <f t="shared" si="0"/>
        <v>0</v>
      </c>
      <c r="AC6">
        <f t="shared" si="1"/>
        <v>0</v>
      </c>
      <c r="AD6">
        <f t="shared" si="2"/>
        <v>0</v>
      </c>
      <c r="AE6">
        <f t="shared" si="3"/>
        <v>0</v>
      </c>
      <c r="AF6">
        <f t="shared" si="4"/>
        <v>1</v>
      </c>
      <c r="AG6">
        <f t="shared" si="5"/>
        <v>1</v>
      </c>
      <c r="AH6">
        <f t="shared" si="20"/>
        <v>0</v>
      </c>
      <c r="AI6">
        <f t="shared" si="21"/>
        <v>0</v>
      </c>
      <c r="AJ6">
        <f t="shared" si="6"/>
        <v>1</v>
      </c>
      <c r="AK6">
        <f t="shared" si="6"/>
        <v>0</v>
      </c>
      <c r="AL6">
        <f t="shared" si="6"/>
        <v>0</v>
      </c>
      <c r="AM6">
        <f t="shared" si="6"/>
        <v>0</v>
      </c>
      <c r="AN6">
        <f t="shared" si="6"/>
        <v>0</v>
      </c>
      <c r="AO6">
        <f t="shared" si="6"/>
        <v>0</v>
      </c>
      <c r="AP6">
        <f t="shared" si="6"/>
        <v>0</v>
      </c>
      <c r="AQ6">
        <f t="shared" si="6"/>
        <v>0</v>
      </c>
      <c r="AR6">
        <f t="shared" si="6"/>
        <v>0</v>
      </c>
      <c r="AS6">
        <f t="shared" si="6"/>
        <v>0</v>
      </c>
      <c r="AT6">
        <f t="shared" si="6"/>
        <v>0</v>
      </c>
      <c r="AU6">
        <f t="shared" si="6"/>
        <v>0</v>
      </c>
      <c r="AV6">
        <f t="shared" si="6"/>
        <v>0</v>
      </c>
      <c r="AW6">
        <f t="shared" si="6"/>
        <v>0</v>
      </c>
      <c r="AX6">
        <f t="shared" si="22"/>
        <v>0</v>
      </c>
      <c r="AY6">
        <f t="shared" si="7"/>
        <v>0</v>
      </c>
      <c r="AZ6">
        <f t="shared" si="7"/>
        <v>0</v>
      </c>
      <c r="BA6">
        <f t="shared" si="23"/>
        <v>1</v>
      </c>
      <c r="BB6">
        <f t="shared" si="24"/>
        <v>0</v>
      </c>
    </row>
    <row r="7" spans="1:54">
      <c r="A7">
        <v>4</v>
      </c>
      <c r="B7" t="s">
        <v>20</v>
      </c>
      <c r="C7" t="s">
        <v>21</v>
      </c>
      <c r="D7" t="s">
        <v>22</v>
      </c>
      <c r="E7" t="s">
        <v>20</v>
      </c>
      <c r="F7" t="s">
        <v>21</v>
      </c>
      <c r="G7" t="s">
        <v>27</v>
      </c>
      <c r="H7" s="3">
        <v>0.10046841581607401</v>
      </c>
      <c r="I7" s="3">
        <v>9.4549471267480797E-2</v>
      </c>
      <c r="J7" s="3">
        <v>8.1989627678993801E-2</v>
      </c>
      <c r="K7" s="3">
        <v>8.4272493967650394E-2</v>
      </c>
      <c r="L7" s="3">
        <v>6.0927420133687002E-2</v>
      </c>
      <c r="M7" s="3">
        <v>4.6253487246494598E-2</v>
      </c>
      <c r="N7" s="3">
        <v>0.109375</v>
      </c>
      <c r="O7" s="3">
        <v>6.4629110070355697E-2</v>
      </c>
      <c r="P7">
        <f t="shared" si="8"/>
        <v>0</v>
      </c>
      <c r="Q7">
        <f t="shared" si="9"/>
        <v>0</v>
      </c>
      <c r="R7">
        <f t="shared" si="10"/>
        <v>0</v>
      </c>
      <c r="S7">
        <f t="shared" si="11"/>
        <v>0</v>
      </c>
      <c r="T7">
        <f t="shared" si="12"/>
        <v>1</v>
      </c>
      <c r="U7">
        <f t="shared" si="13"/>
        <v>0</v>
      </c>
      <c r="V7">
        <f t="shared" si="14"/>
        <v>0</v>
      </c>
      <c r="W7">
        <f t="shared" si="15"/>
        <v>1</v>
      </c>
      <c r="X7">
        <f t="shared" si="16"/>
        <v>0</v>
      </c>
      <c r="Y7">
        <f t="shared" si="17"/>
        <v>0</v>
      </c>
      <c r="Z7">
        <f t="shared" si="18"/>
        <v>0</v>
      </c>
      <c r="AA7">
        <f t="shared" si="19"/>
        <v>0</v>
      </c>
      <c r="AB7">
        <f t="shared" si="0"/>
        <v>0</v>
      </c>
      <c r="AC7">
        <f t="shared" si="1"/>
        <v>0</v>
      </c>
      <c r="AD7">
        <f t="shared" si="2"/>
        <v>0</v>
      </c>
      <c r="AE7">
        <f t="shared" si="3"/>
        <v>0</v>
      </c>
      <c r="AF7">
        <f t="shared" si="4"/>
        <v>1</v>
      </c>
      <c r="AG7">
        <f t="shared" si="5"/>
        <v>1</v>
      </c>
      <c r="AH7">
        <f t="shared" si="20"/>
        <v>0</v>
      </c>
      <c r="AI7">
        <f t="shared" si="21"/>
        <v>0</v>
      </c>
      <c r="AJ7">
        <f t="shared" si="6"/>
        <v>0</v>
      </c>
      <c r="AK7">
        <f t="shared" si="6"/>
        <v>0</v>
      </c>
      <c r="AL7">
        <f t="shared" si="6"/>
        <v>0</v>
      </c>
      <c r="AM7">
        <f t="shared" si="6"/>
        <v>0</v>
      </c>
      <c r="AN7">
        <f t="shared" si="6"/>
        <v>0</v>
      </c>
      <c r="AO7">
        <f t="shared" si="6"/>
        <v>0</v>
      </c>
      <c r="AP7">
        <f t="shared" si="6"/>
        <v>0</v>
      </c>
      <c r="AQ7">
        <f t="shared" si="6"/>
        <v>0</v>
      </c>
      <c r="AR7">
        <f t="shared" si="6"/>
        <v>0</v>
      </c>
      <c r="AS7">
        <f t="shared" si="6"/>
        <v>0</v>
      </c>
      <c r="AT7">
        <f t="shared" si="6"/>
        <v>1</v>
      </c>
      <c r="AU7">
        <f t="shared" si="6"/>
        <v>0</v>
      </c>
      <c r="AV7">
        <f t="shared" si="6"/>
        <v>0</v>
      </c>
      <c r="AW7">
        <f t="shared" si="6"/>
        <v>0</v>
      </c>
      <c r="AX7">
        <f t="shared" si="22"/>
        <v>0</v>
      </c>
      <c r="AY7">
        <f t="shared" si="7"/>
        <v>0</v>
      </c>
      <c r="AZ7">
        <f t="shared" si="7"/>
        <v>0</v>
      </c>
      <c r="BA7">
        <f t="shared" si="23"/>
        <v>0</v>
      </c>
      <c r="BB7">
        <f t="shared" si="24"/>
        <v>0</v>
      </c>
    </row>
    <row r="8" spans="1:54">
      <c r="A8">
        <v>5</v>
      </c>
      <c r="B8" t="s">
        <v>20</v>
      </c>
      <c r="C8" t="s">
        <v>21</v>
      </c>
      <c r="D8" t="s">
        <v>22</v>
      </c>
      <c r="E8" t="s">
        <v>20</v>
      </c>
      <c r="F8" t="s">
        <v>28</v>
      </c>
      <c r="G8" t="s">
        <v>22</v>
      </c>
      <c r="H8" s="3">
        <v>0.86089427913026695</v>
      </c>
      <c r="I8" s="3">
        <v>0.87082812984303504</v>
      </c>
      <c r="J8" s="3">
        <v>0.800041645820044</v>
      </c>
      <c r="K8" s="3">
        <v>0.83159856834008705</v>
      </c>
      <c r="L8" s="3">
        <v>0.77961433312831596</v>
      </c>
      <c r="M8" s="3">
        <v>0.71281626789216701</v>
      </c>
      <c r="N8" s="3">
        <v>0.92647058823529405</v>
      </c>
      <c r="O8" s="3">
        <v>0.76853514429585101</v>
      </c>
      <c r="P8">
        <f t="shared" si="8"/>
        <v>1</v>
      </c>
      <c r="Q8">
        <f t="shared" si="9"/>
        <v>0</v>
      </c>
      <c r="R8">
        <f t="shared" si="10"/>
        <v>0</v>
      </c>
      <c r="S8">
        <f t="shared" si="11"/>
        <v>0</v>
      </c>
      <c r="T8">
        <f t="shared" si="12"/>
        <v>1</v>
      </c>
      <c r="U8">
        <f t="shared" si="13"/>
        <v>0</v>
      </c>
      <c r="V8">
        <f t="shared" si="14"/>
        <v>0</v>
      </c>
      <c r="W8">
        <f t="shared" si="15"/>
        <v>0</v>
      </c>
      <c r="X8">
        <f t="shared" si="16"/>
        <v>0</v>
      </c>
      <c r="Y8">
        <f t="shared" si="17"/>
        <v>0</v>
      </c>
      <c r="Z8">
        <f t="shared" si="18"/>
        <v>0</v>
      </c>
      <c r="AA8">
        <f t="shared" si="19"/>
        <v>0</v>
      </c>
      <c r="AB8">
        <f t="shared" si="0"/>
        <v>0</v>
      </c>
      <c r="AC8">
        <f t="shared" si="1"/>
        <v>1</v>
      </c>
      <c r="AD8">
        <f t="shared" si="2"/>
        <v>0</v>
      </c>
      <c r="AE8">
        <f t="shared" si="3"/>
        <v>0</v>
      </c>
      <c r="AF8">
        <f t="shared" si="4"/>
        <v>0</v>
      </c>
      <c r="AG8">
        <f t="shared" si="5"/>
        <v>1</v>
      </c>
      <c r="AH8">
        <f t="shared" si="20"/>
        <v>1</v>
      </c>
      <c r="AI8">
        <f t="shared" si="21"/>
        <v>0</v>
      </c>
      <c r="AJ8">
        <f t="shared" si="6"/>
        <v>0</v>
      </c>
      <c r="AK8">
        <f t="shared" si="6"/>
        <v>0</v>
      </c>
      <c r="AL8">
        <f t="shared" si="6"/>
        <v>0</v>
      </c>
      <c r="AM8">
        <f t="shared" si="6"/>
        <v>0</v>
      </c>
      <c r="AN8">
        <f t="shared" si="6"/>
        <v>0</v>
      </c>
      <c r="AO8">
        <f t="shared" si="6"/>
        <v>0</v>
      </c>
      <c r="AP8">
        <f t="shared" si="6"/>
        <v>0</v>
      </c>
      <c r="AQ8">
        <f t="shared" si="6"/>
        <v>0</v>
      </c>
      <c r="AR8">
        <f t="shared" si="6"/>
        <v>0</v>
      </c>
      <c r="AS8">
        <f t="shared" si="6"/>
        <v>0</v>
      </c>
      <c r="AT8">
        <f t="shared" si="6"/>
        <v>0</v>
      </c>
      <c r="AU8">
        <f t="shared" si="6"/>
        <v>0</v>
      </c>
      <c r="AV8">
        <f t="shared" si="6"/>
        <v>0</v>
      </c>
      <c r="AW8">
        <f t="shared" si="6"/>
        <v>0</v>
      </c>
      <c r="AX8">
        <f t="shared" si="22"/>
        <v>1</v>
      </c>
      <c r="AY8">
        <f t="shared" si="7"/>
        <v>0</v>
      </c>
      <c r="AZ8">
        <f t="shared" si="7"/>
        <v>0</v>
      </c>
      <c r="BA8">
        <f t="shared" si="23"/>
        <v>0</v>
      </c>
      <c r="BB8">
        <f t="shared" si="24"/>
        <v>0</v>
      </c>
    </row>
    <row r="9" spans="1:54">
      <c r="A9">
        <v>6</v>
      </c>
      <c r="B9" t="s">
        <v>20</v>
      </c>
      <c r="C9" t="s">
        <v>21</v>
      </c>
      <c r="D9" t="s">
        <v>22</v>
      </c>
      <c r="E9" t="s">
        <v>20</v>
      </c>
      <c r="F9" t="s">
        <v>28</v>
      </c>
      <c r="G9" t="s">
        <v>23</v>
      </c>
      <c r="H9" s="3">
        <v>0.75689193122995402</v>
      </c>
      <c r="I9" s="3">
        <v>0.71422022784629202</v>
      </c>
      <c r="J9" s="3">
        <v>0.60045904974634701</v>
      </c>
      <c r="K9" s="3">
        <v>0.63332270847906202</v>
      </c>
      <c r="L9" s="3">
        <v>0.48998005828192198</v>
      </c>
      <c r="M9" s="3">
        <v>0.38090811417706899</v>
      </c>
      <c r="N9" s="3">
        <v>0.84</v>
      </c>
      <c r="O9" s="3">
        <v>0.49542535265034898</v>
      </c>
      <c r="P9">
        <f t="shared" si="8"/>
        <v>0</v>
      </c>
      <c r="Q9">
        <f t="shared" si="9"/>
        <v>1</v>
      </c>
      <c r="R9">
        <f t="shared" si="10"/>
        <v>0</v>
      </c>
      <c r="S9">
        <f t="shared" si="11"/>
        <v>0</v>
      </c>
      <c r="T9">
        <f t="shared" si="12"/>
        <v>1</v>
      </c>
      <c r="U9">
        <f t="shared" si="13"/>
        <v>0</v>
      </c>
      <c r="V9">
        <f t="shared" si="14"/>
        <v>0</v>
      </c>
      <c r="W9">
        <f t="shared" si="15"/>
        <v>0</v>
      </c>
      <c r="X9">
        <f t="shared" si="16"/>
        <v>0</v>
      </c>
      <c r="Y9">
        <f t="shared" si="17"/>
        <v>0</v>
      </c>
      <c r="Z9">
        <f t="shared" si="18"/>
        <v>0</v>
      </c>
      <c r="AA9">
        <f t="shared" si="19"/>
        <v>0</v>
      </c>
      <c r="AB9">
        <f t="shared" si="0"/>
        <v>0</v>
      </c>
      <c r="AC9">
        <f t="shared" si="1"/>
        <v>1</v>
      </c>
      <c r="AD9">
        <f t="shared" si="2"/>
        <v>0</v>
      </c>
      <c r="AE9">
        <f t="shared" si="3"/>
        <v>0</v>
      </c>
      <c r="AF9">
        <f t="shared" si="4"/>
        <v>0</v>
      </c>
      <c r="AG9">
        <f t="shared" si="5"/>
        <v>1</v>
      </c>
      <c r="AH9">
        <f t="shared" si="20"/>
        <v>1</v>
      </c>
      <c r="AI9">
        <f t="shared" si="21"/>
        <v>0</v>
      </c>
      <c r="AJ9">
        <f t="shared" si="6"/>
        <v>0</v>
      </c>
      <c r="AK9">
        <f t="shared" si="6"/>
        <v>0</v>
      </c>
      <c r="AL9">
        <f t="shared" si="6"/>
        <v>0</v>
      </c>
      <c r="AM9">
        <f t="shared" si="6"/>
        <v>0</v>
      </c>
      <c r="AN9">
        <f t="shared" si="6"/>
        <v>0</v>
      </c>
      <c r="AO9">
        <f t="shared" si="6"/>
        <v>0</v>
      </c>
      <c r="AP9">
        <f t="shared" si="6"/>
        <v>0</v>
      </c>
      <c r="AQ9">
        <f t="shared" si="6"/>
        <v>0</v>
      </c>
      <c r="AR9">
        <f t="shared" si="6"/>
        <v>1</v>
      </c>
      <c r="AS9">
        <f t="shared" si="6"/>
        <v>0</v>
      </c>
      <c r="AT9">
        <f t="shared" si="6"/>
        <v>0</v>
      </c>
      <c r="AU9">
        <f t="shared" si="6"/>
        <v>0</v>
      </c>
      <c r="AV9">
        <f t="shared" si="6"/>
        <v>0</v>
      </c>
      <c r="AW9">
        <f t="shared" si="6"/>
        <v>0</v>
      </c>
      <c r="AX9">
        <f t="shared" si="22"/>
        <v>1</v>
      </c>
      <c r="AY9">
        <f t="shared" si="7"/>
        <v>0</v>
      </c>
      <c r="AZ9">
        <f t="shared" si="7"/>
        <v>0</v>
      </c>
      <c r="BA9">
        <f t="shared" si="23"/>
        <v>0</v>
      </c>
      <c r="BB9">
        <f t="shared" si="24"/>
        <v>0</v>
      </c>
    </row>
    <row r="10" spans="1:54">
      <c r="A10">
        <v>7</v>
      </c>
      <c r="B10" t="s">
        <v>20</v>
      </c>
      <c r="C10" t="s">
        <v>21</v>
      </c>
      <c r="D10" t="s">
        <v>22</v>
      </c>
      <c r="E10" t="s">
        <v>20</v>
      </c>
      <c r="F10" t="s">
        <v>28</v>
      </c>
      <c r="G10" t="s">
        <v>24</v>
      </c>
      <c r="H10" s="3">
        <v>2.2834531293711099E-2</v>
      </c>
      <c r="I10" s="3">
        <v>2.13253773311665E-2</v>
      </c>
      <c r="J10" s="3">
        <v>1.89550560979828E-2</v>
      </c>
      <c r="K10" s="3">
        <v>1.9055516140918698E-2</v>
      </c>
      <c r="L10" s="3">
        <v>1.4236759036835901E-2</v>
      </c>
      <c r="M10" s="3">
        <v>1.11066846964293E-2</v>
      </c>
      <c r="N10" s="3">
        <v>2.4494556765163201E-2</v>
      </c>
      <c r="O10" s="3">
        <v>1.53636971731262E-2</v>
      </c>
      <c r="P10">
        <f t="shared" si="8"/>
        <v>0</v>
      </c>
      <c r="Q10">
        <f t="shared" si="9"/>
        <v>0</v>
      </c>
      <c r="R10">
        <f t="shared" si="10"/>
        <v>1</v>
      </c>
      <c r="S10">
        <f t="shared" si="11"/>
        <v>0</v>
      </c>
      <c r="T10">
        <f t="shared" si="12"/>
        <v>1</v>
      </c>
      <c r="U10">
        <f t="shared" si="13"/>
        <v>0</v>
      </c>
      <c r="V10">
        <f t="shared" si="14"/>
        <v>0</v>
      </c>
      <c r="W10">
        <f t="shared" si="15"/>
        <v>0</v>
      </c>
      <c r="X10">
        <f t="shared" si="16"/>
        <v>0</v>
      </c>
      <c r="Y10">
        <f t="shared" si="17"/>
        <v>0</v>
      </c>
      <c r="Z10">
        <f t="shared" si="18"/>
        <v>0</v>
      </c>
      <c r="AA10">
        <f t="shared" si="19"/>
        <v>0</v>
      </c>
      <c r="AB10">
        <f t="shared" si="0"/>
        <v>0</v>
      </c>
      <c r="AC10">
        <f t="shared" si="1"/>
        <v>0</v>
      </c>
      <c r="AD10">
        <f t="shared" si="2"/>
        <v>0</v>
      </c>
      <c r="AE10">
        <f t="shared" si="3"/>
        <v>0</v>
      </c>
      <c r="AF10">
        <f t="shared" si="4"/>
        <v>0</v>
      </c>
      <c r="AG10">
        <f t="shared" si="5"/>
        <v>1</v>
      </c>
      <c r="AH10">
        <f t="shared" si="20"/>
        <v>0</v>
      </c>
      <c r="AI10">
        <f t="shared" si="21"/>
        <v>0</v>
      </c>
      <c r="AJ10">
        <f t="shared" si="6"/>
        <v>0</v>
      </c>
      <c r="AK10">
        <f t="shared" si="6"/>
        <v>0</v>
      </c>
      <c r="AL10">
        <f t="shared" si="6"/>
        <v>0</v>
      </c>
      <c r="AM10">
        <f t="shared" si="6"/>
        <v>0</v>
      </c>
      <c r="AN10">
        <f t="shared" si="6"/>
        <v>0</v>
      </c>
      <c r="AO10">
        <f t="shared" si="6"/>
        <v>0</v>
      </c>
      <c r="AP10">
        <f t="shared" si="6"/>
        <v>0</v>
      </c>
      <c r="AQ10">
        <f t="shared" si="6"/>
        <v>0</v>
      </c>
      <c r="AR10">
        <f t="shared" si="6"/>
        <v>0</v>
      </c>
      <c r="AS10">
        <f t="shared" si="6"/>
        <v>1</v>
      </c>
      <c r="AT10">
        <f t="shared" si="6"/>
        <v>0</v>
      </c>
      <c r="AU10">
        <f t="shared" si="6"/>
        <v>0</v>
      </c>
      <c r="AV10">
        <f t="shared" si="6"/>
        <v>0</v>
      </c>
      <c r="AW10">
        <f t="shared" si="6"/>
        <v>0</v>
      </c>
      <c r="AX10">
        <f t="shared" si="22"/>
        <v>1</v>
      </c>
      <c r="AY10">
        <f t="shared" si="7"/>
        <v>0</v>
      </c>
      <c r="AZ10">
        <f t="shared" si="7"/>
        <v>0</v>
      </c>
      <c r="BA10">
        <f t="shared" si="23"/>
        <v>0</v>
      </c>
      <c r="BB10">
        <f t="shared" si="24"/>
        <v>0</v>
      </c>
    </row>
    <row r="11" spans="1:54">
      <c r="A11">
        <v>8</v>
      </c>
      <c r="B11" t="s">
        <v>20</v>
      </c>
      <c r="C11" t="s">
        <v>21</v>
      </c>
      <c r="D11" t="s">
        <v>22</v>
      </c>
      <c r="E11" t="s">
        <v>20</v>
      </c>
      <c r="F11" t="s">
        <v>28</v>
      </c>
      <c r="G11" t="s">
        <v>25</v>
      </c>
      <c r="H11" s="3">
        <v>1.70447830984355E-2</v>
      </c>
      <c r="I11" s="3">
        <v>1.6495723536185398E-2</v>
      </c>
      <c r="J11" s="3">
        <v>1.45983475667041E-2</v>
      </c>
      <c r="K11" s="3">
        <v>1.4951958695989099E-2</v>
      </c>
      <c r="L11" s="3">
        <v>1.1102902633549599E-2</v>
      </c>
      <c r="M11" s="3">
        <v>8.7624143442017102E-3</v>
      </c>
      <c r="N11" s="3">
        <v>1.8600531443755501E-2</v>
      </c>
      <c r="O11" s="3">
        <v>1.1873762181510501E-2</v>
      </c>
      <c r="P11">
        <f t="shared" si="8"/>
        <v>0</v>
      </c>
      <c r="Q11">
        <f t="shared" si="9"/>
        <v>0</v>
      </c>
      <c r="R11">
        <f t="shared" si="10"/>
        <v>0</v>
      </c>
      <c r="S11">
        <f t="shared" si="11"/>
        <v>0</v>
      </c>
      <c r="T11">
        <f t="shared" si="12"/>
        <v>1</v>
      </c>
      <c r="U11">
        <f t="shared" si="13"/>
        <v>0</v>
      </c>
      <c r="V11">
        <f t="shared" si="14"/>
        <v>0</v>
      </c>
      <c r="W11">
        <f t="shared" si="15"/>
        <v>0</v>
      </c>
      <c r="X11">
        <f t="shared" si="16"/>
        <v>0</v>
      </c>
      <c r="Y11">
        <f t="shared" si="17"/>
        <v>0</v>
      </c>
      <c r="Z11">
        <f t="shared" si="18"/>
        <v>0</v>
      </c>
      <c r="AA11">
        <f t="shared" si="19"/>
        <v>0</v>
      </c>
      <c r="AB11">
        <f t="shared" si="0"/>
        <v>0</v>
      </c>
      <c r="AC11">
        <f t="shared" si="1"/>
        <v>0</v>
      </c>
      <c r="AD11">
        <f t="shared" si="2"/>
        <v>0</v>
      </c>
      <c r="AE11">
        <f t="shared" si="3"/>
        <v>0</v>
      </c>
      <c r="AF11">
        <f t="shared" si="4"/>
        <v>0</v>
      </c>
      <c r="AG11">
        <f t="shared" si="5"/>
        <v>1</v>
      </c>
      <c r="AH11">
        <f t="shared" si="20"/>
        <v>0</v>
      </c>
      <c r="AI11">
        <f t="shared" si="21"/>
        <v>0</v>
      </c>
      <c r="AJ11">
        <f t="shared" si="6"/>
        <v>0</v>
      </c>
      <c r="AK11">
        <f t="shared" si="6"/>
        <v>0</v>
      </c>
      <c r="AL11">
        <f t="shared" si="6"/>
        <v>0</v>
      </c>
      <c r="AM11">
        <f t="shared" si="6"/>
        <v>0</v>
      </c>
      <c r="AN11">
        <f t="shared" si="6"/>
        <v>1</v>
      </c>
      <c r="AO11">
        <f t="shared" si="6"/>
        <v>0</v>
      </c>
      <c r="AP11">
        <f t="shared" si="6"/>
        <v>0</v>
      </c>
      <c r="AQ11">
        <f t="shared" si="6"/>
        <v>0</v>
      </c>
      <c r="AR11">
        <f t="shared" si="6"/>
        <v>0</v>
      </c>
      <c r="AS11">
        <f t="shared" si="6"/>
        <v>0</v>
      </c>
      <c r="AT11">
        <f t="shared" si="6"/>
        <v>0</v>
      </c>
      <c r="AU11">
        <f t="shared" si="6"/>
        <v>0</v>
      </c>
      <c r="AV11">
        <f t="shared" si="6"/>
        <v>0</v>
      </c>
      <c r="AW11">
        <f t="shared" si="6"/>
        <v>0</v>
      </c>
      <c r="AX11">
        <f t="shared" si="22"/>
        <v>1</v>
      </c>
      <c r="AY11">
        <f t="shared" si="7"/>
        <v>0</v>
      </c>
      <c r="AZ11">
        <f t="shared" si="7"/>
        <v>0</v>
      </c>
      <c r="BA11">
        <f t="shared" si="23"/>
        <v>1</v>
      </c>
      <c r="BB11">
        <f t="shared" si="24"/>
        <v>0</v>
      </c>
    </row>
    <row r="12" spans="1:54">
      <c r="A12">
        <v>9</v>
      </c>
      <c r="B12" t="s">
        <v>20</v>
      </c>
      <c r="C12" t="s">
        <v>21</v>
      </c>
      <c r="D12" t="s">
        <v>22</v>
      </c>
      <c r="E12" t="s">
        <v>20</v>
      </c>
      <c r="F12" t="s">
        <v>28</v>
      </c>
      <c r="G12" t="s">
        <v>26</v>
      </c>
      <c r="H12" s="3">
        <v>1.7317206838994601E-2</v>
      </c>
      <c r="I12" s="3">
        <v>1.6818624071992E-2</v>
      </c>
      <c r="J12" s="3">
        <v>1.48367942213431E-2</v>
      </c>
      <c r="K12" s="3">
        <v>1.5298533625293299E-2</v>
      </c>
      <c r="L12" s="3">
        <v>1.1346477475394599E-2</v>
      </c>
      <c r="M12" s="3">
        <v>8.9785003109662202E-3</v>
      </c>
      <c r="N12" s="3">
        <v>1.8879232843871701E-2</v>
      </c>
      <c r="O12" s="3">
        <v>1.21280035317404E-2</v>
      </c>
      <c r="P12">
        <f t="shared" si="8"/>
        <v>0</v>
      </c>
      <c r="Q12">
        <f t="shared" si="9"/>
        <v>0</v>
      </c>
      <c r="R12">
        <f t="shared" si="10"/>
        <v>0</v>
      </c>
      <c r="S12">
        <f t="shared" si="11"/>
        <v>0</v>
      </c>
      <c r="T12">
        <f t="shared" si="12"/>
        <v>1</v>
      </c>
      <c r="U12">
        <f t="shared" si="13"/>
        <v>0</v>
      </c>
      <c r="V12">
        <f t="shared" si="14"/>
        <v>0</v>
      </c>
      <c r="W12">
        <f t="shared" si="15"/>
        <v>0</v>
      </c>
      <c r="X12">
        <f t="shared" si="16"/>
        <v>0</v>
      </c>
      <c r="Y12">
        <f t="shared" si="17"/>
        <v>0</v>
      </c>
      <c r="Z12">
        <f t="shared" si="18"/>
        <v>0</v>
      </c>
      <c r="AA12">
        <f t="shared" si="19"/>
        <v>0</v>
      </c>
      <c r="AB12">
        <f t="shared" si="0"/>
        <v>0</v>
      </c>
      <c r="AC12">
        <f t="shared" si="1"/>
        <v>0</v>
      </c>
      <c r="AD12">
        <f t="shared" si="2"/>
        <v>0</v>
      </c>
      <c r="AE12">
        <f t="shared" si="3"/>
        <v>0</v>
      </c>
      <c r="AF12">
        <f t="shared" si="4"/>
        <v>0</v>
      </c>
      <c r="AG12">
        <f t="shared" si="5"/>
        <v>1</v>
      </c>
      <c r="AH12">
        <f t="shared" si="20"/>
        <v>0</v>
      </c>
      <c r="AI12">
        <f t="shared" si="21"/>
        <v>0</v>
      </c>
      <c r="AJ12">
        <f t="shared" si="6"/>
        <v>1</v>
      </c>
      <c r="AK12">
        <f t="shared" si="6"/>
        <v>0</v>
      </c>
      <c r="AL12">
        <f t="shared" si="6"/>
        <v>0</v>
      </c>
      <c r="AM12">
        <f t="shared" si="6"/>
        <v>0</v>
      </c>
      <c r="AN12">
        <f t="shared" si="6"/>
        <v>0</v>
      </c>
      <c r="AO12">
        <f t="shared" si="6"/>
        <v>0</v>
      </c>
      <c r="AP12">
        <f t="shared" si="6"/>
        <v>0</v>
      </c>
      <c r="AQ12">
        <f t="shared" si="6"/>
        <v>0</v>
      </c>
      <c r="AR12">
        <f t="shared" si="6"/>
        <v>0</v>
      </c>
      <c r="AS12">
        <f t="shared" si="6"/>
        <v>0</v>
      </c>
      <c r="AT12">
        <f t="shared" si="6"/>
        <v>0</v>
      </c>
      <c r="AU12">
        <f t="shared" si="6"/>
        <v>0</v>
      </c>
      <c r="AV12">
        <f t="shared" si="6"/>
        <v>0</v>
      </c>
      <c r="AW12">
        <f t="shared" si="6"/>
        <v>0</v>
      </c>
      <c r="AX12">
        <f t="shared" si="22"/>
        <v>1</v>
      </c>
      <c r="AY12">
        <f t="shared" si="7"/>
        <v>0</v>
      </c>
      <c r="AZ12">
        <f t="shared" si="7"/>
        <v>0</v>
      </c>
      <c r="BA12">
        <f t="shared" si="23"/>
        <v>1</v>
      </c>
      <c r="BB12">
        <f t="shared" si="24"/>
        <v>0</v>
      </c>
    </row>
    <row r="13" spans="1:54">
      <c r="A13">
        <v>10</v>
      </c>
      <c r="B13" t="s">
        <v>20</v>
      </c>
      <c r="C13" t="s">
        <v>21</v>
      </c>
      <c r="D13" t="s">
        <v>22</v>
      </c>
      <c r="E13" t="s">
        <v>20</v>
      </c>
      <c r="F13" t="s">
        <v>28</v>
      </c>
      <c r="G13" t="s">
        <v>27</v>
      </c>
      <c r="H13" s="3">
        <v>8.2213811464371303E-2</v>
      </c>
      <c r="I13" s="3">
        <v>7.8161127531379201E-2</v>
      </c>
      <c r="J13" s="3">
        <v>6.6149056561631794E-2</v>
      </c>
      <c r="K13" s="3">
        <v>6.9664722163411699E-2</v>
      </c>
      <c r="L13" s="3">
        <v>4.9887323169315899E-2</v>
      </c>
      <c r="M13" s="3">
        <v>3.8262812350957201E-2</v>
      </c>
      <c r="N13" s="3">
        <v>8.98716119828816E-2</v>
      </c>
      <c r="O13" s="3">
        <v>5.1920470465000999E-2</v>
      </c>
      <c r="P13">
        <f t="shared" si="8"/>
        <v>0</v>
      </c>
      <c r="Q13">
        <f t="shared" si="9"/>
        <v>0</v>
      </c>
      <c r="R13">
        <f t="shared" si="10"/>
        <v>0</v>
      </c>
      <c r="S13">
        <f t="shared" si="11"/>
        <v>1</v>
      </c>
      <c r="T13">
        <f t="shared" si="12"/>
        <v>1</v>
      </c>
      <c r="U13">
        <f t="shared" si="13"/>
        <v>0</v>
      </c>
      <c r="V13">
        <f t="shared" si="14"/>
        <v>0</v>
      </c>
      <c r="W13">
        <f t="shared" si="15"/>
        <v>0</v>
      </c>
      <c r="X13">
        <f t="shared" si="16"/>
        <v>0</v>
      </c>
      <c r="Y13">
        <f t="shared" si="17"/>
        <v>0</v>
      </c>
      <c r="Z13">
        <f t="shared" si="18"/>
        <v>0</v>
      </c>
      <c r="AA13">
        <f t="shared" si="19"/>
        <v>0</v>
      </c>
      <c r="AB13">
        <f t="shared" si="0"/>
        <v>0</v>
      </c>
      <c r="AC13">
        <f t="shared" si="1"/>
        <v>0</v>
      </c>
      <c r="AD13">
        <f t="shared" si="2"/>
        <v>0</v>
      </c>
      <c r="AE13">
        <f t="shared" si="3"/>
        <v>0</v>
      </c>
      <c r="AF13">
        <f t="shared" si="4"/>
        <v>0</v>
      </c>
      <c r="AG13">
        <f t="shared" si="5"/>
        <v>1</v>
      </c>
      <c r="AH13">
        <f t="shared" si="20"/>
        <v>0</v>
      </c>
      <c r="AI13">
        <f t="shared" si="21"/>
        <v>0</v>
      </c>
      <c r="AJ13">
        <f t="shared" si="6"/>
        <v>0</v>
      </c>
      <c r="AK13">
        <f t="shared" si="6"/>
        <v>0</v>
      </c>
      <c r="AL13">
        <f t="shared" si="6"/>
        <v>0</v>
      </c>
      <c r="AM13">
        <f t="shared" si="6"/>
        <v>0</v>
      </c>
      <c r="AN13">
        <f t="shared" si="6"/>
        <v>0</v>
      </c>
      <c r="AO13">
        <f t="shared" si="6"/>
        <v>0</v>
      </c>
      <c r="AP13">
        <f t="shared" si="6"/>
        <v>0</v>
      </c>
      <c r="AQ13">
        <f t="shared" si="6"/>
        <v>0</v>
      </c>
      <c r="AR13">
        <f t="shared" si="6"/>
        <v>0</v>
      </c>
      <c r="AS13">
        <f t="shared" si="6"/>
        <v>0</v>
      </c>
      <c r="AT13">
        <f t="shared" si="6"/>
        <v>1</v>
      </c>
      <c r="AU13">
        <f t="shared" si="6"/>
        <v>0</v>
      </c>
      <c r="AV13">
        <f t="shared" si="6"/>
        <v>0</v>
      </c>
      <c r="AW13">
        <f t="shared" si="6"/>
        <v>0</v>
      </c>
      <c r="AX13">
        <f t="shared" si="22"/>
        <v>1</v>
      </c>
      <c r="AY13">
        <f t="shared" si="7"/>
        <v>0</v>
      </c>
      <c r="AZ13">
        <f t="shared" si="7"/>
        <v>0</v>
      </c>
      <c r="BA13">
        <f t="shared" si="23"/>
        <v>0</v>
      </c>
      <c r="BB13">
        <f t="shared" si="24"/>
        <v>0</v>
      </c>
    </row>
    <row r="14" spans="1:54">
      <c r="A14">
        <v>11</v>
      </c>
      <c r="B14" t="s">
        <v>20</v>
      </c>
      <c r="C14" t="s">
        <v>21</v>
      </c>
      <c r="D14" t="s">
        <v>22</v>
      </c>
      <c r="E14" t="s">
        <v>20</v>
      </c>
      <c r="F14" t="s">
        <v>29</v>
      </c>
      <c r="G14" t="s">
        <v>22</v>
      </c>
      <c r="H14" s="3">
        <v>2.8773254505053102E-2</v>
      </c>
      <c r="I14" s="3">
        <v>2.8485570904267399E-2</v>
      </c>
      <c r="J14" s="3">
        <v>2.55396859242456E-2</v>
      </c>
      <c r="K14" s="3">
        <v>2.7177034361979501E-2</v>
      </c>
      <c r="L14" s="3">
        <v>2.3378066203196601E-2</v>
      </c>
      <c r="M14" s="3">
        <v>2.0237612910857801E-2</v>
      </c>
      <c r="N14" s="3">
        <v>3.00285986653956E-2</v>
      </c>
      <c r="O14" s="3">
        <v>2.3403062601136702E-2</v>
      </c>
      <c r="P14">
        <f t="shared" si="8"/>
        <v>0</v>
      </c>
      <c r="Q14">
        <f t="shared" si="9"/>
        <v>0</v>
      </c>
      <c r="R14">
        <f t="shared" si="10"/>
        <v>0</v>
      </c>
      <c r="S14">
        <f t="shared" si="11"/>
        <v>0</v>
      </c>
      <c r="T14">
        <f t="shared" si="12"/>
        <v>1</v>
      </c>
      <c r="U14">
        <f t="shared" si="13"/>
        <v>0</v>
      </c>
      <c r="V14">
        <f t="shared" si="14"/>
        <v>0</v>
      </c>
      <c r="W14">
        <f t="shared" si="15"/>
        <v>0</v>
      </c>
      <c r="X14">
        <f t="shared" si="16"/>
        <v>1</v>
      </c>
      <c r="Y14">
        <f t="shared" si="17"/>
        <v>0</v>
      </c>
      <c r="Z14">
        <f t="shared" si="18"/>
        <v>0</v>
      </c>
      <c r="AA14">
        <f t="shared" si="19"/>
        <v>0</v>
      </c>
      <c r="AB14">
        <f t="shared" si="0"/>
        <v>0</v>
      </c>
      <c r="AC14">
        <f t="shared" si="1"/>
        <v>1</v>
      </c>
      <c r="AD14">
        <f t="shared" si="2"/>
        <v>0</v>
      </c>
      <c r="AE14">
        <f t="shared" si="3"/>
        <v>0</v>
      </c>
      <c r="AF14">
        <f t="shared" si="4"/>
        <v>0</v>
      </c>
      <c r="AG14">
        <f t="shared" si="5"/>
        <v>1</v>
      </c>
      <c r="AH14">
        <f t="shared" si="20"/>
        <v>1</v>
      </c>
      <c r="AI14">
        <f t="shared" si="21"/>
        <v>0</v>
      </c>
      <c r="AJ14">
        <f t="shared" si="6"/>
        <v>0</v>
      </c>
      <c r="AK14">
        <f t="shared" si="6"/>
        <v>0</v>
      </c>
      <c r="AL14">
        <f t="shared" si="6"/>
        <v>0</v>
      </c>
      <c r="AM14">
        <f t="shared" si="6"/>
        <v>0</v>
      </c>
      <c r="AN14">
        <f t="shared" si="6"/>
        <v>0</v>
      </c>
      <c r="AO14">
        <f t="shared" si="6"/>
        <v>0</v>
      </c>
      <c r="AP14">
        <f t="shared" si="6"/>
        <v>0</v>
      </c>
      <c r="AQ14">
        <f t="shared" si="6"/>
        <v>0</v>
      </c>
      <c r="AR14">
        <f t="shared" si="6"/>
        <v>0</v>
      </c>
      <c r="AS14">
        <f t="shared" si="6"/>
        <v>0</v>
      </c>
      <c r="AT14">
        <f t="shared" si="6"/>
        <v>0</v>
      </c>
      <c r="AU14">
        <f t="shared" si="6"/>
        <v>0</v>
      </c>
      <c r="AV14">
        <f t="shared" si="6"/>
        <v>0</v>
      </c>
      <c r="AW14">
        <f t="shared" si="6"/>
        <v>0</v>
      </c>
      <c r="AX14">
        <f t="shared" si="22"/>
        <v>0</v>
      </c>
      <c r="AY14">
        <f t="shared" si="7"/>
        <v>0</v>
      </c>
      <c r="AZ14">
        <f t="shared" si="7"/>
        <v>1</v>
      </c>
      <c r="BA14">
        <f t="shared" si="23"/>
        <v>0</v>
      </c>
      <c r="BB14">
        <f t="shared" si="24"/>
        <v>1</v>
      </c>
    </row>
    <row r="15" spans="1:54">
      <c r="A15">
        <v>12</v>
      </c>
      <c r="B15" t="s">
        <v>20</v>
      </c>
      <c r="C15" t="s">
        <v>21</v>
      </c>
      <c r="D15" t="s">
        <v>22</v>
      </c>
      <c r="E15" t="s">
        <v>20</v>
      </c>
      <c r="F15" t="s">
        <v>29</v>
      </c>
      <c r="G15" t="s">
        <v>23</v>
      </c>
      <c r="H15" s="3">
        <v>0.52099931744980899</v>
      </c>
      <c r="I15" s="3">
        <v>0.503869768628179</v>
      </c>
      <c r="J15" s="3">
        <v>0.41259774813573502</v>
      </c>
      <c r="K15" s="3">
        <v>0.45720916514495502</v>
      </c>
      <c r="L15" s="3">
        <v>0.33146245974497701</v>
      </c>
      <c r="M15" s="3">
        <v>0.26115797285026998</v>
      </c>
      <c r="N15" s="3">
        <v>0.56756756756756699</v>
      </c>
      <c r="O15" s="3">
        <v>0.34295379854726499</v>
      </c>
      <c r="P15">
        <f t="shared" si="8"/>
        <v>0</v>
      </c>
      <c r="Q15">
        <f t="shared" si="9"/>
        <v>0</v>
      </c>
      <c r="R15">
        <f t="shared" si="10"/>
        <v>0</v>
      </c>
      <c r="S15">
        <f t="shared" si="11"/>
        <v>0</v>
      </c>
      <c r="T15">
        <f t="shared" si="12"/>
        <v>1</v>
      </c>
      <c r="U15">
        <f t="shared" si="13"/>
        <v>0</v>
      </c>
      <c r="V15">
        <f t="shared" si="14"/>
        <v>0</v>
      </c>
      <c r="W15">
        <f t="shared" si="15"/>
        <v>0</v>
      </c>
      <c r="X15">
        <f t="shared" si="16"/>
        <v>0</v>
      </c>
      <c r="Y15">
        <f t="shared" si="17"/>
        <v>1</v>
      </c>
      <c r="Z15">
        <f t="shared" si="18"/>
        <v>0</v>
      </c>
      <c r="AA15">
        <f t="shared" si="19"/>
        <v>0</v>
      </c>
      <c r="AB15">
        <f t="shared" si="0"/>
        <v>0</v>
      </c>
      <c r="AC15">
        <f t="shared" si="1"/>
        <v>1</v>
      </c>
      <c r="AD15">
        <f t="shared" si="2"/>
        <v>0</v>
      </c>
      <c r="AE15">
        <f t="shared" si="3"/>
        <v>0</v>
      </c>
      <c r="AF15">
        <f t="shared" si="4"/>
        <v>0</v>
      </c>
      <c r="AG15">
        <f t="shared" si="5"/>
        <v>1</v>
      </c>
      <c r="AH15">
        <f t="shared" si="20"/>
        <v>1</v>
      </c>
      <c r="AI15">
        <f t="shared" si="21"/>
        <v>0</v>
      </c>
      <c r="AJ15">
        <f t="shared" si="6"/>
        <v>0</v>
      </c>
      <c r="AK15">
        <f t="shared" si="6"/>
        <v>0</v>
      </c>
      <c r="AL15">
        <f t="shared" si="6"/>
        <v>0</v>
      </c>
      <c r="AM15">
        <f t="shared" si="6"/>
        <v>0</v>
      </c>
      <c r="AN15">
        <f t="shared" si="6"/>
        <v>0</v>
      </c>
      <c r="AO15">
        <f t="shared" si="6"/>
        <v>0</v>
      </c>
      <c r="AP15">
        <f t="shared" si="6"/>
        <v>0</v>
      </c>
      <c r="AQ15">
        <f t="shared" si="6"/>
        <v>0</v>
      </c>
      <c r="AR15">
        <f t="shared" si="6"/>
        <v>1</v>
      </c>
      <c r="AS15">
        <f t="shared" si="6"/>
        <v>0</v>
      </c>
      <c r="AT15">
        <f t="shared" si="6"/>
        <v>0</v>
      </c>
      <c r="AU15">
        <f t="shared" si="6"/>
        <v>0</v>
      </c>
      <c r="AV15">
        <f t="shared" si="6"/>
        <v>0</v>
      </c>
      <c r="AW15">
        <f t="shared" si="6"/>
        <v>0</v>
      </c>
      <c r="AX15">
        <f t="shared" si="22"/>
        <v>0</v>
      </c>
      <c r="AY15">
        <f t="shared" si="7"/>
        <v>0</v>
      </c>
      <c r="AZ15">
        <f t="shared" si="7"/>
        <v>1</v>
      </c>
      <c r="BA15">
        <f t="shared" si="23"/>
        <v>0</v>
      </c>
      <c r="BB15">
        <f t="shared" si="24"/>
        <v>1</v>
      </c>
    </row>
    <row r="16" spans="1:54">
      <c r="A16">
        <v>13</v>
      </c>
      <c r="B16" t="s">
        <v>20</v>
      </c>
      <c r="C16" t="s">
        <v>21</v>
      </c>
      <c r="D16" t="s">
        <v>22</v>
      </c>
      <c r="E16" t="s">
        <v>20</v>
      </c>
      <c r="F16" t="s">
        <v>29</v>
      </c>
      <c r="G16" t="s">
        <v>24</v>
      </c>
      <c r="H16" s="3">
        <v>2.5166201298585999E-2</v>
      </c>
      <c r="I16" s="3">
        <v>2.3569778677739201E-2</v>
      </c>
      <c r="J16" s="3">
        <v>2.1335407009158602E-2</v>
      </c>
      <c r="K16" s="3">
        <v>2.1053906731750099E-2</v>
      </c>
      <c r="L16" s="3">
        <v>1.60746285750283E-2</v>
      </c>
      <c r="M16" s="3">
        <v>1.24551570507462E-2</v>
      </c>
      <c r="N16" s="3">
        <v>2.7085124677558001E-2</v>
      </c>
      <c r="O16" s="3">
        <v>1.7351445375256399E-2</v>
      </c>
      <c r="P16">
        <f t="shared" si="8"/>
        <v>0</v>
      </c>
      <c r="Q16">
        <f t="shared" si="9"/>
        <v>0</v>
      </c>
      <c r="R16">
        <f t="shared" si="10"/>
        <v>0</v>
      </c>
      <c r="S16">
        <f t="shared" si="11"/>
        <v>0</v>
      </c>
      <c r="T16">
        <f t="shared" si="12"/>
        <v>1</v>
      </c>
      <c r="U16">
        <f t="shared" si="13"/>
        <v>0</v>
      </c>
      <c r="V16">
        <f t="shared" si="14"/>
        <v>0</v>
      </c>
      <c r="W16">
        <f t="shared" si="15"/>
        <v>0</v>
      </c>
      <c r="X16">
        <f t="shared" si="16"/>
        <v>0</v>
      </c>
      <c r="Y16">
        <f t="shared" si="17"/>
        <v>0</v>
      </c>
      <c r="Z16">
        <f t="shared" si="18"/>
        <v>0</v>
      </c>
      <c r="AA16">
        <f t="shared" si="19"/>
        <v>1</v>
      </c>
      <c r="AB16">
        <f t="shared" si="0"/>
        <v>0</v>
      </c>
      <c r="AC16">
        <f t="shared" si="1"/>
        <v>0</v>
      </c>
      <c r="AD16">
        <f t="shared" si="2"/>
        <v>0</v>
      </c>
      <c r="AE16">
        <f t="shared" si="3"/>
        <v>0</v>
      </c>
      <c r="AF16">
        <f t="shared" si="4"/>
        <v>0</v>
      </c>
      <c r="AG16">
        <f t="shared" si="5"/>
        <v>1</v>
      </c>
      <c r="AH16">
        <f t="shared" si="20"/>
        <v>0</v>
      </c>
      <c r="AI16">
        <f t="shared" si="21"/>
        <v>0</v>
      </c>
      <c r="AJ16">
        <f t="shared" si="6"/>
        <v>0</v>
      </c>
      <c r="AK16">
        <f t="shared" si="6"/>
        <v>0</v>
      </c>
      <c r="AL16">
        <f t="shared" si="6"/>
        <v>0</v>
      </c>
      <c r="AM16">
        <f t="shared" si="6"/>
        <v>0</v>
      </c>
      <c r="AN16">
        <f t="shared" si="6"/>
        <v>0</v>
      </c>
      <c r="AO16">
        <f t="shared" si="6"/>
        <v>0</v>
      </c>
      <c r="AP16">
        <f t="shared" si="6"/>
        <v>0</v>
      </c>
      <c r="AQ16">
        <f t="shared" si="6"/>
        <v>0</v>
      </c>
      <c r="AR16">
        <f t="shared" si="6"/>
        <v>0</v>
      </c>
      <c r="AS16">
        <f t="shared" si="6"/>
        <v>1</v>
      </c>
      <c r="AT16">
        <f t="shared" si="6"/>
        <v>0</v>
      </c>
      <c r="AU16">
        <f t="shared" si="6"/>
        <v>0</v>
      </c>
      <c r="AV16">
        <f t="shared" si="6"/>
        <v>0</v>
      </c>
      <c r="AW16">
        <f t="shared" si="6"/>
        <v>0</v>
      </c>
      <c r="AX16">
        <f t="shared" si="22"/>
        <v>0</v>
      </c>
      <c r="AY16">
        <f t="shared" si="7"/>
        <v>0</v>
      </c>
      <c r="AZ16">
        <f t="shared" si="7"/>
        <v>1</v>
      </c>
      <c r="BA16">
        <f t="shared" si="23"/>
        <v>0</v>
      </c>
      <c r="BB16">
        <f t="shared" si="24"/>
        <v>1</v>
      </c>
    </row>
    <row r="17" spans="1:54">
      <c r="A17">
        <v>14</v>
      </c>
      <c r="B17" t="s">
        <v>20</v>
      </c>
      <c r="C17" t="s">
        <v>21</v>
      </c>
      <c r="D17" t="s">
        <v>22</v>
      </c>
      <c r="E17" t="s">
        <v>20</v>
      </c>
      <c r="F17" t="s">
        <v>29</v>
      </c>
      <c r="G17" t="s">
        <v>31</v>
      </c>
      <c r="H17" s="3">
        <v>0.43174550738391698</v>
      </c>
      <c r="I17" s="3">
        <v>0.40746949464972099</v>
      </c>
      <c r="J17" s="3">
        <v>0.345841289946341</v>
      </c>
      <c r="K17" s="3">
        <v>0.36403482894394301</v>
      </c>
      <c r="L17" s="3">
        <v>0.275570256647649</v>
      </c>
      <c r="M17" s="3">
        <v>0.21392099578495899</v>
      </c>
      <c r="N17" s="3">
        <v>0.47014925373134298</v>
      </c>
      <c r="O17" s="3">
        <v>0.28227700974019998</v>
      </c>
      <c r="P17">
        <f t="shared" si="8"/>
        <v>0</v>
      </c>
      <c r="Q17">
        <f t="shared" si="9"/>
        <v>0</v>
      </c>
      <c r="R17">
        <f t="shared" si="10"/>
        <v>0</v>
      </c>
      <c r="S17">
        <f t="shared" si="11"/>
        <v>0</v>
      </c>
      <c r="T17">
        <f t="shared" si="12"/>
        <v>1</v>
      </c>
      <c r="U17">
        <f t="shared" si="13"/>
        <v>0</v>
      </c>
      <c r="V17">
        <f t="shared" si="14"/>
        <v>0</v>
      </c>
      <c r="W17">
        <f t="shared" si="15"/>
        <v>0</v>
      </c>
      <c r="X17">
        <f t="shared" si="16"/>
        <v>0</v>
      </c>
      <c r="Y17">
        <f t="shared" si="17"/>
        <v>0</v>
      </c>
      <c r="Z17">
        <f t="shared" si="18"/>
        <v>1</v>
      </c>
      <c r="AA17">
        <f t="shared" si="19"/>
        <v>0</v>
      </c>
      <c r="AB17">
        <f t="shared" si="0"/>
        <v>0</v>
      </c>
      <c r="AC17">
        <f t="shared" si="1"/>
        <v>1</v>
      </c>
      <c r="AD17">
        <f t="shared" si="2"/>
        <v>0</v>
      </c>
      <c r="AE17">
        <f t="shared" si="3"/>
        <v>0</v>
      </c>
      <c r="AF17">
        <f t="shared" si="4"/>
        <v>0</v>
      </c>
      <c r="AG17">
        <f t="shared" si="5"/>
        <v>1</v>
      </c>
      <c r="AH17">
        <f t="shared" si="20"/>
        <v>1</v>
      </c>
      <c r="AI17">
        <f t="shared" si="21"/>
        <v>0</v>
      </c>
      <c r="AJ17">
        <f t="shared" si="6"/>
        <v>0</v>
      </c>
      <c r="AK17">
        <f t="shared" si="6"/>
        <v>0</v>
      </c>
      <c r="AL17">
        <f t="shared" si="6"/>
        <v>0</v>
      </c>
      <c r="AM17">
        <f t="shared" si="6"/>
        <v>0</v>
      </c>
      <c r="AN17">
        <f t="shared" si="6"/>
        <v>0</v>
      </c>
      <c r="AO17">
        <f t="shared" si="6"/>
        <v>0</v>
      </c>
      <c r="AP17">
        <f t="shared" si="6"/>
        <v>0</v>
      </c>
      <c r="AQ17">
        <f t="shared" si="6"/>
        <v>0</v>
      </c>
      <c r="AR17">
        <f t="shared" si="6"/>
        <v>0</v>
      </c>
      <c r="AS17">
        <f t="shared" si="6"/>
        <v>0</v>
      </c>
      <c r="AT17">
        <f t="shared" si="6"/>
        <v>0</v>
      </c>
      <c r="AU17">
        <f t="shared" si="6"/>
        <v>0</v>
      </c>
      <c r="AV17">
        <f t="shared" si="6"/>
        <v>0</v>
      </c>
      <c r="AW17">
        <f t="shared" si="6"/>
        <v>0</v>
      </c>
      <c r="AX17">
        <f t="shared" si="22"/>
        <v>0</v>
      </c>
      <c r="AY17">
        <f t="shared" si="7"/>
        <v>0</v>
      </c>
      <c r="AZ17">
        <f t="shared" si="7"/>
        <v>1</v>
      </c>
      <c r="BA17">
        <f t="shared" si="23"/>
        <v>0</v>
      </c>
      <c r="BB17">
        <f t="shared" si="24"/>
        <v>1</v>
      </c>
    </row>
    <row r="18" spans="1:54">
      <c r="A18">
        <v>15</v>
      </c>
      <c r="B18" t="s">
        <v>20</v>
      </c>
      <c r="C18" t="s">
        <v>21</v>
      </c>
      <c r="D18" t="s">
        <v>22</v>
      </c>
      <c r="E18" t="s">
        <v>20</v>
      </c>
      <c r="F18" t="s">
        <v>29</v>
      </c>
      <c r="G18" t="s">
        <v>25</v>
      </c>
      <c r="H18" s="3">
        <v>2.5757360979392599E-3</v>
      </c>
      <c r="I18" s="3">
        <v>2.47412415642978E-3</v>
      </c>
      <c r="J18" s="3">
        <v>2.21458615773318E-3</v>
      </c>
      <c r="K18" s="3">
        <v>2.2500753392345799E-3</v>
      </c>
      <c r="L18" s="3">
        <v>1.6948801319810101E-3</v>
      </c>
      <c r="M18" s="3">
        <v>1.3417920136228601E-3</v>
      </c>
      <c r="N18" s="3">
        <v>2.7671629990776098E-3</v>
      </c>
      <c r="O18" s="3">
        <v>1.8223515131921E-3</v>
      </c>
      <c r="P18">
        <f t="shared" si="8"/>
        <v>0</v>
      </c>
      <c r="Q18">
        <f t="shared" si="9"/>
        <v>0</v>
      </c>
      <c r="R18">
        <f t="shared" si="10"/>
        <v>0</v>
      </c>
      <c r="S18">
        <f t="shared" si="11"/>
        <v>0</v>
      </c>
      <c r="T18">
        <f t="shared" si="12"/>
        <v>1</v>
      </c>
      <c r="U18">
        <f t="shared" si="13"/>
        <v>0</v>
      </c>
      <c r="V18">
        <f t="shared" si="14"/>
        <v>0</v>
      </c>
      <c r="W18">
        <f t="shared" si="15"/>
        <v>0</v>
      </c>
      <c r="X18">
        <f t="shared" si="16"/>
        <v>0</v>
      </c>
      <c r="Y18">
        <f t="shared" si="17"/>
        <v>0</v>
      </c>
      <c r="Z18">
        <f t="shared" si="18"/>
        <v>0</v>
      </c>
      <c r="AA18">
        <f t="shared" si="19"/>
        <v>0</v>
      </c>
      <c r="AB18">
        <f t="shared" si="0"/>
        <v>0</v>
      </c>
      <c r="AC18">
        <f t="shared" si="1"/>
        <v>0</v>
      </c>
      <c r="AD18">
        <f t="shared" si="2"/>
        <v>0</v>
      </c>
      <c r="AE18">
        <f t="shared" si="3"/>
        <v>0</v>
      </c>
      <c r="AF18">
        <f t="shared" si="4"/>
        <v>0</v>
      </c>
      <c r="AG18">
        <f t="shared" si="5"/>
        <v>1</v>
      </c>
      <c r="AH18">
        <f t="shared" si="20"/>
        <v>0</v>
      </c>
      <c r="AI18">
        <f t="shared" si="21"/>
        <v>0</v>
      </c>
      <c r="AJ18">
        <f t="shared" si="6"/>
        <v>0</v>
      </c>
      <c r="AK18">
        <f t="shared" si="6"/>
        <v>0</v>
      </c>
      <c r="AL18">
        <f t="shared" si="6"/>
        <v>0</v>
      </c>
      <c r="AM18">
        <f t="shared" si="6"/>
        <v>0</v>
      </c>
      <c r="AN18">
        <f t="shared" si="6"/>
        <v>1</v>
      </c>
      <c r="AO18">
        <f t="shared" si="6"/>
        <v>0</v>
      </c>
      <c r="AP18">
        <f t="shared" si="6"/>
        <v>0</v>
      </c>
      <c r="AQ18">
        <f t="shared" si="6"/>
        <v>0</v>
      </c>
      <c r="AR18">
        <f t="shared" si="6"/>
        <v>0</v>
      </c>
      <c r="AS18">
        <f t="shared" si="6"/>
        <v>0</v>
      </c>
      <c r="AT18">
        <f t="shared" si="6"/>
        <v>0</v>
      </c>
      <c r="AU18">
        <f t="shared" si="6"/>
        <v>0</v>
      </c>
      <c r="AV18">
        <f t="shared" si="6"/>
        <v>0</v>
      </c>
      <c r="AW18">
        <f t="shared" si="6"/>
        <v>0</v>
      </c>
      <c r="AX18">
        <f t="shared" si="22"/>
        <v>0</v>
      </c>
      <c r="AY18">
        <f t="shared" si="7"/>
        <v>0</v>
      </c>
      <c r="AZ18">
        <f t="shared" si="7"/>
        <v>1</v>
      </c>
      <c r="BA18">
        <f t="shared" si="23"/>
        <v>1</v>
      </c>
      <c r="BB18">
        <f t="shared" si="24"/>
        <v>1</v>
      </c>
    </row>
    <row r="19" spans="1:54">
      <c r="A19">
        <v>16</v>
      </c>
      <c r="B19" t="s">
        <v>20</v>
      </c>
      <c r="C19" t="s">
        <v>21</v>
      </c>
      <c r="D19" t="s">
        <v>22</v>
      </c>
      <c r="E19" t="s">
        <v>20</v>
      </c>
      <c r="F19" t="s">
        <v>29</v>
      </c>
      <c r="G19" t="s">
        <v>26</v>
      </c>
      <c r="H19" s="3">
        <v>2.63780411364336E-3</v>
      </c>
      <c r="I19" s="3">
        <v>2.53567275346486E-3</v>
      </c>
      <c r="J19" s="3">
        <v>2.26624600638027E-3</v>
      </c>
      <c r="K19" s="3">
        <v>2.3077322808168301E-3</v>
      </c>
      <c r="L19" s="3">
        <v>1.7403173616408699E-3</v>
      </c>
      <c r="M19" s="3">
        <v>1.3773886237008299E-3</v>
      </c>
      <c r="N19" s="3">
        <v>2.8337531486145998E-3</v>
      </c>
      <c r="O19" s="3">
        <v>1.8623378001885601E-3</v>
      </c>
      <c r="P19">
        <f t="shared" si="8"/>
        <v>0</v>
      </c>
      <c r="Q19">
        <f t="shared" si="9"/>
        <v>0</v>
      </c>
      <c r="R19">
        <f t="shared" si="10"/>
        <v>0</v>
      </c>
      <c r="S19">
        <f t="shared" si="11"/>
        <v>0</v>
      </c>
      <c r="T19">
        <f t="shared" si="12"/>
        <v>1</v>
      </c>
      <c r="U19">
        <f t="shared" si="13"/>
        <v>0</v>
      </c>
      <c r="V19">
        <f t="shared" si="14"/>
        <v>0</v>
      </c>
      <c r="W19">
        <f t="shared" si="15"/>
        <v>0</v>
      </c>
      <c r="X19">
        <f t="shared" si="16"/>
        <v>0</v>
      </c>
      <c r="Y19">
        <f t="shared" si="17"/>
        <v>0</v>
      </c>
      <c r="Z19">
        <f t="shared" si="18"/>
        <v>0</v>
      </c>
      <c r="AA19">
        <f t="shared" si="19"/>
        <v>0</v>
      </c>
      <c r="AB19">
        <f t="shared" si="0"/>
        <v>0</v>
      </c>
      <c r="AC19">
        <f t="shared" si="1"/>
        <v>0</v>
      </c>
      <c r="AD19">
        <f t="shared" si="2"/>
        <v>0</v>
      </c>
      <c r="AE19">
        <f t="shared" si="3"/>
        <v>0</v>
      </c>
      <c r="AF19">
        <f t="shared" si="4"/>
        <v>0</v>
      </c>
      <c r="AG19">
        <f t="shared" si="5"/>
        <v>1</v>
      </c>
      <c r="AH19">
        <f t="shared" si="20"/>
        <v>0</v>
      </c>
      <c r="AI19">
        <f t="shared" si="21"/>
        <v>0</v>
      </c>
      <c r="AJ19">
        <f t="shared" si="21"/>
        <v>1</v>
      </c>
      <c r="AK19">
        <f t="shared" si="21"/>
        <v>0</v>
      </c>
      <c r="AL19">
        <f t="shared" si="21"/>
        <v>0</v>
      </c>
      <c r="AM19">
        <f t="shared" si="21"/>
        <v>0</v>
      </c>
      <c r="AN19">
        <f t="shared" si="21"/>
        <v>0</v>
      </c>
      <c r="AO19">
        <f t="shared" si="21"/>
        <v>0</v>
      </c>
      <c r="AP19">
        <f t="shared" si="21"/>
        <v>0</v>
      </c>
      <c r="AQ19">
        <f t="shared" si="21"/>
        <v>0</v>
      </c>
      <c r="AR19">
        <f t="shared" si="21"/>
        <v>0</v>
      </c>
      <c r="AS19">
        <f t="shared" si="21"/>
        <v>0</v>
      </c>
      <c r="AT19">
        <f t="shared" si="21"/>
        <v>0</v>
      </c>
      <c r="AU19">
        <f t="shared" si="21"/>
        <v>0</v>
      </c>
      <c r="AV19">
        <f t="shared" si="21"/>
        <v>0</v>
      </c>
      <c r="AW19">
        <f t="shared" si="21"/>
        <v>0</v>
      </c>
      <c r="AX19">
        <f t="shared" si="22"/>
        <v>0</v>
      </c>
      <c r="AY19">
        <f t="shared" si="22"/>
        <v>0</v>
      </c>
      <c r="AZ19">
        <f t="shared" si="22"/>
        <v>1</v>
      </c>
      <c r="BA19">
        <f t="shared" si="23"/>
        <v>1</v>
      </c>
      <c r="BB19">
        <f t="shared" si="24"/>
        <v>1</v>
      </c>
    </row>
    <row r="20" spans="1:54">
      <c r="A20">
        <v>17</v>
      </c>
      <c r="B20" t="s">
        <v>20</v>
      </c>
      <c r="C20" t="s">
        <v>21</v>
      </c>
      <c r="D20" t="s">
        <v>22</v>
      </c>
      <c r="E20" t="s">
        <v>30</v>
      </c>
      <c r="F20" t="s">
        <v>21</v>
      </c>
      <c r="G20" t="s">
        <v>22</v>
      </c>
      <c r="H20" s="3">
        <v>0.93800885830784297</v>
      </c>
      <c r="I20" s="3">
        <v>0.92367447984317197</v>
      </c>
      <c r="J20" s="3">
        <v>0.84931078587569897</v>
      </c>
      <c r="K20" s="3">
        <v>0.87841700457371097</v>
      </c>
      <c r="L20" s="3">
        <v>0.78545658223370196</v>
      </c>
      <c r="M20" s="3">
        <v>0.690251921644225</v>
      </c>
      <c r="N20" s="3">
        <v>0.984375</v>
      </c>
      <c r="O20" s="3">
        <v>0.80781793142108704</v>
      </c>
      <c r="P20">
        <f t="shared" si="8"/>
        <v>0</v>
      </c>
      <c r="Q20">
        <f t="shared" si="9"/>
        <v>0</v>
      </c>
      <c r="R20">
        <f t="shared" si="10"/>
        <v>0</v>
      </c>
      <c r="S20">
        <f t="shared" si="11"/>
        <v>0</v>
      </c>
      <c r="T20">
        <f t="shared" si="12"/>
        <v>1</v>
      </c>
      <c r="U20">
        <f t="shared" si="13"/>
        <v>0</v>
      </c>
      <c r="V20">
        <f t="shared" si="14"/>
        <v>0</v>
      </c>
      <c r="W20">
        <f t="shared" si="15"/>
        <v>0</v>
      </c>
      <c r="X20">
        <f t="shared" si="16"/>
        <v>0</v>
      </c>
      <c r="Y20">
        <f t="shared" si="17"/>
        <v>0</v>
      </c>
      <c r="Z20">
        <f t="shared" si="18"/>
        <v>0</v>
      </c>
      <c r="AA20">
        <f t="shared" si="19"/>
        <v>0</v>
      </c>
      <c r="AB20">
        <f t="shared" si="0"/>
        <v>0</v>
      </c>
      <c r="AC20">
        <f t="shared" si="1"/>
        <v>1</v>
      </c>
      <c r="AD20">
        <f t="shared" si="2"/>
        <v>0</v>
      </c>
      <c r="AE20">
        <f t="shared" si="3"/>
        <v>0</v>
      </c>
      <c r="AF20">
        <f t="shared" si="4"/>
        <v>1</v>
      </c>
      <c r="AG20">
        <f t="shared" si="5"/>
        <v>0</v>
      </c>
      <c r="AH20">
        <f t="shared" si="20"/>
        <v>1</v>
      </c>
      <c r="AI20">
        <f t="shared" si="21"/>
        <v>0</v>
      </c>
      <c r="AJ20">
        <f t="shared" si="21"/>
        <v>0</v>
      </c>
      <c r="AK20">
        <f t="shared" si="21"/>
        <v>0</v>
      </c>
      <c r="AL20">
        <f t="shared" si="21"/>
        <v>0</v>
      </c>
      <c r="AM20">
        <f t="shared" si="21"/>
        <v>0</v>
      </c>
      <c r="AN20">
        <f t="shared" si="21"/>
        <v>0</v>
      </c>
      <c r="AO20">
        <f t="shared" si="21"/>
        <v>0</v>
      </c>
      <c r="AP20">
        <f t="shared" si="21"/>
        <v>0</v>
      </c>
      <c r="AQ20">
        <f t="shared" si="21"/>
        <v>0</v>
      </c>
      <c r="AR20">
        <f t="shared" si="21"/>
        <v>0</v>
      </c>
      <c r="AS20">
        <f t="shared" si="21"/>
        <v>0</v>
      </c>
      <c r="AT20">
        <f t="shared" si="21"/>
        <v>0</v>
      </c>
      <c r="AU20">
        <f t="shared" si="21"/>
        <v>0</v>
      </c>
      <c r="AV20">
        <f t="shared" si="21"/>
        <v>0</v>
      </c>
      <c r="AW20">
        <f t="shared" si="21"/>
        <v>0</v>
      </c>
      <c r="AX20">
        <f t="shared" si="22"/>
        <v>0</v>
      </c>
      <c r="AY20">
        <f t="shared" si="22"/>
        <v>0</v>
      </c>
      <c r="AZ20">
        <f t="shared" si="22"/>
        <v>0</v>
      </c>
      <c r="BA20">
        <f t="shared" si="23"/>
        <v>0</v>
      </c>
      <c r="BB20">
        <f t="shared" si="24"/>
        <v>0</v>
      </c>
    </row>
    <row r="21" spans="1:54">
      <c r="A21">
        <v>18</v>
      </c>
      <c r="B21" t="s">
        <v>20</v>
      </c>
      <c r="C21" t="s">
        <v>21</v>
      </c>
      <c r="D21" t="s">
        <v>22</v>
      </c>
      <c r="E21" t="s">
        <v>30</v>
      </c>
      <c r="F21" t="s">
        <v>21</v>
      </c>
      <c r="G21" t="s">
        <v>23</v>
      </c>
      <c r="H21" s="3">
        <v>0.85614247605298499</v>
      </c>
      <c r="I21" s="3">
        <v>0.80869620372988504</v>
      </c>
      <c r="J21" s="3">
        <v>0.68434307664258798</v>
      </c>
      <c r="K21" s="3">
        <v>0.74109590773932599</v>
      </c>
      <c r="L21" s="3">
        <v>0.54958275901338505</v>
      </c>
      <c r="M21" s="3">
        <v>0.43714470267009498</v>
      </c>
      <c r="N21" s="3">
        <v>0.91304347826086896</v>
      </c>
      <c r="O21" s="3">
        <v>0.59566328437312799</v>
      </c>
      <c r="P21">
        <f t="shared" si="8"/>
        <v>0</v>
      </c>
      <c r="Q21">
        <f t="shared" si="9"/>
        <v>0</v>
      </c>
      <c r="R21">
        <f t="shared" si="10"/>
        <v>0</v>
      </c>
      <c r="S21">
        <f t="shared" si="11"/>
        <v>0</v>
      </c>
      <c r="T21">
        <f t="shared" si="12"/>
        <v>1</v>
      </c>
      <c r="U21">
        <f t="shared" si="13"/>
        <v>1</v>
      </c>
      <c r="V21">
        <f t="shared" si="14"/>
        <v>0</v>
      </c>
      <c r="W21">
        <f t="shared" si="15"/>
        <v>0</v>
      </c>
      <c r="X21">
        <f t="shared" si="16"/>
        <v>0</v>
      </c>
      <c r="Y21">
        <f t="shared" si="17"/>
        <v>0</v>
      </c>
      <c r="Z21">
        <f t="shared" si="18"/>
        <v>0</v>
      </c>
      <c r="AA21">
        <f t="shared" si="19"/>
        <v>0</v>
      </c>
      <c r="AB21">
        <f t="shared" si="0"/>
        <v>0</v>
      </c>
      <c r="AC21">
        <f t="shared" si="1"/>
        <v>1</v>
      </c>
      <c r="AD21">
        <f t="shared" si="2"/>
        <v>0</v>
      </c>
      <c r="AE21">
        <f t="shared" si="3"/>
        <v>0</v>
      </c>
      <c r="AF21">
        <f t="shared" si="4"/>
        <v>1</v>
      </c>
      <c r="AG21">
        <f t="shared" si="5"/>
        <v>0</v>
      </c>
      <c r="AH21">
        <f t="shared" si="20"/>
        <v>1</v>
      </c>
      <c r="AI21">
        <f t="shared" si="21"/>
        <v>0</v>
      </c>
      <c r="AJ21">
        <f t="shared" si="21"/>
        <v>0</v>
      </c>
      <c r="AK21">
        <f t="shared" si="21"/>
        <v>0</v>
      </c>
      <c r="AL21">
        <f t="shared" si="21"/>
        <v>0</v>
      </c>
      <c r="AM21">
        <f t="shared" si="21"/>
        <v>0</v>
      </c>
      <c r="AN21">
        <f t="shared" si="21"/>
        <v>0</v>
      </c>
      <c r="AO21">
        <f t="shared" si="21"/>
        <v>0</v>
      </c>
      <c r="AP21">
        <f t="shared" si="21"/>
        <v>0</v>
      </c>
      <c r="AQ21">
        <f t="shared" si="21"/>
        <v>0</v>
      </c>
      <c r="AR21">
        <f t="shared" si="21"/>
        <v>1</v>
      </c>
      <c r="AS21">
        <f t="shared" si="21"/>
        <v>0</v>
      </c>
      <c r="AT21">
        <f t="shared" si="21"/>
        <v>0</v>
      </c>
      <c r="AU21">
        <f t="shared" si="21"/>
        <v>0</v>
      </c>
      <c r="AV21">
        <f t="shared" si="21"/>
        <v>0</v>
      </c>
      <c r="AW21">
        <f t="shared" si="21"/>
        <v>0</v>
      </c>
      <c r="AX21">
        <f t="shared" si="22"/>
        <v>0</v>
      </c>
      <c r="AY21">
        <f t="shared" si="22"/>
        <v>0</v>
      </c>
      <c r="AZ21">
        <f t="shared" si="22"/>
        <v>0</v>
      </c>
      <c r="BA21">
        <f t="shared" si="23"/>
        <v>0</v>
      </c>
      <c r="BB21">
        <f t="shared" si="24"/>
        <v>0</v>
      </c>
    </row>
    <row r="22" spans="1:54">
      <c r="A22">
        <v>19</v>
      </c>
      <c r="B22" t="s">
        <v>20</v>
      </c>
      <c r="C22" t="s">
        <v>21</v>
      </c>
      <c r="D22" t="s">
        <v>22</v>
      </c>
      <c r="E22" t="s">
        <v>30</v>
      </c>
      <c r="F22" t="s">
        <v>21</v>
      </c>
      <c r="G22" t="s">
        <v>24</v>
      </c>
      <c r="H22" s="3">
        <v>2.3164767876490099E-2</v>
      </c>
      <c r="I22" s="3">
        <v>2.1920567541570599E-2</v>
      </c>
      <c r="J22" s="3">
        <v>1.9060560138301499E-2</v>
      </c>
      <c r="K22" s="3">
        <v>1.9664446540210202E-2</v>
      </c>
      <c r="L22" s="3">
        <v>1.39851005213766E-2</v>
      </c>
      <c r="M22" s="3">
        <v>1.0635798458062701E-2</v>
      </c>
      <c r="N22" s="3">
        <v>2.5019857029388401E-2</v>
      </c>
      <c r="O22" s="3">
        <v>1.5418412668414601E-2</v>
      </c>
      <c r="P22">
        <f t="shared" si="8"/>
        <v>0</v>
      </c>
      <c r="Q22">
        <f t="shared" si="9"/>
        <v>0</v>
      </c>
      <c r="R22">
        <f t="shared" si="10"/>
        <v>0</v>
      </c>
      <c r="S22">
        <f t="shared" si="11"/>
        <v>0</v>
      </c>
      <c r="T22">
        <f t="shared" si="12"/>
        <v>1</v>
      </c>
      <c r="U22">
        <f t="shared" si="13"/>
        <v>0</v>
      </c>
      <c r="V22">
        <f t="shared" si="14"/>
        <v>1</v>
      </c>
      <c r="W22">
        <f t="shared" si="15"/>
        <v>0</v>
      </c>
      <c r="X22">
        <f t="shared" si="16"/>
        <v>0</v>
      </c>
      <c r="Y22">
        <f t="shared" si="17"/>
        <v>0</v>
      </c>
      <c r="Z22">
        <f t="shared" si="18"/>
        <v>0</v>
      </c>
      <c r="AA22">
        <f t="shared" si="19"/>
        <v>0</v>
      </c>
      <c r="AB22">
        <f t="shared" si="0"/>
        <v>0</v>
      </c>
      <c r="AC22">
        <f t="shared" si="1"/>
        <v>0</v>
      </c>
      <c r="AD22">
        <f t="shared" si="2"/>
        <v>0</v>
      </c>
      <c r="AE22">
        <f t="shared" si="3"/>
        <v>0</v>
      </c>
      <c r="AF22">
        <f t="shared" si="4"/>
        <v>1</v>
      </c>
      <c r="AG22">
        <f t="shared" si="5"/>
        <v>0</v>
      </c>
      <c r="AH22">
        <f t="shared" si="20"/>
        <v>0</v>
      </c>
      <c r="AI22">
        <f t="shared" si="21"/>
        <v>0</v>
      </c>
      <c r="AJ22">
        <f t="shared" si="21"/>
        <v>0</v>
      </c>
      <c r="AK22">
        <f t="shared" si="21"/>
        <v>0</v>
      </c>
      <c r="AL22">
        <f t="shared" si="21"/>
        <v>0</v>
      </c>
      <c r="AM22">
        <f t="shared" si="21"/>
        <v>0</v>
      </c>
      <c r="AN22">
        <f t="shared" si="21"/>
        <v>0</v>
      </c>
      <c r="AO22">
        <f t="shared" si="21"/>
        <v>0</v>
      </c>
      <c r="AP22">
        <f t="shared" si="21"/>
        <v>0</v>
      </c>
      <c r="AQ22">
        <f t="shared" si="21"/>
        <v>0</v>
      </c>
      <c r="AR22">
        <f t="shared" si="21"/>
        <v>0</v>
      </c>
      <c r="AS22">
        <f t="shared" si="21"/>
        <v>1</v>
      </c>
      <c r="AT22">
        <f t="shared" si="21"/>
        <v>0</v>
      </c>
      <c r="AU22">
        <f t="shared" si="21"/>
        <v>0</v>
      </c>
      <c r="AV22">
        <f t="shared" si="21"/>
        <v>0</v>
      </c>
      <c r="AW22">
        <f t="shared" si="21"/>
        <v>0</v>
      </c>
      <c r="AX22">
        <f t="shared" si="22"/>
        <v>0</v>
      </c>
      <c r="AY22">
        <f t="shared" si="22"/>
        <v>0</v>
      </c>
      <c r="AZ22">
        <f t="shared" si="22"/>
        <v>0</v>
      </c>
      <c r="BA22">
        <f t="shared" si="23"/>
        <v>0</v>
      </c>
      <c r="BB22">
        <f t="shared" si="24"/>
        <v>0</v>
      </c>
    </row>
    <row r="23" spans="1:54">
      <c r="A23">
        <v>20</v>
      </c>
      <c r="B23" t="s">
        <v>20</v>
      </c>
      <c r="C23" t="s">
        <v>21</v>
      </c>
      <c r="D23" t="s">
        <v>22</v>
      </c>
      <c r="E23" t="s">
        <v>30</v>
      </c>
      <c r="F23" t="s">
        <v>21</v>
      </c>
      <c r="G23" t="s">
        <v>25</v>
      </c>
      <c r="H23" s="3">
        <v>1.74843662949213E-2</v>
      </c>
      <c r="I23" s="3">
        <v>1.68493510123933E-2</v>
      </c>
      <c r="J23" s="3">
        <v>1.4661700732352999E-2</v>
      </c>
      <c r="K23" s="3">
        <v>1.53170652715799E-2</v>
      </c>
      <c r="L23" s="3">
        <v>1.10259430626103E-2</v>
      </c>
      <c r="M23" s="3">
        <v>8.6371695342601692E-3</v>
      </c>
      <c r="N23" s="3">
        <v>1.8884892086330901E-2</v>
      </c>
      <c r="O23" s="3">
        <v>1.17580097640324E-2</v>
      </c>
      <c r="P23">
        <f t="shared" si="8"/>
        <v>0</v>
      </c>
      <c r="Q23">
        <f t="shared" si="9"/>
        <v>0</v>
      </c>
      <c r="R23">
        <f t="shared" si="10"/>
        <v>0</v>
      </c>
      <c r="S23">
        <f t="shared" si="11"/>
        <v>0</v>
      </c>
      <c r="T23">
        <f t="shared" si="12"/>
        <v>1</v>
      </c>
      <c r="U23">
        <f t="shared" si="13"/>
        <v>0</v>
      </c>
      <c r="V23">
        <f t="shared" si="14"/>
        <v>0</v>
      </c>
      <c r="W23">
        <f t="shared" si="15"/>
        <v>0</v>
      </c>
      <c r="X23">
        <f t="shared" si="16"/>
        <v>0</v>
      </c>
      <c r="Y23">
        <f t="shared" si="17"/>
        <v>0</v>
      </c>
      <c r="Z23">
        <f t="shared" si="18"/>
        <v>0</v>
      </c>
      <c r="AA23">
        <f t="shared" si="19"/>
        <v>0</v>
      </c>
      <c r="AB23">
        <f t="shared" si="0"/>
        <v>0</v>
      </c>
      <c r="AC23">
        <f t="shared" si="1"/>
        <v>0</v>
      </c>
      <c r="AD23">
        <f t="shared" si="2"/>
        <v>0</v>
      </c>
      <c r="AE23">
        <f t="shared" si="3"/>
        <v>0</v>
      </c>
      <c r="AF23">
        <f t="shared" si="4"/>
        <v>1</v>
      </c>
      <c r="AG23">
        <f t="shared" si="5"/>
        <v>0</v>
      </c>
      <c r="AH23">
        <f t="shared" si="20"/>
        <v>0</v>
      </c>
      <c r="AI23">
        <f t="shared" si="21"/>
        <v>0</v>
      </c>
      <c r="AJ23">
        <f t="shared" si="21"/>
        <v>0</v>
      </c>
      <c r="AK23">
        <f t="shared" si="21"/>
        <v>0</v>
      </c>
      <c r="AL23">
        <f t="shared" si="21"/>
        <v>0</v>
      </c>
      <c r="AM23">
        <f t="shared" si="21"/>
        <v>0</v>
      </c>
      <c r="AN23">
        <f t="shared" si="21"/>
        <v>1</v>
      </c>
      <c r="AO23">
        <f t="shared" si="21"/>
        <v>0</v>
      </c>
      <c r="AP23">
        <f t="shared" si="21"/>
        <v>0</v>
      </c>
      <c r="AQ23">
        <f t="shared" si="21"/>
        <v>0</v>
      </c>
      <c r="AR23">
        <f t="shared" si="21"/>
        <v>0</v>
      </c>
      <c r="AS23">
        <f t="shared" si="21"/>
        <v>0</v>
      </c>
      <c r="AT23">
        <f t="shared" si="21"/>
        <v>0</v>
      </c>
      <c r="AU23">
        <f t="shared" si="21"/>
        <v>0</v>
      </c>
      <c r="AV23">
        <f t="shared" si="21"/>
        <v>0</v>
      </c>
      <c r="AW23">
        <f t="shared" si="21"/>
        <v>0</v>
      </c>
      <c r="AX23">
        <f t="shared" si="22"/>
        <v>0</v>
      </c>
      <c r="AY23">
        <f t="shared" si="22"/>
        <v>0</v>
      </c>
      <c r="AZ23">
        <f t="shared" si="22"/>
        <v>0</v>
      </c>
      <c r="BA23">
        <f t="shared" si="23"/>
        <v>1</v>
      </c>
      <c r="BB23">
        <f t="shared" si="24"/>
        <v>0</v>
      </c>
    </row>
    <row r="24" spans="1:54">
      <c r="A24">
        <v>21</v>
      </c>
      <c r="B24" t="s">
        <v>20</v>
      </c>
      <c r="C24" t="s">
        <v>21</v>
      </c>
      <c r="D24" t="s">
        <v>22</v>
      </c>
      <c r="E24" t="s">
        <v>30</v>
      </c>
      <c r="F24" t="s">
        <v>21</v>
      </c>
      <c r="G24" t="s">
        <v>26</v>
      </c>
      <c r="H24" s="3">
        <v>1.7732723295911801E-2</v>
      </c>
      <c r="I24" s="3">
        <v>1.7127622097673E-2</v>
      </c>
      <c r="J24" s="3">
        <v>1.4906858735946899E-2</v>
      </c>
      <c r="K24" s="3">
        <v>1.56249234744939E-2</v>
      </c>
      <c r="L24" s="3">
        <v>1.1266585936098099E-2</v>
      </c>
      <c r="M24" s="3">
        <v>8.7908230921239401E-3</v>
      </c>
      <c r="N24" s="3">
        <v>1.91198786039453E-2</v>
      </c>
      <c r="O24" s="3">
        <v>1.19844323744734E-2</v>
      </c>
      <c r="P24">
        <f t="shared" si="8"/>
        <v>0</v>
      </c>
      <c r="Q24">
        <f t="shared" si="9"/>
        <v>0</v>
      </c>
      <c r="R24">
        <f t="shared" si="10"/>
        <v>0</v>
      </c>
      <c r="S24">
        <f t="shared" si="11"/>
        <v>0</v>
      </c>
      <c r="T24">
        <f t="shared" si="12"/>
        <v>1</v>
      </c>
      <c r="U24">
        <f t="shared" si="13"/>
        <v>0</v>
      </c>
      <c r="V24">
        <f t="shared" si="14"/>
        <v>0</v>
      </c>
      <c r="W24">
        <f t="shared" si="15"/>
        <v>0</v>
      </c>
      <c r="X24">
        <f t="shared" si="16"/>
        <v>0</v>
      </c>
      <c r="Y24">
        <f t="shared" si="17"/>
        <v>0</v>
      </c>
      <c r="Z24">
        <f t="shared" si="18"/>
        <v>0</v>
      </c>
      <c r="AA24">
        <f t="shared" si="19"/>
        <v>0</v>
      </c>
      <c r="AB24">
        <f t="shared" si="0"/>
        <v>0</v>
      </c>
      <c r="AC24">
        <f t="shared" si="1"/>
        <v>0</v>
      </c>
      <c r="AD24">
        <f t="shared" si="2"/>
        <v>0</v>
      </c>
      <c r="AE24">
        <f t="shared" si="3"/>
        <v>0</v>
      </c>
      <c r="AF24">
        <f t="shared" si="4"/>
        <v>1</v>
      </c>
      <c r="AG24">
        <f t="shared" si="5"/>
        <v>0</v>
      </c>
      <c r="AH24">
        <f t="shared" si="20"/>
        <v>0</v>
      </c>
      <c r="AI24">
        <f t="shared" si="21"/>
        <v>0</v>
      </c>
      <c r="AJ24">
        <f t="shared" si="21"/>
        <v>1</v>
      </c>
      <c r="AK24">
        <f t="shared" si="21"/>
        <v>0</v>
      </c>
      <c r="AL24">
        <f t="shared" si="21"/>
        <v>0</v>
      </c>
      <c r="AM24">
        <f t="shared" si="21"/>
        <v>0</v>
      </c>
      <c r="AN24">
        <f t="shared" si="21"/>
        <v>0</v>
      </c>
      <c r="AO24">
        <f t="shared" si="21"/>
        <v>0</v>
      </c>
      <c r="AP24">
        <f t="shared" si="21"/>
        <v>0</v>
      </c>
      <c r="AQ24">
        <f t="shared" si="21"/>
        <v>0</v>
      </c>
      <c r="AR24">
        <f t="shared" si="21"/>
        <v>0</v>
      </c>
      <c r="AS24">
        <f t="shared" si="21"/>
        <v>0</v>
      </c>
      <c r="AT24">
        <f t="shared" si="21"/>
        <v>0</v>
      </c>
      <c r="AU24">
        <f t="shared" si="21"/>
        <v>0</v>
      </c>
      <c r="AV24">
        <f t="shared" si="21"/>
        <v>0</v>
      </c>
      <c r="AW24">
        <f t="shared" si="21"/>
        <v>0</v>
      </c>
      <c r="AX24">
        <f t="shared" si="22"/>
        <v>0</v>
      </c>
      <c r="AY24">
        <f t="shared" si="22"/>
        <v>0</v>
      </c>
      <c r="AZ24">
        <f t="shared" si="22"/>
        <v>0</v>
      </c>
      <c r="BA24">
        <f t="shared" si="23"/>
        <v>1</v>
      </c>
      <c r="BB24">
        <f t="shared" si="24"/>
        <v>0</v>
      </c>
    </row>
    <row r="25" spans="1:54">
      <c r="A25">
        <v>22</v>
      </c>
      <c r="B25" t="s">
        <v>20</v>
      </c>
      <c r="C25" t="s">
        <v>21</v>
      </c>
      <c r="D25" t="s">
        <v>22</v>
      </c>
      <c r="E25" t="s">
        <v>30</v>
      </c>
      <c r="F25" t="s">
        <v>21</v>
      </c>
      <c r="G25" t="s">
        <v>27</v>
      </c>
      <c r="H25" s="3">
        <v>5.8317175241665999E-2</v>
      </c>
      <c r="I25" s="3">
        <v>5.5351725142700897E-2</v>
      </c>
      <c r="J25" s="3">
        <v>4.7296843447834698E-2</v>
      </c>
      <c r="K25" s="3">
        <v>4.9367565775521503E-2</v>
      </c>
      <c r="L25" s="3">
        <v>3.6464877767347401E-2</v>
      </c>
      <c r="M25" s="3">
        <v>2.79841768353346E-2</v>
      </c>
      <c r="N25" s="3">
        <v>6.3700707785642005E-2</v>
      </c>
      <c r="O25" s="3">
        <v>3.7141470075175702E-2</v>
      </c>
      <c r="P25">
        <f t="shared" si="8"/>
        <v>0</v>
      </c>
      <c r="Q25">
        <f t="shared" si="9"/>
        <v>0</v>
      </c>
      <c r="R25">
        <f t="shared" si="10"/>
        <v>0</v>
      </c>
      <c r="S25">
        <f t="shared" si="11"/>
        <v>0</v>
      </c>
      <c r="T25">
        <f t="shared" si="12"/>
        <v>1</v>
      </c>
      <c r="U25">
        <f t="shared" si="13"/>
        <v>0</v>
      </c>
      <c r="V25">
        <f t="shared" si="14"/>
        <v>0</v>
      </c>
      <c r="W25">
        <f t="shared" si="15"/>
        <v>1</v>
      </c>
      <c r="X25">
        <f t="shared" si="16"/>
        <v>0</v>
      </c>
      <c r="Y25">
        <f t="shared" si="17"/>
        <v>0</v>
      </c>
      <c r="Z25">
        <f t="shared" si="18"/>
        <v>0</v>
      </c>
      <c r="AA25">
        <f t="shared" si="19"/>
        <v>0</v>
      </c>
      <c r="AB25">
        <f t="shared" si="0"/>
        <v>0</v>
      </c>
      <c r="AC25">
        <f t="shared" si="1"/>
        <v>0</v>
      </c>
      <c r="AD25">
        <f t="shared" si="2"/>
        <v>0</v>
      </c>
      <c r="AE25">
        <f t="shared" si="3"/>
        <v>0</v>
      </c>
      <c r="AF25">
        <f t="shared" si="4"/>
        <v>1</v>
      </c>
      <c r="AG25">
        <f t="shared" si="5"/>
        <v>0</v>
      </c>
      <c r="AH25">
        <f t="shared" si="20"/>
        <v>0</v>
      </c>
      <c r="AI25">
        <f t="shared" si="21"/>
        <v>0</v>
      </c>
      <c r="AJ25">
        <f t="shared" si="21"/>
        <v>0</v>
      </c>
      <c r="AK25">
        <f t="shared" si="21"/>
        <v>0</v>
      </c>
      <c r="AL25">
        <f t="shared" si="21"/>
        <v>0</v>
      </c>
      <c r="AM25">
        <f t="shared" si="21"/>
        <v>0</v>
      </c>
      <c r="AN25">
        <f t="shared" si="21"/>
        <v>0</v>
      </c>
      <c r="AO25">
        <f t="shared" si="21"/>
        <v>0</v>
      </c>
      <c r="AP25">
        <f t="shared" si="21"/>
        <v>0</v>
      </c>
      <c r="AQ25">
        <f t="shared" si="21"/>
        <v>0</v>
      </c>
      <c r="AR25">
        <f t="shared" si="21"/>
        <v>0</v>
      </c>
      <c r="AS25">
        <f t="shared" si="21"/>
        <v>0</v>
      </c>
      <c r="AT25">
        <f t="shared" si="21"/>
        <v>1</v>
      </c>
      <c r="AU25">
        <f t="shared" si="21"/>
        <v>0</v>
      </c>
      <c r="AV25">
        <f t="shared" si="21"/>
        <v>0</v>
      </c>
      <c r="AW25">
        <f t="shared" si="21"/>
        <v>0</v>
      </c>
      <c r="AX25">
        <f t="shared" si="22"/>
        <v>0</v>
      </c>
      <c r="AY25">
        <f t="shared" si="22"/>
        <v>0</v>
      </c>
      <c r="AZ25">
        <f t="shared" si="22"/>
        <v>0</v>
      </c>
      <c r="BA25">
        <f t="shared" si="23"/>
        <v>0</v>
      </c>
      <c r="BB25">
        <f t="shared" si="24"/>
        <v>0</v>
      </c>
    </row>
    <row r="26" spans="1:54">
      <c r="A26">
        <v>23</v>
      </c>
      <c r="B26" t="s">
        <v>20</v>
      </c>
      <c r="C26" t="s">
        <v>21</v>
      </c>
      <c r="D26" t="s">
        <v>22</v>
      </c>
      <c r="E26" t="s">
        <v>30</v>
      </c>
      <c r="F26" t="s">
        <v>28</v>
      </c>
      <c r="G26" t="s">
        <v>22</v>
      </c>
      <c r="H26" s="3">
        <v>0.82366225110115099</v>
      </c>
      <c r="I26" s="3">
        <v>0.82622224173626801</v>
      </c>
      <c r="J26" s="3">
        <v>0.724321369165012</v>
      </c>
      <c r="K26" s="3">
        <v>0.77415469756171296</v>
      </c>
      <c r="L26" s="3">
        <v>0.65799339948795599</v>
      </c>
      <c r="M26" s="3">
        <v>0.561337250993036</v>
      </c>
      <c r="N26" s="3">
        <v>0.9</v>
      </c>
      <c r="O26" s="3">
        <v>0.67541662293801896</v>
      </c>
      <c r="P26">
        <f t="shared" si="8"/>
        <v>1</v>
      </c>
      <c r="Q26">
        <f t="shared" si="9"/>
        <v>0</v>
      </c>
      <c r="R26">
        <f t="shared" si="10"/>
        <v>0</v>
      </c>
      <c r="S26">
        <f t="shared" si="11"/>
        <v>0</v>
      </c>
      <c r="T26">
        <f t="shared" si="12"/>
        <v>1</v>
      </c>
      <c r="U26">
        <f t="shared" si="13"/>
        <v>0</v>
      </c>
      <c r="V26">
        <f t="shared" si="14"/>
        <v>0</v>
      </c>
      <c r="W26">
        <f t="shared" si="15"/>
        <v>0</v>
      </c>
      <c r="X26">
        <f t="shared" si="16"/>
        <v>0</v>
      </c>
      <c r="Y26">
        <f t="shared" si="17"/>
        <v>0</v>
      </c>
      <c r="Z26">
        <f t="shared" si="18"/>
        <v>0</v>
      </c>
      <c r="AA26">
        <f t="shared" si="19"/>
        <v>0</v>
      </c>
      <c r="AB26">
        <f t="shared" si="0"/>
        <v>0</v>
      </c>
      <c r="AC26">
        <f t="shared" si="1"/>
        <v>1</v>
      </c>
      <c r="AD26">
        <f t="shared" si="2"/>
        <v>0</v>
      </c>
      <c r="AE26">
        <f t="shared" si="3"/>
        <v>0</v>
      </c>
      <c r="AF26">
        <f t="shared" si="4"/>
        <v>0</v>
      </c>
      <c r="AG26">
        <f t="shared" si="5"/>
        <v>0</v>
      </c>
      <c r="AH26">
        <f t="shared" si="20"/>
        <v>1</v>
      </c>
      <c r="AI26">
        <f t="shared" si="21"/>
        <v>0</v>
      </c>
      <c r="AJ26">
        <f t="shared" si="21"/>
        <v>0</v>
      </c>
      <c r="AK26">
        <f t="shared" si="21"/>
        <v>0</v>
      </c>
      <c r="AL26">
        <f t="shared" si="21"/>
        <v>0</v>
      </c>
      <c r="AM26">
        <f t="shared" si="21"/>
        <v>0</v>
      </c>
      <c r="AN26">
        <f t="shared" si="21"/>
        <v>0</v>
      </c>
      <c r="AO26">
        <f t="shared" si="21"/>
        <v>0</v>
      </c>
      <c r="AP26">
        <f t="shared" si="21"/>
        <v>0</v>
      </c>
      <c r="AQ26">
        <f t="shared" si="21"/>
        <v>0</v>
      </c>
      <c r="AR26">
        <f t="shared" si="21"/>
        <v>0</v>
      </c>
      <c r="AS26">
        <f t="shared" si="21"/>
        <v>0</v>
      </c>
      <c r="AT26">
        <f t="shared" si="21"/>
        <v>0</v>
      </c>
      <c r="AU26">
        <f t="shared" si="21"/>
        <v>0</v>
      </c>
      <c r="AV26">
        <f t="shared" si="21"/>
        <v>0</v>
      </c>
      <c r="AW26">
        <f t="shared" si="21"/>
        <v>0</v>
      </c>
      <c r="AX26">
        <f t="shared" si="22"/>
        <v>1</v>
      </c>
      <c r="AY26">
        <f t="shared" si="22"/>
        <v>0</v>
      </c>
      <c r="AZ26">
        <f t="shared" si="22"/>
        <v>0</v>
      </c>
      <c r="BA26">
        <f t="shared" si="23"/>
        <v>0</v>
      </c>
      <c r="BB26">
        <f t="shared" si="24"/>
        <v>0</v>
      </c>
    </row>
    <row r="27" spans="1:54">
      <c r="A27">
        <v>24</v>
      </c>
      <c r="B27" t="s">
        <v>20</v>
      </c>
      <c r="C27" t="s">
        <v>21</v>
      </c>
      <c r="D27" t="s">
        <v>22</v>
      </c>
      <c r="E27" t="s">
        <v>30</v>
      </c>
      <c r="F27" t="s">
        <v>28</v>
      </c>
      <c r="G27" t="s">
        <v>23</v>
      </c>
      <c r="H27" s="3">
        <v>0.69401265297656101</v>
      </c>
      <c r="I27" s="3">
        <v>0.65275363998208702</v>
      </c>
      <c r="J27" s="3">
        <v>0.55498385310782306</v>
      </c>
      <c r="K27" s="3">
        <v>0.58233546742964404</v>
      </c>
      <c r="L27" s="3">
        <v>0.45068216088158702</v>
      </c>
      <c r="M27" s="3">
        <v>0.34688821168317402</v>
      </c>
      <c r="N27" s="3">
        <v>0.75903614457831303</v>
      </c>
      <c r="O27" s="3">
        <v>0.46436262942467199</v>
      </c>
      <c r="P27">
        <f t="shared" si="8"/>
        <v>0</v>
      </c>
      <c r="Q27">
        <f t="shared" si="9"/>
        <v>1</v>
      </c>
      <c r="R27">
        <f t="shared" si="10"/>
        <v>0</v>
      </c>
      <c r="S27">
        <f t="shared" si="11"/>
        <v>0</v>
      </c>
      <c r="T27">
        <f t="shared" si="12"/>
        <v>1</v>
      </c>
      <c r="U27">
        <f t="shared" si="13"/>
        <v>0</v>
      </c>
      <c r="V27">
        <f t="shared" si="14"/>
        <v>0</v>
      </c>
      <c r="W27">
        <f t="shared" si="15"/>
        <v>0</v>
      </c>
      <c r="X27">
        <f t="shared" si="16"/>
        <v>0</v>
      </c>
      <c r="Y27">
        <f t="shared" si="17"/>
        <v>0</v>
      </c>
      <c r="Z27">
        <f t="shared" si="18"/>
        <v>0</v>
      </c>
      <c r="AA27">
        <f t="shared" si="19"/>
        <v>0</v>
      </c>
      <c r="AB27">
        <f t="shared" si="0"/>
        <v>0</v>
      </c>
      <c r="AC27">
        <f t="shared" si="1"/>
        <v>1</v>
      </c>
      <c r="AD27">
        <f t="shared" si="2"/>
        <v>0</v>
      </c>
      <c r="AE27">
        <f t="shared" si="3"/>
        <v>0</v>
      </c>
      <c r="AF27">
        <f t="shared" si="4"/>
        <v>0</v>
      </c>
      <c r="AG27">
        <f t="shared" si="5"/>
        <v>0</v>
      </c>
      <c r="AH27">
        <f t="shared" si="20"/>
        <v>1</v>
      </c>
      <c r="AI27">
        <f t="shared" si="21"/>
        <v>0</v>
      </c>
      <c r="AJ27">
        <f t="shared" si="21"/>
        <v>0</v>
      </c>
      <c r="AK27">
        <f t="shared" si="21"/>
        <v>0</v>
      </c>
      <c r="AL27">
        <f t="shared" si="21"/>
        <v>0</v>
      </c>
      <c r="AM27">
        <f t="shared" si="21"/>
        <v>0</v>
      </c>
      <c r="AN27">
        <f t="shared" si="21"/>
        <v>0</v>
      </c>
      <c r="AO27">
        <f t="shared" si="21"/>
        <v>0</v>
      </c>
      <c r="AP27">
        <f t="shared" si="21"/>
        <v>0</v>
      </c>
      <c r="AQ27">
        <f t="shared" si="21"/>
        <v>0</v>
      </c>
      <c r="AR27">
        <f t="shared" si="21"/>
        <v>1</v>
      </c>
      <c r="AS27">
        <f t="shared" si="21"/>
        <v>0</v>
      </c>
      <c r="AT27">
        <f t="shared" si="21"/>
        <v>0</v>
      </c>
      <c r="AU27">
        <f t="shared" si="21"/>
        <v>0</v>
      </c>
      <c r="AV27">
        <f t="shared" si="21"/>
        <v>0</v>
      </c>
      <c r="AW27">
        <f t="shared" si="21"/>
        <v>0</v>
      </c>
      <c r="AX27">
        <f t="shared" si="22"/>
        <v>1</v>
      </c>
      <c r="AY27">
        <f t="shared" si="22"/>
        <v>0</v>
      </c>
      <c r="AZ27">
        <f t="shared" si="22"/>
        <v>0</v>
      </c>
      <c r="BA27">
        <f t="shared" si="23"/>
        <v>0</v>
      </c>
      <c r="BB27">
        <f t="shared" si="24"/>
        <v>0</v>
      </c>
    </row>
    <row r="28" spans="1:54">
      <c r="A28">
        <v>25</v>
      </c>
      <c r="B28" t="s">
        <v>20</v>
      </c>
      <c r="C28" t="s">
        <v>21</v>
      </c>
      <c r="D28" t="s">
        <v>22</v>
      </c>
      <c r="E28" t="s">
        <v>30</v>
      </c>
      <c r="F28" t="s">
        <v>28</v>
      </c>
      <c r="G28" t="s">
        <v>24</v>
      </c>
      <c r="H28" s="3">
        <v>2.32261672702582E-2</v>
      </c>
      <c r="I28" s="3">
        <v>2.1734767854942601E-2</v>
      </c>
      <c r="J28" s="3">
        <v>1.9034039322067001E-2</v>
      </c>
      <c r="K28" s="3">
        <v>1.9364711984138899E-2</v>
      </c>
      <c r="L28" s="3">
        <v>1.41300713777843E-2</v>
      </c>
      <c r="M28" s="3">
        <v>1.0937749916659001E-2</v>
      </c>
      <c r="N28" s="3">
        <v>2.5059665871121701E-2</v>
      </c>
      <c r="O28" s="3">
        <v>1.5236775831757299E-2</v>
      </c>
      <c r="P28">
        <f t="shared" si="8"/>
        <v>0</v>
      </c>
      <c r="Q28">
        <f t="shared" si="9"/>
        <v>0</v>
      </c>
      <c r="R28">
        <f t="shared" si="10"/>
        <v>1</v>
      </c>
      <c r="S28">
        <f t="shared" si="11"/>
        <v>0</v>
      </c>
      <c r="T28">
        <f t="shared" si="12"/>
        <v>1</v>
      </c>
      <c r="U28">
        <f t="shared" si="13"/>
        <v>0</v>
      </c>
      <c r="V28">
        <f t="shared" si="14"/>
        <v>0</v>
      </c>
      <c r="W28">
        <f t="shared" si="15"/>
        <v>0</v>
      </c>
      <c r="X28">
        <f t="shared" si="16"/>
        <v>0</v>
      </c>
      <c r="Y28">
        <f t="shared" si="17"/>
        <v>0</v>
      </c>
      <c r="Z28">
        <f t="shared" si="18"/>
        <v>0</v>
      </c>
      <c r="AA28">
        <f t="shared" si="19"/>
        <v>0</v>
      </c>
      <c r="AB28">
        <f t="shared" si="0"/>
        <v>0</v>
      </c>
      <c r="AC28">
        <f t="shared" si="1"/>
        <v>0</v>
      </c>
      <c r="AD28">
        <f t="shared" si="2"/>
        <v>0</v>
      </c>
      <c r="AE28">
        <f t="shared" si="3"/>
        <v>0</v>
      </c>
      <c r="AF28">
        <f t="shared" si="4"/>
        <v>0</v>
      </c>
      <c r="AG28">
        <f t="shared" si="5"/>
        <v>0</v>
      </c>
      <c r="AH28">
        <f t="shared" si="20"/>
        <v>0</v>
      </c>
      <c r="AI28">
        <f t="shared" si="21"/>
        <v>0</v>
      </c>
      <c r="AJ28">
        <f t="shared" si="21"/>
        <v>0</v>
      </c>
      <c r="AK28">
        <f t="shared" si="21"/>
        <v>0</v>
      </c>
      <c r="AL28">
        <f t="shared" si="21"/>
        <v>0</v>
      </c>
      <c r="AM28">
        <f t="shared" si="21"/>
        <v>0</v>
      </c>
      <c r="AN28">
        <f t="shared" si="21"/>
        <v>0</v>
      </c>
      <c r="AO28">
        <f t="shared" si="21"/>
        <v>0</v>
      </c>
      <c r="AP28">
        <f t="shared" si="21"/>
        <v>0</v>
      </c>
      <c r="AQ28">
        <f t="shared" si="21"/>
        <v>0</v>
      </c>
      <c r="AR28">
        <f t="shared" si="21"/>
        <v>0</v>
      </c>
      <c r="AS28">
        <f t="shared" si="21"/>
        <v>1</v>
      </c>
      <c r="AT28">
        <f t="shared" si="21"/>
        <v>0</v>
      </c>
      <c r="AU28">
        <f t="shared" si="21"/>
        <v>0</v>
      </c>
      <c r="AV28">
        <f t="shared" si="21"/>
        <v>0</v>
      </c>
      <c r="AW28">
        <f t="shared" si="21"/>
        <v>0</v>
      </c>
      <c r="AX28">
        <f t="shared" si="22"/>
        <v>1</v>
      </c>
      <c r="AY28">
        <f t="shared" si="22"/>
        <v>0</v>
      </c>
      <c r="AZ28">
        <f t="shared" si="22"/>
        <v>0</v>
      </c>
      <c r="BA28">
        <f t="shared" si="23"/>
        <v>0</v>
      </c>
      <c r="BB28">
        <f t="shared" si="24"/>
        <v>0</v>
      </c>
    </row>
    <row r="29" spans="1:54">
      <c r="A29">
        <v>26</v>
      </c>
      <c r="B29" t="s">
        <v>20</v>
      </c>
      <c r="C29" t="s">
        <v>21</v>
      </c>
      <c r="D29" t="s">
        <v>22</v>
      </c>
      <c r="E29" t="s">
        <v>30</v>
      </c>
      <c r="F29" t="s">
        <v>28</v>
      </c>
      <c r="G29" t="s">
        <v>25</v>
      </c>
      <c r="H29" s="3">
        <v>1.74046504402347E-2</v>
      </c>
      <c r="I29" s="3">
        <v>1.6585084049671898E-2</v>
      </c>
      <c r="J29" s="3">
        <v>1.4728770348043299E-2</v>
      </c>
      <c r="K29" s="3">
        <v>1.50499257973241E-2</v>
      </c>
      <c r="L29" s="3">
        <v>1.1210761022241E-2</v>
      </c>
      <c r="M29" s="3">
        <v>8.8970560573665997E-3</v>
      </c>
      <c r="N29" s="3">
        <v>1.8628030751034801E-2</v>
      </c>
      <c r="O29" s="3">
        <v>1.1929134640417701E-2</v>
      </c>
      <c r="P29">
        <f t="shared" si="8"/>
        <v>0</v>
      </c>
      <c r="Q29">
        <f t="shared" si="9"/>
        <v>0</v>
      </c>
      <c r="R29">
        <f t="shared" si="10"/>
        <v>0</v>
      </c>
      <c r="S29">
        <f t="shared" si="11"/>
        <v>0</v>
      </c>
      <c r="T29">
        <f t="shared" si="12"/>
        <v>1</v>
      </c>
      <c r="U29">
        <f t="shared" si="13"/>
        <v>0</v>
      </c>
      <c r="V29">
        <f t="shared" si="14"/>
        <v>0</v>
      </c>
      <c r="W29">
        <f t="shared" si="15"/>
        <v>0</v>
      </c>
      <c r="X29">
        <f t="shared" si="16"/>
        <v>0</v>
      </c>
      <c r="Y29">
        <f t="shared" si="17"/>
        <v>0</v>
      </c>
      <c r="Z29">
        <f t="shared" si="18"/>
        <v>0</v>
      </c>
      <c r="AA29">
        <f t="shared" si="19"/>
        <v>0</v>
      </c>
      <c r="AB29">
        <f t="shared" si="0"/>
        <v>0</v>
      </c>
      <c r="AC29">
        <f t="shared" si="1"/>
        <v>0</v>
      </c>
      <c r="AD29">
        <f t="shared" si="2"/>
        <v>0</v>
      </c>
      <c r="AE29">
        <f t="shared" si="3"/>
        <v>0</v>
      </c>
      <c r="AF29">
        <f t="shared" si="4"/>
        <v>0</v>
      </c>
      <c r="AG29">
        <f t="shared" si="5"/>
        <v>0</v>
      </c>
      <c r="AH29">
        <f t="shared" si="20"/>
        <v>0</v>
      </c>
      <c r="AI29">
        <f t="shared" si="21"/>
        <v>0</v>
      </c>
      <c r="AJ29">
        <f t="shared" si="21"/>
        <v>0</v>
      </c>
      <c r="AK29">
        <f t="shared" si="21"/>
        <v>0</v>
      </c>
      <c r="AL29">
        <f t="shared" si="21"/>
        <v>0</v>
      </c>
      <c r="AM29">
        <f t="shared" si="21"/>
        <v>0</v>
      </c>
      <c r="AN29">
        <f t="shared" si="21"/>
        <v>1</v>
      </c>
      <c r="AO29">
        <f t="shared" si="21"/>
        <v>0</v>
      </c>
      <c r="AP29">
        <f t="shared" si="21"/>
        <v>0</v>
      </c>
      <c r="AQ29">
        <f t="shared" si="21"/>
        <v>0</v>
      </c>
      <c r="AR29">
        <f t="shared" si="21"/>
        <v>0</v>
      </c>
      <c r="AS29">
        <f t="shared" si="21"/>
        <v>0</v>
      </c>
      <c r="AT29">
        <f t="shared" si="21"/>
        <v>0</v>
      </c>
      <c r="AU29">
        <f t="shared" si="21"/>
        <v>0</v>
      </c>
      <c r="AV29">
        <f t="shared" si="21"/>
        <v>0</v>
      </c>
      <c r="AW29">
        <f t="shared" si="21"/>
        <v>0</v>
      </c>
      <c r="AX29">
        <f t="shared" si="22"/>
        <v>1</v>
      </c>
      <c r="AY29">
        <f t="shared" si="22"/>
        <v>0</v>
      </c>
      <c r="AZ29">
        <f t="shared" si="22"/>
        <v>0</v>
      </c>
      <c r="BA29">
        <f t="shared" si="23"/>
        <v>1</v>
      </c>
      <c r="BB29">
        <f t="shared" si="24"/>
        <v>0</v>
      </c>
    </row>
    <row r="30" spans="1:54">
      <c r="A30">
        <v>27</v>
      </c>
      <c r="B30" t="s">
        <v>20</v>
      </c>
      <c r="C30" t="s">
        <v>21</v>
      </c>
      <c r="D30" t="s">
        <v>22</v>
      </c>
      <c r="E30" t="s">
        <v>30</v>
      </c>
      <c r="F30" t="s">
        <v>28</v>
      </c>
      <c r="G30" t="s">
        <v>26</v>
      </c>
      <c r="H30" s="3">
        <v>1.76881130829705E-2</v>
      </c>
      <c r="I30" s="3">
        <v>1.6915988503213401E-2</v>
      </c>
      <c r="J30" s="3">
        <v>1.5007003632616899E-2</v>
      </c>
      <c r="K30" s="3">
        <v>1.5410514672332299E-2</v>
      </c>
      <c r="L30" s="3">
        <v>1.14750902266636E-2</v>
      </c>
      <c r="M30" s="3">
        <v>9.0624014653988803E-3</v>
      </c>
      <c r="N30" s="3">
        <v>1.8913239267487201E-2</v>
      </c>
      <c r="O30" s="3">
        <v>1.2205964790563901E-2</v>
      </c>
      <c r="P30">
        <f t="shared" si="8"/>
        <v>0</v>
      </c>
      <c r="Q30">
        <f t="shared" si="9"/>
        <v>0</v>
      </c>
      <c r="R30">
        <f t="shared" si="10"/>
        <v>0</v>
      </c>
      <c r="S30">
        <f t="shared" si="11"/>
        <v>0</v>
      </c>
      <c r="T30">
        <f t="shared" si="12"/>
        <v>1</v>
      </c>
      <c r="U30">
        <f t="shared" si="13"/>
        <v>0</v>
      </c>
      <c r="V30">
        <f t="shared" si="14"/>
        <v>0</v>
      </c>
      <c r="W30">
        <f t="shared" si="15"/>
        <v>0</v>
      </c>
      <c r="X30">
        <f t="shared" si="16"/>
        <v>0</v>
      </c>
      <c r="Y30">
        <f t="shared" si="17"/>
        <v>0</v>
      </c>
      <c r="Z30">
        <f t="shared" si="18"/>
        <v>0</v>
      </c>
      <c r="AA30">
        <f t="shared" si="19"/>
        <v>0</v>
      </c>
      <c r="AB30">
        <f t="shared" si="0"/>
        <v>0</v>
      </c>
      <c r="AC30">
        <f t="shared" si="1"/>
        <v>0</v>
      </c>
      <c r="AD30">
        <f t="shared" si="2"/>
        <v>0</v>
      </c>
      <c r="AE30">
        <f t="shared" si="3"/>
        <v>0</v>
      </c>
      <c r="AF30">
        <f t="shared" si="4"/>
        <v>0</v>
      </c>
      <c r="AG30">
        <f t="shared" si="5"/>
        <v>0</v>
      </c>
      <c r="AH30">
        <f t="shared" si="20"/>
        <v>0</v>
      </c>
      <c r="AI30">
        <f t="shared" si="21"/>
        <v>0</v>
      </c>
      <c r="AJ30">
        <f t="shared" si="21"/>
        <v>1</v>
      </c>
      <c r="AK30">
        <f t="shared" si="21"/>
        <v>0</v>
      </c>
      <c r="AL30">
        <f t="shared" si="21"/>
        <v>0</v>
      </c>
      <c r="AM30">
        <f t="shared" si="21"/>
        <v>0</v>
      </c>
      <c r="AN30">
        <f t="shared" si="21"/>
        <v>0</v>
      </c>
      <c r="AO30">
        <f t="shared" si="21"/>
        <v>0</v>
      </c>
      <c r="AP30">
        <f t="shared" si="21"/>
        <v>0</v>
      </c>
      <c r="AQ30">
        <f t="shared" si="21"/>
        <v>0</v>
      </c>
      <c r="AR30">
        <f t="shared" si="21"/>
        <v>0</v>
      </c>
      <c r="AS30">
        <f t="shared" si="21"/>
        <v>0</v>
      </c>
      <c r="AT30">
        <f t="shared" si="21"/>
        <v>0</v>
      </c>
      <c r="AU30">
        <f t="shared" si="21"/>
        <v>0</v>
      </c>
      <c r="AV30">
        <f t="shared" si="21"/>
        <v>0</v>
      </c>
      <c r="AW30">
        <f t="shared" si="21"/>
        <v>0</v>
      </c>
      <c r="AX30">
        <f t="shared" si="22"/>
        <v>1</v>
      </c>
      <c r="AY30">
        <f t="shared" si="22"/>
        <v>0</v>
      </c>
      <c r="AZ30">
        <f t="shared" si="22"/>
        <v>0</v>
      </c>
      <c r="BA30">
        <f t="shared" si="23"/>
        <v>1</v>
      </c>
      <c r="BB30">
        <f t="shared" si="24"/>
        <v>0</v>
      </c>
    </row>
    <row r="31" spans="1:54">
      <c r="A31">
        <v>28</v>
      </c>
      <c r="B31" t="s">
        <v>20</v>
      </c>
      <c r="C31" t="s">
        <v>21</v>
      </c>
      <c r="D31" t="s">
        <v>22</v>
      </c>
      <c r="E31" t="s">
        <v>30</v>
      </c>
      <c r="F31" t="s">
        <v>28</v>
      </c>
      <c r="G31" t="s">
        <v>27</v>
      </c>
      <c r="H31" s="3">
        <v>4.8185949977445103E-2</v>
      </c>
      <c r="I31" s="3">
        <v>4.5367223594994802E-2</v>
      </c>
      <c r="J31" s="3">
        <v>3.9516775720760303E-2</v>
      </c>
      <c r="K31" s="3">
        <v>4.0644771360905899E-2</v>
      </c>
      <c r="L31" s="3">
        <v>2.9898661709076901E-2</v>
      </c>
      <c r="M31" s="3">
        <v>2.3605576561024199E-2</v>
      </c>
      <c r="N31" s="3">
        <v>5.19373454245671E-2</v>
      </c>
      <c r="O31" s="3">
        <v>3.1252409177785503E-2</v>
      </c>
      <c r="P31">
        <f t="shared" si="8"/>
        <v>0</v>
      </c>
      <c r="Q31">
        <f t="shared" si="9"/>
        <v>0</v>
      </c>
      <c r="R31">
        <f t="shared" si="10"/>
        <v>0</v>
      </c>
      <c r="S31">
        <f t="shared" si="11"/>
        <v>1</v>
      </c>
      <c r="T31">
        <f t="shared" si="12"/>
        <v>1</v>
      </c>
      <c r="U31">
        <f t="shared" si="13"/>
        <v>0</v>
      </c>
      <c r="V31">
        <f t="shared" si="14"/>
        <v>0</v>
      </c>
      <c r="W31">
        <f t="shared" si="15"/>
        <v>0</v>
      </c>
      <c r="X31">
        <f t="shared" si="16"/>
        <v>0</v>
      </c>
      <c r="Y31">
        <f t="shared" si="17"/>
        <v>0</v>
      </c>
      <c r="Z31">
        <f t="shared" si="18"/>
        <v>0</v>
      </c>
      <c r="AA31">
        <f t="shared" si="19"/>
        <v>0</v>
      </c>
      <c r="AB31">
        <f t="shared" si="0"/>
        <v>0</v>
      </c>
      <c r="AC31">
        <f t="shared" si="1"/>
        <v>0</v>
      </c>
      <c r="AD31">
        <f t="shared" si="2"/>
        <v>0</v>
      </c>
      <c r="AE31">
        <f t="shared" si="3"/>
        <v>0</v>
      </c>
      <c r="AF31">
        <f t="shared" si="4"/>
        <v>0</v>
      </c>
      <c r="AG31">
        <f t="shared" si="5"/>
        <v>0</v>
      </c>
      <c r="AH31">
        <f t="shared" si="20"/>
        <v>0</v>
      </c>
      <c r="AI31">
        <f t="shared" si="21"/>
        <v>0</v>
      </c>
      <c r="AJ31">
        <f t="shared" si="21"/>
        <v>0</v>
      </c>
      <c r="AK31">
        <f t="shared" si="21"/>
        <v>0</v>
      </c>
      <c r="AL31">
        <f t="shared" si="21"/>
        <v>0</v>
      </c>
      <c r="AM31">
        <f t="shared" si="21"/>
        <v>0</v>
      </c>
      <c r="AN31">
        <f t="shared" si="21"/>
        <v>0</v>
      </c>
      <c r="AO31">
        <f t="shared" si="21"/>
        <v>0</v>
      </c>
      <c r="AP31">
        <f t="shared" si="21"/>
        <v>0</v>
      </c>
      <c r="AQ31">
        <f t="shared" si="21"/>
        <v>0</v>
      </c>
      <c r="AR31">
        <f t="shared" si="21"/>
        <v>0</v>
      </c>
      <c r="AS31">
        <f t="shared" si="21"/>
        <v>0</v>
      </c>
      <c r="AT31">
        <f t="shared" si="21"/>
        <v>1</v>
      </c>
      <c r="AU31">
        <f t="shared" si="21"/>
        <v>0</v>
      </c>
      <c r="AV31">
        <f t="shared" si="21"/>
        <v>0</v>
      </c>
      <c r="AW31">
        <f t="shared" si="21"/>
        <v>0</v>
      </c>
      <c r="AX31">
        <f t="shared" si="22"/>
        <v>1</v>
      </c>
      <c r="AY31">
        <f t="shared" si="22"/>
        <v>0</v>
      </c>
      <c r="AZ31">
        <f t="shared" si="22"/>
        <v>0</v>
      </c>
      <c r="BA31">
        <f t="shared" si="23"/>
        <v>0</v>
      </c>
      <c r="BB31">
        <f t="shared" si="24"/>
        <v>0</v>
      </c>
    </row>
    <row r="32" spans="1:54">
      <c r="A32">
        <v>29</v>
      </c>
      <c r="B32" t="s">
        <v>20</v>
      </c>
      <c r="C32" t="s">
        <v>21</v>
      </c>
      <c r="D32" t="s">
        <v>22</v>
      </c>
      <c r="E32" t="s">
        <v>30</v>
      </c>
      <c r="F32" t="s">
        <v>29</v>
      </c>
      <c r="G32" t="s">
        <v>22</v>
      </c>
      <c r="H32" s="3">
        <v>2.2968457034146999E-2</v>
      </c>
      <c r="I32" s="3">
        <v>2.2793473012417999E-2</v>
      </c>
      <c r="J32" s="3">
        <v>1.9185937777729999E-2</v>
      </c>
      <c r="K32" s="3">
        <v>2.16196223745986E-2</v>
      </c>
      <c r="L32" s="3">
        <v>1.5959343369849999E-2</v>
      </c>
      <c r="M32" s="3">
        <v>1.25955368870361E-2</v>
      </c>
      <c r="N32" s="3">
        <v>2.4258760107816701E-2</v>
      </c>
      <c r="O32" s="3">
        <v>1.6612704944009599E-2</v>
      </c>
      <c r="P32">
        <f t="shared" si="8"/>
        <v>0</v>
      </c>
      <c r="Q32">
        <f t="shared" si="9"/>
        <v>0</v>
      </c>
      <c r="R32">
        <f t="shared" si="10"/>
        <v>0</v>
      </c>
      <c r="S32">
        <f t="shared" si="11"/>
        <v>0</v>
      </c>
      <c r="T32">
        <f t="shared" si="12"/>
        <v>1</v>
      </c>
      <c r="U32">
        <f t="shared" si="13"/>
        <v>0</v>
      </c>
      <c r="V32">
        <f t="shared" si="14"/>
        <v>0</v>
      </c>
      <c r="W32">
        <f t="shared" si="15"/>
        <v>0</v>
      </c>
      <c r="X32">
        <f t="shared" si="16"/>
        <v>1</v>
      </c>
      <c r="Y32">
        <f t="shared" si="17"/>
        <v>0</v>
      </c>
      <c r="Z32">
        <f t="shared" si="18"/>
        <v>0</v>
      </c>
      <c r="AA32">
        <f t="shared" si="19"/>
        <v>0</v>
      </c>
      <c r="AB32">
        <f t="shared" si="0"/>
        <v>0</v>
      </c>
      <c r="AC32">
        <f t="shared" si="1"/>
        <v>1</v>
      </c>
      <c r="AD32">
        <f t="shared" si="2"/>
        <v>0</v>
      </c>
      <c r="AE32">
        <f t="shared" si="3"/>
        <v>0</v>
      </c>
      <c r="AF32">
        <f t="shared" si="4"/>
        <v>0</v>
      </c>
      <c r="AG32">
        <f t="shared" si="5"/>
        <v>0</v>
      </c>
      <c r="AH32">
        <f t="shared" si="20"/>
        <v>1</v>
      </c>
      <c r="AI32">
        <f t="shared" si="21"/>
        <v>0</v>
      </c>
      <c r="AJ32">
        <f t="shared" si="21"/>
        <v>0</v>
      </c>
      <c r="AK32">
        <f t="shared" si="21"/>
        <v>0</v>
      </c>
      <c r="AL32">
        <f t="shared" si="21"/>
        <v>0</v>
      </c>
      <c r="AM32">
        <f t="shared" si="21"/>
        <v>0</v>
      </c>
      <c r="AN32">
        <f t="shared" si="21"/>
        <v>0</v>
      </c>
      <c r="AO32">
        <f t="shared" si="21"/>
        <v>0</v>
      </c>
      <c r="AP32">
        <f t="shared" si="21"/>
        <v>0</v>
      </c>
      <c r="AQ32">
        <f t="shared" si="21"/>
        <v>0</v>
      </c>
      <c r="AR32">
        <f t="shared" si="21"/>
        <v>0</v>
      </c>
      <c r="AS32">
        <f t="shared" si="21"/>
        <v>0</v>
      </c>
      <c r="AT32">
        <f t="shared" si="21"/>
        <v>0</v>
      </c>
      <c r="AU32">
        <f t="shared" si="21"/>
        <v>0</v>
      </c>
      <c r="AV32">
        <f t="shared" si="21"/>
        <v>0</v>
      </c>
      <c r="AW32">
        <f t="shared" si="21"/>
        <v>0</v>
      </c>
      <c r="AX32">
        <f t="shared" si="22"/>
        <v>0</v>
      </c>
      <c r="AY32">
        <f t="shared" si="22"/>
        <v>0</v>
      </c>
      <c r="AZ32">
        <f t="shared" si="22"/>
        <v>1</v>
      </c>
      <c r="BA32">
        <f t="shared" si="23"/>
        <v>0</v>
      </c>
      <c r="BB32">
        <f t="shared" si="24"/>
        <v>1</v>
      </c>
    </row>
    <row r="33" spans="1:54">
      <c r="A33">
        <v>30</v>
      </c>
      <c r="B33" t="s">
        <v>20</v>
      </c>
      <c r="C33" t="s">
        <v>21</v>
      </c>
      <c r="D33" t="s">
        <v>22</v>
      </c>
      <c r="E33" t="s">
        <v>30</v>
      </c>
      <c r="F33" t="s">
        <v>29</v>
      </c>
      <c r="G33" t="s">
        <v>23</v>
      </c>
      <c r="H33" s="3">
        <v>0.54492725323828095</v>
      </c>
      <c r="I33" s="3">
        <v>0.52083495935442203</v>
      </c>
      <c r="J33" s="3">
        <v>0.42976379196452702</v>
      </c>
      <c r="K33" s="3">
        <v>0.47165267366846497</v>
      </c>
      <c r="L33" s="3">
        <v>0.34375959582708399</v>
      </c>
      <c r="M33" s="3">
        <v>0.268889069195692</v>
      </c>
      <c r="N33" s="3">
        <v>0.58878504672897103</v>
      </c>
      <c r="O33" s="3">
        <v>0.362853411017594</v>
      </c>
      <c r="P33">
        <f t="shared" si="8"/>
        <v>0</v>
      </c>
      <c r="Q33">
        <f t="shared" si="9"/>
        <v>0</v>
      </c>
      <c r="R33">
        <f t="shared" si="10"/>
        <v>0</v>
      </c>
      <c r="S33">
        <f t="shared" si="11"/>
        <v>0</v>
      </c>
      <c r="T33">
        <f t="shared" si="12"/>
        <v>1</v>
      </c>
      <c r="U33">
        <f t="shared" si="13"/>
        <v>0</v>
      </c>
      <c r="V33">
        <f t="shared" si="14"/>
        <v>0</v>
      </c>
      <c r="W33">
        <f t="shared" si="15"/>
        <v>0</v>
      </c>
      <c r="X33">
        <f t="shared" si="16"/>
        <v>0</v>
      </c>
      <c r="Y33">
        <f t="shared" si="17"/>
        <v>1</v>
      </c>
      <c r="Z33">
        <f t="shared" si="18"/>
        <v>0</v>
      </c>
      <c r="AA33">
        <f t="shared" si="19"/>
        <v>0</v>
      </c>
      <c r="AB33">
        <f t="shared" si="0"/>
        <v>0</v>
      </c>
      <c r="AC33">
        <f t="shared" si="1"/>
        <v>1</v>
      </c>
      <c r="AD33">
        <f t="shared" si="2"/>
        <v>0</v>
      </c>
      <c r="AE33">
        <f t="shared" si="3"/>
        <v>0</v>
      </c>
      <c r="AF33">
        <f t="shared" si="4"/>
        <v>0</v>
      </c>
      <c r="AG33">
        <f t="shared" si="5"/>
        <v>0</v>
      </c>
      <c r="AH33">
        <f t="shared" si="20"/>
        <v>1</v>
      </c>
      <c r="AI33">
        <f t="shared" si="21"/>
        <v>0</v>
      </c>
      <c r="AJ33">
        <f t="shared" si="21"/>
        <v>0</v>
      </c>
      <c r="AK33">
        <f t="shared" si="21"/>
        <v>0</v>
      </c>
      <c r="AL33">
        <f t="shared" si="21"/>
        <v>0</v>
      </c>
      <c r="AM33">
        <f t="shared" si="21"/>
        <v>0</v>
      </c>
      <c r="AN33">
        <f t="shared" si="21"/>
        <v>0</v>
      </c>
      <c r="AO33">
        <f t="shared" si="21"/>
        <v>0</v>
      </c>
      <c r="AP33">
        <f t="shared" si="21"/>
        <v>0</v>
      </c>
      <c r="AQ33">
        <f t="shared" si="21"/>
        <v>0</v>
      </c>
      <c r="AR33">
        <f t="shared" si="21"/>
        <v>1</v>
      </c>
      <c r="AS33">
        <f t="shared" si="21"/>
        <v>0</v>
      </c>
      <c r="AT33">
        <f t="shared" si="21"/>
        <v>0</v>
      </c>
      <c r="AU33">
        <f t="shared" si="21"/>
        <v>0</v>
      </c>
      <c r="AV33">
        <f t="shared" si="21"/>
        <v>0</v>
      </c>
      <c r="AW33">
        <f t="shared" si="21"/>
        <v>0</v>
      </c>
      <c r="AX33">
        <f t="shared" si="22"/>
        <v>0</v>
      </c>
      <c r="AY33">
        <f t="shared" si="22"/>
        <v>0</v>
      </c>
      <c r="AZ33">
        <f t="shared" si="22"/>
        <v>1</v>
      </c>
      <c r="BA33">
        <f t="shared" si="23"/>
        <v>0</v>
      </c>
      <c r="BB33">
        <f t="shared" si="24"/>
        <v>1</v>
      </c>
    </row>
    <row r="34" spans="1:54">
      <c r="A34">
        <v>31</v>
      </c>
      <c r="B34" t="s">
        <v>20</v>
      </c>
      <c r="C34" t="s">
        <v>21</v>
      </c>
      <c r="D34" t="s">
        <v>22</v>
      </c>
      <c r="E34" t="s">
        <v>30</v>
      </c>
      <c r="F34" t="s">
        <v>29</v>
      </c>
      <c r="G34" t="s">
        <v>24</v>
      </c>
      <c r="H34" s="3">
        <v>3.3605722246854999E-2</v>
      </c>
      <c r="I34" s="3">
        <v>3.1377263596295002E-2</v>
      </c>
      <c r="J34" s="3">
        <v>2.7897107773166199E-2</v>
      </c>
      <c r="K34" s="3">
        <v>2.79656525812471E-2</v>
      </c>
      <c r="L34" s="3">
        <v>2.0803067054068501E-2</v>
      </c>
      <c r="M34" s="3">
        <v>1.62528614183069E-2</v>
      </c>
      <c r="N34" s="3">
        <v>3.6227717078780898E-2</v>
      </c>
      <c r="O34" s="3">
        <v>2.2473400897639401E-2</v>
      </c>
      <c r="P34">
        <f t="shared" si="8"/>
        <v>0</v>
      </c>
      <c r="Q34">
        <f t="shared" si="9"/>
        <v>0</v>
      </c>
      <c r="R34">
        <f t="shared" si="10"/>
        <v>0</v>
      </c>
      <c r="S34">
        <f t="shared" si="11"/>
        <v>0</v>
      </c>
      <c r="T34">
        <f t="shared" si="12"/>
        <v>1</v>
      </c>
      <c r="U34">
        <f t="shared" si="13"/>
        <v>0</v>
      </c>
      <c r="V34">
        <f t="shared" si="14"/>
        <v>0</v>
      </c>
      <c r="W34">
        <f t="shared" si="15"/>
        <v>0</v>
      </c>
      <c r="X34">
        <f t="shared" si="16"/>
        <v>0</v>
      </c>
      <c r="Y34">
        <f t="shared" si="17"/>
        <v>0</v>
      </c>
      <c r="Z34">
        <f t="shared" si="18"/>
        <v>0</v>
      </c>
      <c r="AA34">
        <f t="shared" si="19"/>
        <v>1</v>
      </c>
      <c r="AB34">
        <f t="shared" si="0"/>
        <v>0</v>
      </c>
      <c r="AC34">
        <f t="shared" si="1"/>
        <v>0</v>
      </c>
      <c r="AD34">
        <f t="shared" si="2"/>
        <v>0</v>
      </c>
      <c r="AE34">
        <f t="shared" si="3"/>
        <v>0</v>
      </c>
      <c r="AF34">
        <f t="shared" si="4"/>
        <v>0</v>
      </c>
      <c r="AG34">
        <f t="shared" si="5"/>
        <v>0</v>
      </c>
      <c r="AH34">
        <f t="shared" si="20"/>
        <v>0</v>
      </c>
      <c r="AI34">
        <f t="shared" si="21"/>
        <v>0</v>
      </c>
      <c r="AJ34">
        <f t="shared" si="21"/>
        <v>0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S34">
        <f t="shared" si="21"/>
        <v>1</v>
      </c>
      <c r="AT34">
        <f t="shared" si="21"/>
        <v>0</v>
      </c>
      <c r="AU34">
        <f t="shared" si="21"/>
        <v>0</v>
      </c>
      <c r="AV34">
        <f t="shared" si="21"/>
        <v>0</v>
      </c>
      <c r="AW34">
        <f t="shared" si="21"/>
        <v>0</v>
      </c>
      <c r="AX34">
        <f t="shared" si="22"/>
        <v>0</v>
      </c>
      <c r="AY34">
        <f t="shared" si="22"/>
        <v>0</v>
      </c>
      <c r="AZ34">
        <f t="shared" si="22"/>
        <v>1</v>
      </c>
      <c r="BA34">
        <f t="shared" si="23"/>
        <v>0</v>
      </c>
      <c r="BB34">
        <f t="shared" si="24"/>
        <v>1</v>
      </c>
    </row>
    <row r="35" spans="1:54">
      <c r="A35">
        <v>32</v>
      </c>
      <c r="B35" t="s">
        <v>20</v>
      </c>
      <c r="C35" t="s">
        <v>21</v>
      </c>
      <c r="D35" t="s">
        <v>22</v>
      </c>
      <c r="E35" t="s">
        <v>30</v>
      </c>
      <c r="F35" t="s">
        <v>29</v>
      </c>
      <c r="G35" t="s">
        <v>31</v>
      </c>
      <c r="H35" s="3">
        <v>0.43668646087164698</v>
      </c>
      <c r="I35" s="3">
        <v>0.41226451556000598</v>
      </c>
      <c r="J35" s="3">
        <v>0.34403846648055803</v>
      </c>
      <c r="K35" s="3">
        <v>0.36285100214953597</v>
      </c>
      <c r="L35" s="3">
        <v>0.27002524264912198</v>
      </c>
      <c r="M35" s="3">
        <v>0.20246368401430601</v>
      </c>
      <c r="N35" s="3">
        <v>0.484615384615384</v>
      </c>
      <c r="O35" s="3">
        <v>0.27497547028476899</v>
      </c>
      <c r="P35">
        <f t="shared" si="8"/>
        <v>0</v>
      </c>
      <c r="Q35">
        <f t="shared" si="9"/>
        <v>0</v>
      </c>
      <c r="R35">
        <f t="shared" si="10"/>
        <v>0</v>
      </c>
      <c r="S35">
        <f t="shared" si="11"/>
        <v>0</v>
      </c>
      <c r="T35">
        <f t="shared" si="12"/>
        <v>1</v>
      </c>
      <c r="U35">
        <f t="shared" si="13"/>
        <v>0</v>
      </c>
      <c r="V35">
        <f t="shared" si="14"/>
        <v>0</v>
      </c>
      <c r="W35">
        <f t="shared" si="15"/>
        <v>0</v>
      </c>
      <c r="X35">
        <f t="shared" si="16"/>
        <v>0</v>
      </c>
      <c r="Y35">
        <f t="shared" si="17"/>
        <v>0</v>
      </c>
      <c r="Z35">
        <f t="shared" si="18"/>
        <v>1</v>
      </c>
      <c r="AA35">
        <f t="shared" si="19"/>
        <v>0</v>
      </c>
      <c r="AB35">
        <f t="shared" si="0"/>
        <v>0</v>
      </c>
      <c r="AC35">
        <f t="shared" si="1"/>
        <v>1</v>
      </c>
      <c r="AD35">
        <f t="shared" si="2"/>
        <v>0</v>
      </c>
      <c r="AE35">
        <f t="shared" si="3"/>
        <v>0</v>
      </c>
      <c r="AF35">
        <f t="shared" si="4"/>
        <v>0</v>
      </c>
      <c r="AG35">
        <f t="shared" si="5"/>
        <v>0</v>
      </c>
      <c r="AH35">
        <f t="shared" si="20"/>
        <v>1</v>
      </c>
      <c r="AI35">
        <f t="shared" ref="AI35:AW51" si="25">IF(OR(AND($D35=AI$1,$G35=AI$2),AND($D35=AI$2,$G35=AI$1)),1,0)</f>
        <v>0</v>
      </c>
      <c r="AJ35">
        <f t="shared" si="25"/>
        <v>0</v>
      </c>
      <c r="AK35">
        <f t="shared" si="25"/>
        <v>0</v>
      </c>
      <c r="AL35">
        <f t="shared" si="25"/>
        <v>0</v>
      </c>
      <c r="AM35">
        <f t="shared" si="25"/>
        <v>0</v>
      </c>
      <c r="AN35">
        <f t="shared" si="25"/>
        <v>0</v>
      </c>
      <c r="AO35">
        <f t="shared" si="25"/>
        <v>0</v>
      </c>
      <c r="AP35">
        <f t="shared" si="25"/>
        <v>0</v>
      </c>
      <c r="AQ35">
        <f t="shared" si="25"/>
        <v>0</v>
      </c>
      <c r="AR35">
        <f t="shared" si="25"/>
        <v>0</v>
      </c>
      <c r="AS35">
        <f t="shared" si="25"/>
        <v>0</v>
      </c>
      <c r="AT35">
        <f t="shared" si="25"/>
        <v>0</v>
      </c>
      <c r="AU35">
        <f t="shared" si="25"/>
        <v>0</v>
      </c>
      <c r="AV35">
        <f t="shared" si="25"/>
        <v>0</v>
      </c>
      <c r="AW35">
        <f t="shared" si="25"/>
        <v>0</v>
      </c>
      <c r="AX35">
        <f t="shared" si="22"/>
        <v>0</v>
      </c>
      <c r="AY35">
        <f t="shared" si="22"/>
        <v>0</v>
      </c>
      <c r="AZ35">
        <f t="shared" si="22"/>
        <v>1</v>
      </c>
      <c r="BA35">
        <f t="shared" si="23"/>
        <v>0</v>
      </c>
      <c r="BB35">
        <f t="shared" si="24"/>
        <v>1</v>
      </c>
    </row>
    <row r="36" spans="1:54">
      <c r="A36">
        <v>33</v>
      </c>
      <c r="B36" t="s">
        <v>20</v>
      </c>
      <c r="C36" t="s">
        <v>21</v>
      </c>
      <c r="D36" t="s">
        <v>22</v>
      </c>
      <c r="E36" t="s">
        <v>30</v>
      </c>
      <c r="F36" t="s">
        <v>29</v>
      </c>
      <c r="G36" t="s">
        <v>25</v>
      </c>
      <c r="H36" s="3">
        <v>2.9376939785790098E-3</v>
      </c>
      <c r="I36" s="3">
        <v>2.80751847877424E-3</v>
      </c>
      <c r="J36" s="3">
        <v>2.4716066241355699E-3</v>
      </c>
      <c r="K36" s="3">
        <v>2.5397903290715999E-3</v>
      </c>
      <c r="L36" s="3">
        <v>1.9247211602963501E-3</v>
      </c>
      <c r="M36" s="3">
        <v>1.4995738009512499E-3</v>
      </c>
      <c r="N36" s="3">
        <v>3.1624918427789698E-3</v>
      </c>
      <c r="O36" s="3">
        <v>1.99495300075981E-3</v>
      </c>
      <c r="P36">
        <f t="shared" si="8"/>
        <v>0</v>
      </c>
      <c r="Q36">
        <f t="shared" si="9"/>
        <v>0</v>
      </c>
      <c r="R36">
        <f t="shared" si="10"/>
        <v>0</v>
      </c>
      <c r="S36">
        <f t="shared" si="11"/>
        <v>0</v>
      </c>
      <c r="T36">
        <f t="shared" si="12"/>
        <v>1</v>
      </c>
      <c r="U36">
        <f t="shared" si="13"/>
        <v>0</v>
      </c>
      <c r="V36">
        <f t="shared" si="14"/>
        <v>0</v>
      </c>
      <c r="W36">
        <f t="shared" si="15"/>
        <v>0</v>
      </c>
      <c r="X36">
        <f t="shared" si="16"/>
        <v>0</v>
      </c>
      <c r="Y36">
        <f t="shared" si="17"/>
        <v>0</v>
      </c>
      <c r="Z36">
        <f t="shared" si="18"/>
        <v>0</v>
      </c>
      <c r="AA36">
        <f t="shared" si="19"/>
        <v>0</v>
      </c>
      <c r="AB36">
        <f t="shared" si="0"/>
        <v>0</v>
      </c>
      <c r="AC36">
        <f t="shared" si="1"/>
        <v>0</v>
      </c>
      <c r="AD36">
        <f t="shared" si="2"/>
        <v>0</v>
      </c>
      <c r="AE36">
        <f t="shared" si="3"/>
        <v>0</v>
      </c>
      <c r="AF36">
        <f t="shared" si="4"/>
        <v>0</v>
      </c>
      <c r="AG36">
        <f t="shared" si="5"/>
        <v>0</v>
      </c>
      <c r="AH36">
        <f t="shared" si="20"/>
        <v>0</v>
      </c>
      <c r="AI36">
        <f t="shared" si="25"/>
        <v>0</v>
      </c>
      <c r="AJ36">
        <f t="shared" si="25"/>
        <v>0</v>
      </c>
      <c r="AK36">
        <f t="shared" si="25"/>
        <v>0</v>
      </c>
      <c r="AL36">
        <f t="shared" si="25"/>
        <v>0</v>
      </c>
      <c r="AM36">
        <f t="shared" si="25"/>
        <v>0</v>
      </c>
      <c r="AN36">
        <f t="shared" si="25"/>
        <v>1</v>
      </c>
      <c r="AO36">
        <f t="shared" si="25"/>
        <v>0</v>
      </c>
      <c r="AP36">
        <f t="shared" si="25"/>
        <v>0</v>
      </c>
      <c r="AQ36">
        <f t="shared" si="25"/>
        <v>0</v>
      </c>
      <c r="AR36">
        <f t="shared" si="25"/>
        <v>0</v>
      </c>
      <c r="AS36">
        <f t="shared" si="25"/>
        <v>0</v>
      </c>
      <c r="AT36">
        <f t="shared" si="25"/>
        <v>0</v>
      </c>
      <c r="AU36">
        <f t="shared" si="25"/>
        <v>0</v>
      </c>
      <c r="AV36">
        <f t="shared" si="25"/>
        <v>0</v>
      </c>
      <c r="AW36">
        <f t="shared" si="25"/>
        <v>0</v>
      </c>
      <c r="AX36">
        <f t="shared" si="22"/>
        <v>0</v>
      </c>
      <c r="AY36">
        <f t="shared" si="22"/>
        <v>0</v>
      </c>
      <c r="AZ36">
        <f t="shared" si="22"/>
        <v>1</v>
      </c>
      <c r="BA36">
        <f t="shared" si="23"/>
        <v>1</v>
      </c>
      <c r="BB36">
        <f t="shared" si="24"/>
        <v>1</v>
      </c>
    </row>
    <row r="37" spans="1:54">
      <c r="A37">
        <v>34</v>
      </c>
      <c r="B37" t="s">
        <v>20</v>
      </c>
      <c r="C37" t="s">
        <v>21</v>
      </c>
      <c r="D37" t="s">
        <v>22</v>
      </c>
      <c r="E37" t="s">
        <v>30</v>
      </c>
      <c r="F37" t="s">
        <v>29</v>
      </c>
      <c r="G37" t="s">
        <v>26</v>
      </c>
      <c r="H37" s="3">
        <v>3.0046226301381198E-3</v>
      </c>
      <c r="I37" s="3">
        <v>2.8786735347461202E-3</v>
      </c>
      <c r="J37" s="3">
        <v>2.5348888635857701E-3</v>
      </c>
      <c r="K37" s="3">
        <v>2.6093134944395599E-3</v>
      </c>
      <c r="L37" s="3">
        <v>1.9805324096624499E-3</v>
      </c>
      <c r="M37" s="3">
        <v>1.53958951193384E-3</v>
      </c>
      <c r="N37" s="3">
        <v>3.2340862422997902E-3</v>
      </c>
      <c r="O37" s="3">
        <v>2.0525940951519901E-3</v>
      </c>
      <c r="P37">
        <f t="shared" si="8"/>
        <v>0</v>
      </c>
      <c r="Q37">
        <f t="shared" si="9"/>
        <v>0</v>
      </c>
      <c r="R37">
        <f t="shared" si="10"/>
        <v>0</v>
      </c>
      <c r="S37">
        <f t="shared" si="11"/>
        <v>0</v>
      </c>
      <c r="T37">
        <f t="shared" si="12"/>
        <v>1</v>
      </c>
      <c r="U37">
        <f t="shared" si="13"/>
        <v>0</v>
      </c>
      <c r="V37">
        <f t="shared" si="14"/>
        <v>0</v>
      </c>
      <c r="W37">
        <f t="shared" si="15"/>
        <v>0</v>
      </c>
      <c r="X37">
        <f t="shared" si="16"/>
        <v>0</v>
      </c>
      <c r="Y37">
        <f t="shared" si="17"/>
        <v>0</v>
      </c>
      <c r="Z37">
        <f t="shared" si="18"/>
        <v>0</v>
      </c>
      <c r="AA37">
        <f t="shared" si="19"/>
        <v>0</v>
      </c>
      <c r="AB37">
        <f t="shared" si="0"/>
        <v>0</v>
      </c>
      <c r="AC37">
        <f t="shared" si="1"/>
        <v>0</v>
      </c>
      <c r="AD37">
        <f t="shared" si="2"/>
        <v>0</v>
      </c>
      <c r="AE37">
        <f t="shared" si="3"/>
        <v>0</v>
      </c>
      <c r="AF37">
        <f t="shared" si="4"/>
        <v>0</v>
      </c>
      <c r="AG37">
        <f t="shared" si="5"/>
        <v>0</v>
      </c>
      <c r="AH37">
        <f t="shared" si="20"/>
        <v>0</v>
      </c>
      <c r="AI37">
        <f t="shared" si="25"/>
        <v>0</v>
      </c>
      <c r="AJ37">
        <f t="shared" si="25"/>
        <v>1</v>
      </c>
      <c r="AK37">
        <f t="shared" si="25"/>
        <v>0</v>
      </c>
      <c r="AL37">
        <f t="shared" si="25"/>
        <v>0</v>
      </c>
      <c r="AM37">
        <f t="shared" si="25"/>
        <v>0</v>
      </c>
      <c r="AN37">
        <f t="shared" si="25"/>
        <v>0</v>
      </c>
      <c r="AO37">
        <f t="shared" si="25"/>
        <v>0</v>
      </c>
      <c r="AP37">
        <f t="shared" si="25"/>
        <v>0</v>
      </c>
      <c r="AQ37">
        <f t="shared" si="25"/>
        <v>0</v>
      </c>
      <c r="AR37">
        <f t="shared" si="25"/>
        <v>0</v>
      </c>
      <c r="AS37">
        <f t="shared" si="25"/>
        <v>0</v>
      </c>
      <c r="AT37">
        <f t="shared" si="25"/>
        <v>0</v>
      </c>
      <c r="AU37">
        <f t="shared" si="25"/>
        <v>0</v>
      </c>
      <c r="AV37">
        <f t="shared" si="25"/>
        <v>0</v>
      </c>
      <c r="AW37">
        <f t="shared" si="25"/>
        <v>0</v>
      </c>
      <c r="AX37">
        <f t="shared" si="22"/>
        <v>0</v>
      </c>
      <c r="AY37">
        <f t="shared" si="22"/>
        <v>0</v>
      </c>
      <c r="AZ37">
        <f t="shared" si="22"/>
        <v>1</v>
      </c>
      <c r="BA37">
        <f t="shared" si="23"/>
        <v>1</v>
      </c>
      <c r="BB37">
        <f t="shared" si="24"/>
        <v>1</v>
      </c>
    </row>
    <row r="38" spans="1:54">
      <c r="A38">
        <v>35</v>
      </c>
      <c r="B38" t="s">
        <v>20</v>
      </c>
      <c r="C38" t="s">
        <v>21</v>
      </c>
      <c r="D38" t="s">
        <v>23</v>
      </c>
      <c r="E38" t="s">
        <v>20</v>
      </c>
      <c r="F38" t="s">
        <v>21</v>
      </c>
      <c r="G38" t="s">
        <v>24</v>
      </c>
      <c r="H38" s="3">
        <v>2.4379482590921001E-2</v>
      </c>
      <c r="I38" s="3">
        <v>2.3329629911919302E-2</v>
      </c>
      <c r="J38" s="3">
        <v>2.0679834868270099E-2</v>
      </c>
      <c r="K38" s="3">
        <v>2.1165623271505701E-2</v>
      </c>
      <c r="L38" s="3">
        <v>1.5175054043728899E-2</v>
      </c>
      <c r="M38" s="3">
        <v>1.1593567189818599E-2</v>
      </c>
      <c r="N38" s="3">
        <v>2.6182102383743602E-2</v>
      </c>
      <c r="O38" s="3">
        <v>1.67987339558343E-2</v>
      </c>
      <c r="P38">
        <f t="shared" si="8"/>
        <v>0</v>
      </c>
      <c r="Q38">
        <f t="shared" si="9"/>
        <v>0</v>
      </c>
      <c r="R38">
        <f t="shared" si="10"/>
        <v>0</v>
      </c>
      <c r="S38">
        <f t="shared" si="11"/>
        <v>0</v>
      </c>
      <c r="T38">
        <f t="shared" si="12"/>
        <v>0</v>
      </c>
      <c r="U38">
        <f t="shared" si="13"/>
        <v>1</v>
      </c>
      <c r="V38">
        <f t="shared" si="14"/>
        <v>1</v>
      </c>
      <c r="W38">
        <f t="shared" si="15"/>
        <v>0</v>
      </c>
      <c r="X38">
        <f t="shared" si="16"/>
        <v>0</v>
      </c>
      <c r="Y38">
        <f t="shared" si="17"/>
        <v>0</v>
      </c>
      <c r="Z38">
        <f t="shared" si="18"/>
        <v>0</v>
      </c>
      <c r="AA38">
        <f t="shared" si="19"/>
        <v>0</v>
      </c>
      <c r="AB38">
        <f t="shared" si="0"/>
        <v>0</v>
      </c>
      <c r="AC38">
        <f t="shared" si="1"/>
        <v>0</v>
      </c>
      <c r="AD38">
        <f t="shared" si="2"/>
        <v>0</v>
      </c>
      <c r="AE38">
        <f t="shared" si="3"/>
        <v>0</v>
      </c>
      <c r="AF38">
        <f t="shared" si="4"/>
        <v>1</v>
      </c>
      <c r="AG38">
        <f t="shared" si="5"/>
        <v>1</v>
      </c>
      <c r="AH38">
        <f t="shared" si="20"/>
        <v>0</v>
      </c>
      <c r="AI38">
        <f t="shared" si="25"/>
        <v>0</v>
      </c>
      <c r="AJ38">
        <f t="shared" si="25"/>
        <v>0</v>
      </c>
      <c r="AK38">
        <f t="shared" si="25"/>
        <v>0</v>
      </c>
      <c r="AL38">
        <f t="shared" si="25"/>
        <v>0</v>
      </c>
      <c r="AM38">
        <f t="shared" si="25"/>
        <v>0</v>
      </c>
      <c r="AN38">
        <f t="shared" si="25"/>
        <v>0</v>
      </c>
      <c r="AO38">
        <f t="shared" si="25"/>
        <v>0</v>
      </c>
      <c r="AP38">
        <f t="shared" si="25"/>
        <v>0</v>
      </c>
      <c r="AQ38">
        <f t="shared" si="25"/>
        <v>0</v>
      </c>
      <c r="AR38">
        <f t="shared" si="25"/>
        <v>0</v>
      </c>
      <c r="AS38">
        <f t="shared" si="25"/>
        <v>0</v>
      </c>
      <c r="AT38">
        <f t="shared" si="25"/>
        <v>0</v>
      </c>
      <c r="AU38">
        <f t="shared" si="25"/>
        <v>1</v>
      </c>
      <c r="AV38">
        <f t="shared" si="25"/>
        <v>0</v>
      </c>
      <c r="AW38">
        <f t="shared" si="25"/>
        <v>0</v>
      </c>
      <c r="AX38">
        <f t="shared" si="22"/>
        <v>0</v>
      </c>
      <c r="AY38">
        <f t="shared" si="22"/>
        <v>0</v>
      </c>
      <c r="AZ38">
        <f t="shared" si="22"/>
        <v>0</v>
      </c>
      <c r="BA38">
        <f t="shared" si="23"/>
        <v>0</v>
      </c>
      <c r="BB38">
        <f t="shared" si="24"/>
        <v>0</v>
      </c>
    </row>
    <row r="39" spans="1:54">
      <c r="A39">
        <v>36</v>
      </c>
      <c r="B39" t="s">
        <v>20</v>
      </c>
      <c r="C39" t="s">
        <v>21</v>
      </c>
      <c r="D39" t="s">
        <v>23</v>
      </c>
      <c r="E39" t="s">
        <v>20</v>
      </c>
      <c r="F39" t="s">
        <v>21</v>
      </c>
      <c r="G39" t="s">
        <v>25</v>
      </c>
      <c r="H39" s="3">
        <v>1.8287733552654201E-2</v>
      </c>
      <c r="I39" s="3">
        <v>1.74735262518508E-2</v>
      </c>
      <c r="J39" s="3">
        <v>1.55215128761985E-2</v>
      </c>
      <c r="K39" s="3">
        <v>1.5838620601383101E-2</v>
      </c>
      <c r="L39" s="3">
        <v>1.1172160533501899E-2</v>
      </c>
      <c r="M39" s="3">
        <v>8.5220430203048602E-3</v>
      </c>
      <c r="N39" s="3">
        <v>1.9630823322589998E-2</v>
      </c>
      <c r="O39" s="3">
        <v>1.25257692621367E-2</v>
      </c>
      <c r="P39">
        <f t="shared" si="8"/>
        <v>0</v>
      </c>
      <c r="Q39">
        <f t="shared" si="9"/>
        <v>0</v>
      </c>
      <c r="R39">
        <f t="shared" si="10"/>
        <v>0</v>
      </c>
      <c r="S39">
        <f t="shared" si="11"/>
        <v>0</v>
      </c>
      <c r="T39">
        <f t="shared" si="12"/>
        <v>0</v>
      </c>
      <c r="U39">
        <f t="shared" si="13"/>
        <v>1</v>
      </c>
      <c r="V39">
        <f t="shared" si="14"/>
        <v>0</v>
      </c>
      <c r="W39">
        <f t="shared" si="15"/>
        <v>0</v>
      </c>
      <c r="X39">
        <f t="shared" si="16"/>
        <v>0</v>
      </c>
      <c r="Y39">
        <f t="shared" si="17"/>
        <v>0</v>
      </c>
      <c r="Z39">
        <f t="shared" si="18"/>
        <v>0</v>
      </c>
      <c r="AA39">
        <f t="shared" si="19"/>
        <v>0</v>
      </c>
      <c r="AB39">
        <f t="shared" si="0"/>
        <v>0</v>
      </c>
      <c r="AC39">
        <f t="shared" si="1"/>
        <v>0</v>
      </c>
      <c r="AD39">
        <f t="shared" si="2"/>
        <v>0</v>
      </c>
      <c r="AE39">
        <f t="shared" si="3"/>
        <v>0</v>
      </c>
      <c r="AF39">
        <f t="shared" si="4"/>
        <v>1</v>
      </c>
      <c r="AG39">
        <f t="shared" si="5"/>
        <v>1</v>
      </c>
      <c r="AH39">
        <f t="shared" si="20"/>
        <v>0</v>
      </c>
      <c r="AI39">
        <f t="shared" si="25"/>
        <v>0</v>
      </c>
      <c r="AJ39">
        <f t="shared" si="25"/>
        <v>0</v>
      </c>
      <c r="AK39">
        <f t="shared" si="25"/>
        <v>0</v>
      </c>
      <c r="AL39">
        <f t="shared" si="25"/>
        <v>0</v>
      </c>
      <c r="AM39">
        <f t="shared" si="25"/>
        <v>0</v>
      </c>
      <c r="AN39">
        <f t="shared" si="25"/>
        <v>0</v>
      </c>
      <c r="AO39">
        <f t="shared" si="25"/>
        <v>1</v>
      </c>
      <c r="AP39">
        <f t="shared" si="25"/>
        <v>0</v>
      </c>
      <c r="AQ39">
        <f t="shared" si="25"/>
        <v>0</v>
      </c>
      <c r="AR39">
        <f t="shared" si="25"/>
        <v>0</v>
      </c>
      <c r="AS39">
        <f t="shared" si="25"/>
        <v>0</v>
      </c>
      <c r="AT39">
        <f t="shared" si="25"/>
        <v>0</v>
      </c>
      <c r="AU39">
        <f t="shared" si="25"/>
        <v>0</v>
      </c>
      <c r="AV39">
        <f t="shared" si="25"/>
        <v>0</v>
      </c>
      <c r="AW39">
        <f t="shared" si="25"/>
        <v>0</v>
      </c>
      <c r="AX39">
        <f t="shared" si="22"/>
        <v>0</v>
      </c>
      <c r="AY39">
        <f t="shared" si="22"/>
        <v>0</v>
      </c>
      <c r="AZ39">
        <f t="shared" si="22"/>
        <v>0</v>
      </c>
      <c r="BA39">
        <f t="shared" si="23"/>
        <v>1</v>
      </c>
      <c r="BB39">
        <f t="shared" si="24"/>
        <v>0</v>
      </c>
    </row>
    <row r="40" spans="1:54">
      <c r="A40">
        <v>37</v>
      </c>
      <c r="B40" t="s">
        <v>20</v>
      </c>
      <c r="C40" t="s">
        <v>21</v>
      </c>
      <c r="D40" t="s">
        <v>23</v>
      </c>
      <c r="E40" t="s">
        <v>20</v>
      </c>
      <c r="F40" t="s">
        <v>21</v>
      </c>
      <c r="G40" t="s">
        <v>26</v>
      </c>
      <c r="H40" s="3">
        <v>1.85567935052432E-2</v>
      </c>
      <c r="I40" s="3">
        <v>1.7757470273409699E-2</v>
      </c>
      <c r="J40" s="3">
        <v>1.5740530681952102E-2</v>
      </c>
      <c r="K40" s="3">
        <v>1.61378724362214E-2</v>
      </c>
      <c r="L40" s="3">
        <v>1.1364525172190399E-2</v>
      </c>
      <c r="M40" s="3">
        <v>8.6293053094297998E-3</v>
      </c>
      <c r="N40" s="3">
        <v>1.98872068863164E-2</v>
      </c>
      <c r="O40" s="3">
        <v>1.2720777709951199E-2</v>
      </c>
      <c r="P40">
        <f t="shared" si="8"/>
        <v>0</v>
      </c>
      <c r="Q40">
        <f t="shared" si="9"/>
        <v>0</v>
      </c>
      <c r="R40">
        <f t="shared" si="10"/>
        <v>0</v>
      </c>
      <c r="S40">
        <f t="shared" si="11"/>
        <v>0</v>
      </c>
      <c r="T40">
        <f t="shared" si="12"/>
        <v>0</v>
      </c>
      <c r="U40">
        <f t="shared" si="13"/>
        <v>1</v>
      </c>
      <c r="V40">
        <f t="shared" si="14"/>
        <v>0</v>
      </c>
      <c r="W40">
        <f t="shared" si="15"/>
        <v>0</v>
      </c>
      <c r="X40">
        <f t="shared" si="16"/>
        <v>0</v>
      </c>
      <c r="Y40">
        <f t="shared" si="17"/>
        <v>0</v>
      </c>
      <c r="Z40">
        <f t="shared" si="18"/>
        <v>0</v>
      </c>
      <c r="AA40">
        <f t="shared" si="19"/>
        <v>0</v>
      </c>
      <c r="AB40">
        <f t="shared" si="0"/>
        <v>0</v>
      </c>
      <c r="AC40">
        <f t="shared" si="1"/>
        <v>0</v>
      </c>
      <c r="AD40">
        <f t="shared" si="2"/>
        <v>0</v>
      </c>
      <c r="AE40">
        <f t="shared" si="3"/>
        <v>0</v>
      </c>
      <c r="AF40">
        <f t="shared" si="4"/>
        <v>1</v>
      </c>
      <c r="AG40">
        <f t="shared" si="5"/>
        <v>1</v>
      </c>
      <c r="AH40">
        <f t="shared" si="20"/>
        <v>0</v>
      </c>
      <c r="AI40">
        <f t="shared" si="25"/>
        <v>0</v>
      </c>
      <c r="AJ40">
        <f t="shared" si="25"/>
        <v>0</v>
      </c>
      <c r="AK40">
        <f t="shared" si="25"/>
        <v>1</v>
      </c>
      <c r="AL40">
        <f t="shared" si="25"/>
        <v>0</v>
      </c>
      <c r="AM40">
        <f t="shared" si="25"/>
        <v>0</v>
      </c>
      <c r="AN40">
        <f t="shared" si="25"/>
        <v>0</v>
      </c>
      <c r="AO40">
        <f t="shared" si="25"/>
        <v>0</v>
      </c>
      <c r="AP40">
        <f t="shared" si="25"/>
        <v>0</v>
      </c>
      <c r="AQ40">
        <f t="shared" si="25"/>
        <v>0</v>
      </c>
      <c r="AR40">
        <f t="shared" si="25"/>
        <v>0</v>
      </c>
      <c r="AS40">
        <f t="shared" si="25"/>
        <v>0</v>
      </c>
      <c r="AT40">
        <f t="shared" si="25"/>
        <v>0</v>
      </c>
      <c r="AU40">
        <f t="shared" si="25"/>
        <v>0</v>
      </c>
      <c r="AV40">
        <f t="shared" si="25"/>
        <v>0</v>
      </c>
      <c r="AW40">
        <f t="shared" si="25"/>
        <v>0</v>
      </c>
      <c r="AX40">
        <f t="shared" si="22"/>
        <v>0</v>
      </c>
      <c r="AY40">
        <f t="shared" si="22"/>
        <v>0</v>
      </c>
      <c r="AZ40">
        <f t="shared" si="22"/>
        <v>0</v>
      </c>
      <c r="BA40">
        <f t="shared" si="23"/>
        <v>1</v>
      </c>
      <c r="BB40">
        <f t="shared" si="24"/>
        <v>0</v>
      </c>
    </row>
    <row r="41" spans="1:54">
      <c r="A41">
        <v>38</v>
      </c>
      <c r="B41" t="s">
        <v>20</v>
      </c>
      <c r="C41" t="s">
        <v>21</v>
      </c>
      <c r="D41" t="s">
        <v>23</v>
      </c>
      <c r="E41" t="s">
        <v>20</v>
      </c>
      <c r="F41" t="s">
        <v>21</v>
      </c>
      <c r="G41" t="s">
        <v>27</v>
      </c>
      <c r="H41" s="3">
        <v>0.107272581800074</v>
      </c>
      <c r="I41" s="3">
        <v>0.101821647580446</v>
      </c>
      <c r="J41" s="3">
        <v>8.8266834145299594E-2</v>
      </c>
      <c r="K41" s="3">
        <v>9.1173151402804894E-2</v>
      </c>
      <c r="L41" s="3">
        <v>6.3318783660827604E-2</v>
      </c>
      <c r="M41" s="3">
        <v>4.7997802807556202E-2</v>
      </c>
      <c r="N41" s="3">
        <v>0.116319444444444</v>
      </c>
      <c r="O41" s="3">
        <v>6.9615842760138699E-2</v>
      </c>
      <c r="P41">
        <f t="shared" si="8"/>
        <v>0</v>
      </c>
      <c r="Q41">
        <f t="shared" si="9"/>
        <v>0</v>
      </c>
      <c r="R41">
        <f t="shared" si="10"/>
        <v>0</v>
      </c>
      <c r="S41">
        <f t="shared" si="11"/>
        <v>0</v>
      </c>
      <c r="T41">
        <f t="shared" si="12"/>
        <v>0</v>
      </c>
      <c r="U41">
        <f t="shared" si="13"/>
        <v>1</v>
      </c>
      <c r="V41">
        <f t="shared" si="14"/>
        <v>0</v>
      </c>
      <c r="W41">
        <f t="shared" si="15"/>
        <v>1</v>
      </c>
      <c r="X41">
        <f t="shared" si="16"/>
        <v>0</v>
      </c>
      <c r="Y41">
        <f t="shared" si="17"/>
        <v>0</v>
      </c>
      <c r="Z41">
        <f t="shared" si="18"/>
        <v>0</v>
      </c>
      <c r="AA41">
        <f t="shared" si="19"/>
        <v>0</v>
      </c>
      <c r="AB41">
        <f t="shared" si="0"/>
        <v>0</v>
      </c>
      <c r="AC41">
        <f t="shared" si="1"/>
        <v>0</v>
      </c>
      <c r="AD41">
        <f t="shared" si="2"/>
        <v>0</v>
      </c>
      <c r="AE41">
        <f t="shared" si="3"/>
        <v>0</v>
      </c>
      <c r="AF41">
        <f t="shared" si="4"/>
        <v>1</v>
      </c>
      <c r="AG41">
        <f t="shared" si="5"/>
        <v>1</v>
      </c>
      <c r="AH41">
        <f t="shared" si="20"/>
        <v>0</v>
      </c>
      <c r="AI41">
        <f t="shared" si="25"/>
        <v>0</v>
      </c>
      <c r="AJ41">
        <f t="shared" si="25"/>
        <v>0</v>
      </c>
      <c r="AK41">
        <f t="shared" si="25"/>
        <v>0</v>
      </c>
      <c r="AL41">
        <f t="shared" si="25"/>
        <v>0</v>
      </c>
      <c r="AM41">
        <f t="shared" si="25"/>
        <v>0</v>
      </c>
      <c r="AN41">
        <f t="shared" si="25"/>
        <v>0</v>
      </c>
      <c r="AO41">
        <f t="shared" si="25"/>
        <v>0</v>
      </c>
      <c r="AP41">
        <f t="shared" si="25"/>
        <v>0</v>
      </c>
      <c r="AQ41">
        <f t="shared" si="25"/>
        <v>0</v>
      </c>
      <c r="AR41">
        <f t="shared" si="25"/>
        <v>0</v>
      </c>
      <c r="AS41">
        <f t="shared" si="25"/>
        <v>0</v>
      </c>
      <c r="AT41">
        <f t="shared" si="25"/>
        <v>0</v>
      </c>
      <c r="AU41">
        <f t="shared" si="25"/>
        <v>0</v>
      </c>
      <c r="AV41">
        <f t="shared" si="25"/>
        <v>1</v>
      </c>
      <c r="AW41">
        <f t="shared" si="25"/>
        <v>0</v>
      </c>
      <c r="AX41">
        <f t="shared" si="22"/>
        <v>0</v>
      </c>
      <c r="AY41">
        <f t="shared" si="22"/>
        <v>0</v>
      </c>
      <c r="AZ41">
        <f t="shared" si="22"/>
        <v>0</v>
      </c>
      <c r="BA41">
        <f t="shared" si="23"/>
        <v>0</v>
      </c>
      <c r="BB41">
        <f t="shared" si="24"/>
        <v>0</v>
      </c>
    </row>
    <row r="42" spans="1:54">
      <c r="A42">
        <v>39</v>
      </c>
      <c r="B42" t="s">
        <v>20</v>
      </c>
      <c r="C42" t="s">
        <v>21</v>
      </c>
      <c r="D42" t="s">
        <v>23</v>
      </c>
      <c r="E42" t="s">
        <v>20</v>
      </c>
      <c r="F42" t="s">
        <v>28</v>
      </c>
      <c r="G42" t="s">
        <v>22</v>
      </c>
      <c r="H42" s="3">
        <v>0.84944302223453105</v>
      </c>
      <c r="I42" s="3">
        <v>0.82538407376673895</v>
      </c>
      <c r="J42" s="3">
        <v>0.65570817748133703</v>
      </c>
      <c r="K42" s="3">
        <v>0.74525408098907198</v>
      </c>
      <c r="L42" s="3">
        <v>0.54019134063073004</v>
      </c>
      <c r="M42" s="3">
        <v>0.42996849819475502</v>
      </c>
      <c r="N42" s="3">
        <v>0.98529411764705799</v>
      </c>
      <c r="O42" s="3">
        <v>0.54918755833533195</v>
      </c>
      <c r="P42">
        <f t="shared" si="8"/>
        <v>1</v>
      </c>
      <c r="Q42">
        <f t="shared" si="9"/>
        <v>0</v>
      </c>
      <c r="R42">
        <f t="shared" si="10"/>
        <v>0</v>
      </c>
      <c r="S42">
        <f t="shared" si="11"/>
        <v>0</v>
      </c>
      <c r="T42">
        <f t="shared" si="12"/>
        <v>0</v>
      </c>
      <c r="U42">
        <f t="shared" si="13"/>
        <v>1</v>
      </c>
      <c r="V42">
        <f t="shared" si="14"/>
        <v>0</v>
      </c>
      <c r="W42">
        <f t="shared" si="15"/>
        <v>0</v>
      </c>
      <c r="X42">
        <f t="shared" si="16"/>
        <v>0</v>
      </c>
      <c r="Y42">
        <f t="shared" si="17"/>
        <v>0</v>
      </c>
      <c r="Z42">
        <f t="shared" si="18"/>
        <v>0</v>
      </c>
      <c r="AA42">
        <f t="shared" si="19"/>
        <v>0</v>
      </c>
      <c r="AB42">
        <f t="shared" si="0"/>
        <v>0</v>
      </c>
      <c r="AC42">
        <f t="shared" si="1"/>
        <v>1</v>
      </c>
      <c r="AD42">
        <f t="shared" si="2"/>
        <v>0</v>
      </c>
      <c r="AE42">
        <f t="shared" si="3"/>
        <v>0</v>
      </c>
      <c r="AF42">
        <f t="shared" si="4"/>
        <v>0</v>
      </c>
      <c r="AG42">
        <f t="shared" si="5"/>
        <v>1</v>
      </c>
      <c r="AH42">
        <f t="shared" si="20"/>
        <v>1</v>
      </c>
      <c r="AI42">
        <f t="shared" si="25"/>
        <v>0</v>
      </c>
      <c r="AJ42">
        <f t="shared" si="25"/>
        <v>0</v>
      </c>
      <c r="AK42">
        <f t="shared" si="25"/>
        <v>0</v>
      </c>
      <c r="AL42">
        <f t="shared" si="25"/>
        <v>0</v>
      </c>
      <c r="AM42">
        <f t="shared" si="25"/>
        <v>0</v>
      </c>
      <c r="AN42">
        <f t="shared" si="25"/>
        <v>0</v>
      </c>
      <c r="AO42">
        <f t="shared" si="25"/>
        <v>0</v>
      </c>
      <c r="AP42">
        <f t="shared" si="25"/>
        <v>0</v>
      </c>
      <c r="AQ42">
        <f t="shared" si="25"/>
        <v>0</v>
      </c>
      <c r="AR42">
        <f t="shared" si="25"/>
        <v>1</v>
      </c>
      <c r="AS42">
        <f t="shared" si="25"/>
        <v>0</v>
      </c>
      <c r="AT42">
        <f t="shared" si="25"/>
        <v>0</v>
      </c>
      <c r="AU42">
        <f t="shared" si="25"/>
        <v>0</v>
      </c>
      <c r="AV42">
        <f t="shared" si="25"/>
        <v>0</v>
      </c>
      <c r="AW42">
        <f t="shared" si="25"/>
        <v>0</v>
      </c>
      <c r="AX42">
        <f t="shared" si="22"/>
        <v>1</v>
      </c>
      <c r="AY42">
        <f t="shared" si="22"/>
        <v>0</v>
      </c>
      <c r="AZ42">
        <f t="shared" si="22"/>
        <v>0</v>
      </c>
      <c r="BA42">
        <f t="shared" si="23"/>
        <v>0</v>
      </c>
      <c r="BB42">
        <f t="shared" si="24"/>
        <v>0</v>
      </c>
    </row>
    <row r="43" spans="1:54">
      <c r="A43">
        <v>40</v>
      </c>
      <c r="B43" t="s">
        <v>20</v>
      </c>
      <c r="C43" t="s">
        <v>21</v>
      </c>
      <c r="D43" t="s">
        <v>23</v>
      </c>
      <c r="E43" t="s">
        <v>20</v>
      </c>
      <c r="F43" t="s">
        <v>28</v>
      </c>
      <c r="G43" t="s">
        <v>23</v>
      </c>
      <c r="H43" s="3">
        <v>0.82071412759329998</v>
      </c>
      <c r="I43" s="3">
        <v>0.82572850966984701</v>
      </c>
      <c r="J43" s="3">
        <v>0.72860618555174606</v>
      </c>
      <c r="K43" s="3">
        <v>0.77897781397277299</v>
      </c>
      <c r="L43" s="3">
        <v>0.69712249574938501</v>
      </c>
      <c r="M43" s="3">
        <v>0.604595059346272</v>
      </c>
      <c r="N43" s="3">
        <v>0.89333333333333298</v>
      </c>
      <c r="O43" s="3">
        <v>0.68475646389175904</v>
      </c>
      <c r="P43">
        <f t="shared" si="8"/>
        <v>0</v>
      </c>
      <c r="Q43">
        <f t="shared" si="9"/>
        <v>1</v>
      </c>
      <c r="R43">
        <f t="shared" si="10"/>
        <v>0</v>
      </c>
      <c r="S43">
        <f t="shared" si="11"/>
        <v>0</v>
      </c>
      <c r="T43">
        <f t="shared" si="12"/>
        <v>0</v>
      </c>
      <c r="U43">
        <f t="shared" si="13"/>
        <v>1</v>
      </c>
      <c r="V43">
        <f t="shared" si="14"/>
        <v>0</v>
      </c>
      <c r="W43">
        <f t="shared" si="15"/>
        <v>0</v>
      </c>
      <c r="X43">
        <f t="shared" si="16"/>
        <v>0</v>
      </c>
      <c r="Y43">
        <f t="shared" si="17"/>
        <v>0</v>
      </c>
      <c r="Z43">
        <f t="shared" si="18"/>
        <v>0</v>
      </c>
      <c r="AA43">
        <f t="shared" si="19"/>
        <v>0</v>
      </c>
      <c r="AB43">
        <f t="shared" si="0"/>
        <v>0</v>
      </c>
      <c r="AC43">
        <f t="shared" si="1"/>
        <v>1</v>
      </c>
      <c r="AD43">
        <f t="shared" si="2"/>
        <v>0</v>
      </c>
      <c r="AE43">
        <f t="shared" si="3"/>
        <v>0</v>
      </c>
      <c r="AF43">
        <f t="shared" si="4"/>
        <v>0</v>
      </c>
      <c r="AG43">
        <f t="shared" si="5"/>
        <v>1</v>
      </c>
      <c r="AH43">
        <f t="shared" si="20"/>
        <v>1</v>
      </c>
      <c r="AI43">
        <f t="shared" si="25"/>
        <v>0</v>
      </c>
      <c r="AJ43">
        <f t="shared" si="25"/>
        <v>0</v>
      </c>
      <c r="AK43">
        <f t="shared" si="25"/>
        <v>0</v>
      </c>
      <c r="AL43">
        <f t="shared" si="25"/>
        <v>0</v>
      </c>
      <c r="AM43">
        <f t="shared" si="25"/>
        <v>0</v>
      </c>
      <c r="AN43">
        <f t="shared" si="25"/>
        <v>0</v>
      </c>
      <c r="AO43">
        <f t="shared" si="25"/>
        <v>0</v>
      </c>
      <c r="AP43">
        <f t="shared" si="25"/>
        <v>0</v>
      </c>
      <c r="AQ43">
        <f t="shared" si="25"/>
        <v>0</v>
      </c>
      <c r="AR43">
        <f t="shared" si="25"/>
        <v>0</v>
      </c>
      <c r="AS43">
        <f t="shared" si="25"/>
        <v>0</v>
      </c>
      <c r="AT43">
        <f t="shared" si="25"/>
        <v>0</v>
      </c>
      <c r="AU43">
        <f t="shared" si="25"/>
        <v>0</v>
      </c>
      <c r="AV43">
        <f t="shared" si="25"/>
        <v>0</v>
      </c>
      <c r="AW43">
        <f t="shared" si="25"/>
        <v>0</v>
      </c>
      <c r="AX43">
        <f t="shared" si="22"/>
        <v>1</v>
      </c>
      <c r="AY43">
        <f t="shared" si="22"/>
        <v>0</v>
      </c>
      <c r="AZ43">
        <f t="shared" si="22"/>
        <v>0</v>
      </c>
      <c r="BA43">
        <f t="shared" si="23"/>
        <v>0</v>
      </c>
      <c r="BB43">
        <f t="shared" si="24"/>
        <v>0</v>
      </c>
    </row>
    <row r="44" spans="1:54">
      <c r="A44">
        <v>41</v>
      </c>
      <c r="B44" t="s">
        <v>20</v>
      </c>
      <c r="C44" t="s">
        <v>21</v>
      </c>
      <c r="D44" t="s">
        <v>23</v>
      </c>
      <c r="E44" t="s">
        <v>20</v>
      </c>
      <c r="F44" t="s">
        <v>28</v>
      </c>
      <c r="G44" t="s">
        <v>24</v>
      </c>
      <c r="H44" s="3">
        <v>2.4089450811858801E-2</v>
      </c>
      <c r="I44" s="3">
        <v>2.3081939839535999E-2</v>
      </c>
      <c r="J44" s="3">
        <v>2.0394767265824398E-2</v>
      </c>
      <c r="K44" s="3">
        <v>2.08371239464657E-2</v>
      </c>
      <c r="L44" s="3">
        <v>1.50197084195657E-2</v>
      </c>
      <c r="M44" s="3">
        <v>1.1545733895284901E-2</v>
      </c>
      <c r="N44" s="3">
        <v>2.6049766718506999E-2</v>
      </c>
      <c r="O44" s="3">
        <v>1.6461871644236702E-2</v>
      </c>
      <c r="P44">
        <f t="shared" si="8"/>
        <v>0</v>
      </c>
      <c r="Q44">
        <f t="shared" si="9"/>
        <v>0</v>
      </c>
      <c r="R44">
        <f t="shared" si="10"/>
        <v>1</v>
      </c>
      <c r="S44">
        <f t="shared" si="11"/>
        <v>0</v>
      </c>
      <c r="T44">
        <f t="shared" si="12"/>
        <v>0</v>
      </c>
      <c r="U44">
        <f t="shared" si="13"/>
        <v>1</v>
      </c>
      <c r="V44">
        <f t="shared" si="14"/>
        <v>0</v>
      </c>
      <c r="W44">
        <f t="shared" si="15"/>
        <v>0</v>
      </c>
      <c r="X44">
        <f t="shared" si="16"/>
        <v>0</v>
      </c>
      <c r="Y44">
        <f t="shared" si="17"/>
        <v>0</v>
      </c>
      <c r="Z44">
        <f t="shared" si="18"/>
        <v>0</v>
      </c>
      <c r="AA44">
        <f t="shared" si="19"/>
        <v>0</v>
      </c>
      <c r="AB44">
        <f t="shared" si="0"/>
        <v>0</v>
      </c>
      <c r="AC44">
        <f t="shared" si="1"/>
        <v>0</v>
      </c>
      <c r="AD44">
        <f t="shared" si="2"/>
        <v>0</v>
      </c>
      <c r="AE44">
        <f t="shared" si="3"/>
        <v>0</v>
      </c>
      <c r="AF44">
        <f t="shared" si="4"/>
        <v>0</v>
      </c>
      <c r="AG44">
        <f t="shared" si="5"/>
        <v>1</v>
      </c>
      <c r="AH44">
        <f t="shared" si="20"/>
        <v>0</v>
      </c>
      <c r="AI44">
        <f t="shared" si="25"/>
        <v>0</v>
      </c>
      <c r="AJ44">
        <f t="shared" si="25"/>
        <v>0</v>
      </c>
      <c r="AK44">
        <f t="shared" si="25"/>
        <v>0</v>
      </c>
      <c r="AL44">
        <f t="shared" si="25"/>
        <v>0</v>
      </c>
      <c r="AM44">
        <f t="shared" si="25"/>
        <v>0</v>
      </c>
      <c r="AN44">
        <f t="shared" si="25"/>
        <v>0</v>
      </c>
      <c r="AO44">
        <f t="shared" si="25"/>
        <v>0</v>
      </c>
      <c r="AP44">
        <f t="shared" si="25"/>
        <v>0</v>
      </c>
      <c r="AQ44">
        <f t="shared" si="25"/>
        <v>0</v>
      </c>
      <c r="AR44">
        <f t="shared" si="25"/>
        <v>0</v>
      </c>
      <c r="AS44">
        <f t="shared" si="25"/>
        <v>0</v>
      </c>
      <c r="AT44">
        <f t="shared" si="25"/>
        <v>0</v>
      </c>
      <c r="AU44">
        <f t="shared" si="25"/>
        <v>1</v>
      </c>
      <c r="AV44">
        <f t="shared" si="25"/>
        <v>0</v>
      </c>
      <c r="AW44">
        <f t="shared" si="25"/>
        <v>0</v>
      </c>
      <c r="AX44">
        <f t="shared" si="22"/>
        <v>1</v>
      </c>
      <c r="AY44">
        <f t="shared" si="22"/>
        <v>0</v>
      </c>
      <c r="AZ44">
        <f t="shared" si="22"/>
        <v>0</v>
      </c>
      <c r="BA44">
        <f t="shared" si="23"/>
        <v>0</v>
      </c>
      <c r="BB44">
        <f t="shared" si="24"/>
        <v>0</v>
      </c>
    </row>
    <row r="45" spans="1:54">
      <c r="A45">
        <v>42</v>
      </c>
      <c r="B45" t="s">
        <v>20</v>
      </c>
      <c r="C45" t="s">
        <v>21</v>
      </c>
      <c r="D45" t="s">
        <v>23</v>
      </c>
      <c r="E45" t="s">
        <v>20</v>
      </c>
      <c r="F45" t="s">
        <v>28</v>
      </c>
      <c r="G45" t="s">
        <v>25</v>
      </c>
      <c r="H45" s="3">
        <v>1.81711847988082E-2</v>
      </c>
      <c r="I45" s="3">
        <v>1.7231696424149099E-2</v>
      </c>
      <c r="J45" s="3">
        <v>1.53516527013677E-2</v>
      </c>
      <c r="K45" s="3">
        <v>1.53899807280834E-2</v>
      </c>
      <c r="L45" s="3">
        <v>1.11690671247192E-2</v>
      </c>
      <c r="M45" s="3">
        <v>8.51859682527621E-3</v>
      </c>
      <c r="N45" s="3">
        <v>1.9781517567168502E-2</v>
      </c>
      <c r="O45" s="3">
        <v>1.22103060806679E-2</v>
      </c>
      <c r="P45">
        <f t="shared" si="8"/>
        <v>0</v>
      </c>
      <c r="Q45">
        <f t="shared" si="9"/>
        <v>0</v>
      </c>
      <c r="R45">
        <f t="shared" si="10"/>
        <v>0</v>
      </c>
      <c r="S45">
        <f t="shared" si="11"/>
        <v>0</v>
      </c>
      <c r="T45">
        <f t="shared" si="12"/>
        <v>0</v>
      </c>
      <c r="U45">
        <f t="shared" si="13"/>
        <v>1</v>
      </c>
      <c r="V45">
        <f t="shared" si="14"/>
        <v>0</v>
      </c>
      <c r="W45">
        <f t="shared" si="15"/>
        <v>0</v>
      </c>
      <c r="X45">
        <f t="shared" si="16"/>
        <v>0</v>
      </c>
      <c r="Y45">
        <f t="shared" si="17"/>
        <v>0</v>
      </c>
      <c r="Z45">
        <f t="shared" si="18"/>
        <v>0</v>
      </c>
      <c r="AA45">
        <f t="shared" si="19"/>
        <v>0</v>
      </c>
      <c r="AB45">
        <f t="shared" si="0"/>
        <v>0</v>
      </c>
      <c r="AC45">
        <f t="shared" si="1"/>
        <v>0</v>
      </c>
      <c r="AD45">
        <f t="shared" si="2"/>
        <v>0</v>
      </c>
      <c r="AE45">
        <f t="shared" si="3"/>
        <v>0</v>
      </c>
      <c r="AF45">
        <f t="shared" si="4"/>
        <v>0</v>
      </c>
      <c r="AG45">
        <f t="shared" si="5"/>
        <v>1</v>
      </c>
      <c r="AH45">
        <f t="shared" si="20"/>
        <v>0</v>
      </c>
      <c r="AI45">
        <f t="shared" si="25"/>
        <v>0</v>
      </c>
      <c r="AJ45">
        <f t="shared" si="25"/>
        <v>0</v>
      </c>
      <c r="AK45">
        <f t="shared" si="25"/>
        <v>0</v>
      </c>
      <c r="AL45">
        <f t="shared" si="25"/>
        <v>0</v>
      </c>
      <c r="AM45">
        <f t="shared" si="25"/>
        <v>0</v>
      </c>
      <c r="AN45">
        <f t="shared" si="25"/>
        <v>0</v>
      </c>
      <c r="AO45">
        <f t="shared" si="25"/>
        <v>1</v>
      </c>
      <c r="AP45">
        <f t="shared" si="25"/>
        <v>0</v>
      </c>
      <c r="AQ45">
        <f t="shared" si="25"/>
        <v>0</v>
      </c>
      <c r="AR45">
        <f t="shared" si="25"/>
        <v>0</v>
      </c>
      <c r="AS45">
        <f t="shared" si="25"/>
        <v>0</v>
      </c>
      <c r="AT45">
        <f t="shared" si="25"/>
        <v>0</v>
      </c>
      <c r="AU45">
        <f t="shared" si="25"/>
        <v>0</v>
      </c>
      <c r="AV45">
        <f t="shared" si="25"/>
        <v>0</v>
      </c>
      <c r="AW45">
        <f t="shared" si="25"/>
        <v>0</v>
      </c>
      <c r="AX45">
        <f t="shared" si="22"/>
        <v>1</v>
      </c>
      <c r="AY45">
        <f t="shared" si="22"/>
        <v>0</v>
      </c>
      <c r="AZ45">
        <f t="shared" si="22"/>
        <v>0</v>
      </c>
      <c r="BA45">
        <f t="shared" si="23"/>
        <v>1</v>
      </c>
      <c r="BB45">
        <f t="shared" si="24"/>
        <v>0</v>
      </c>
    </row>
    <row r="46" spans="1:54">
      <c r="A46">
        <v>43</v>
      </c>
      <c r="B46" t="s">
        <v>20</v>
      </c>
      <c r="C46" t="s">
        <v>21</v>
      </c>
      <c r="D46" t="s">
        <v>23</v>
      </c>
      <c r="E46" t="s">
        <v>20</v>
      </c>
      <c r="F46" t="s">
        <v>28</v>
      </c>
      <c r="G46" t="s">
        <v>26</v>
      </c>
      <c r="H46" s="3">
        <v>1.8461526044778898E-2</v>
      </c>
      <c r="I46" s="3">
        <v>1.7510919802014399E-2</v>
      </c>
      <c r="J46" s="3">
        <v>1.5594688521133101E-2</v>
      </c>
      <c r="K46" s="3">
        <v>1.56552670534152E-2</v>
      </c>
      <c r="L46" s="3">
        <v>1.1356159417648301E-2</v>
      </c>
      <c r="M46" s="3">
        <v>8.6941495820721301E-3</v>
      </c>
      <c r="N46" s="3">
        <v>2.0077914294276199E-2</v>
      </c>
      <c r="O46" s="3">
        <v>1.2409106209038E-2</v>
      </c>
      <c r="P46">
        <f t="shared" si="8"/>
        <v>0</v>
      </c>
      <c r="Q46">
        <f t="shared" si="9"/>
        <v>0</v>
      </c>
      <c r="R46">
        <f t="shared" si="10"/>
        <v>0</v>
      </c>
      <c r="S46">
        <f t="shared" si="11"/>
        <v>0</v>
      </c>
      <c r="T46">
        <f t="shared" si="12"/>
        <v>0</v>
      </c>
      <c r="U46">
        <f t="shared" si="13"/>
        <v>1</v>
      </c>
      <c r="V46">
        <f t="shared" si="14"/>
        <v>0</v>
      </c>
      <c r="W46">
        <f t="shared" si="15"/>
        <v>0</v>
      </c>
      <c r="X46">
        <f t="shared" si="16"/>
        <v>0</v>
      </c>
      <c r="Y46">
        <f t="shared" si="17"/>
        <v>0</v>
      </c>
      <c r="Z46">
        <f t="shared" si="18"/>
        <v>0</v>
      </c>
      <c r="AA46">
        <f t="shared" si="19"/>
        <v>0</v>
      </c>
      <c r="AB46">
        <f t="shared" si="0"/>
        <v>0</v>
      </c>
      <c r="AC46">
        <f t="shared" si="1"/>
        <v>0</v>
      </c>
      <c r="AD46">
        <f t="shared" si="2"/>
        <v>0</v>
      </c>
      <c r="AE46">
        <f t="shared" si="3"/>
        <v>0</v>
      </c>
      <c r="AF46">
        <f t="shared" si="4"/>
        <v>0</v>
      </c>
      <c r="AG46">
        <f t="shared" si="5"/>
        <v>1</v>
      </c>
      <c r="AH46">
        <f t="shared" si="20"/>
        <v>0</v>
      </c>
      <c r="AI46">
        <f t="shared" si="25"/>
        <v>0</v>
      </c>
      <c r="AJ46">
        <f t="shared" si="25"/>
        <v>0</v>
      </c>
      <c r="AK46">
        <f t="shared" si="25"/>
        <v>1</v>
      </c>
      <c r="AL46">
        <f t="shared" si="25"/>
        <v>0</v>
      </c>
      <c r="AM46">
        <f t="shared" si="25"/>
        <v>0</v>
      </c>
      <c r="AN46">
        <f t="shared" si="25"/>
        <v>0</v>
      </c>
      <c r="AO46">
        <f t="shared" si="25"/>
        <v>0</v>
      </c>
      <c r="AP46">
        <f t="shared" si="25"/>
        <v>0</v>
      </c>
      <c r="AQ46">
        <f t="shared" si="25"/>
        <v>0</v>
      </c>
      <c r="AR46">
        <f t="shared" si="25"/>
        <v>0</v>
      </c>
      <c r="AS46">
        <f t="shared" si="25"/>
        <v>0</v>
      </c>
      <c r="AT46">
        <f t="shared" si="25"/>
        <v>0</v>
      </c>
      <c r="AU46">
        <f t="shared" si="25"/>
        <v>0</v>
      </c>
      <c r="AV46">
        <f t="shared" si="25"/>
        <v>0</v>
      </c>
      <c r="AW46">
        <f t="shared" si="25"/>
        <v>0</v>
      </c>
      <c r="AX46">
        <f t="shared" si="22"/>
        <v>1</v>
      </c>
      <c r="AY46">
        <f t="shared" si="22"/>
        <v>0</v>
      </c>
      <c r="AZ46">
        <f t="shared" si="22"/>
        <v>0</v>
      </c>
      <c r="BA46">
        <f t="shared" si="23"/>
        <v>1</v>
      </c>
      <c r="BB46">
        <f t="shared" si="24"/>
        <v>0</v>
      </c>
    </row>
    <row r="47" spans="1:54">
      <c r="A47">
        <v>44</v>
      </c>
      <c r="B47" t="s">
        <v>20</v>
      </c>
      <c r="C47" t="s">
        <v>21</v>
      </c>
      <c r="D47" t="s">
        <v>23</v>
      </c>
      <c r="E47" t="s">
        <v>20</v>
      </c>
      <c r="F47" t="s">
        <v>28</v>
      </c>
      <c r="G47" t="s">
        <v>27</v>
      </c>
      <c r="H47" s="3">
        <v>8.7117465440004996E-2</v>
      </c>
      <c r="I47" s="3">
        <v>8.3099114469342997E-2</v>
      </c>
      <c r="J47" s="3">
        <v>7.2230199166950101E-2</v>
      </c>
      <c r="K47" s="3">
        <v>7.3879648182078095E-2</v>
      </c>
      <c r="L47" s="3">
        <v>5.2288803795763103E-2</v>
      </c>
      <c r="M47" s="3">
        <v>3.9546295132895502E-2</v>
      </c>
      <c r="N47" s="3">
        <v>9.5577746077032802E-2</v>
      </c>
      <c r="O47" s="3">
        <v>5.66749908601651E-2</v>
      </c>
      <c r="P47">
        <f t="shared" si="8"/>
        <v>0</v>
      </c>
      <c r="Q47">
        <f t="shared" si="9"/>
        <v>0</v>
      </c>
      <c r="R47">
        <f t="shared" si="10"/>
        <v>0</v>
      </c>
      <c r="S47">
        <f t="shared" si="11"/>
        <v>1</v>
      </c>
      <c r="T47">
        <f t="shared" si="12"/>
        <v>0</v>
      </c>
      <c r="U47">
        <f t="shared" si="13"/>
        <v>1</v>
      </c>
      <c r="V47">
        <f t="shared" si="14"/>
        <v>0</v>
      </c>
      <c r="W47">
        <f t="shared" si="15"/>
        <v>0</v>
      </c>
      <c r="X47">
        <f t="shared" si="16"/>
        <v>0</v>
      </c>
      <c r="Y47">
        <f t="shared" si="17"/>
        <v>0</v>
      </c>
      <c r="Z47">
        <f t="shared" si="18"/>
        <v>0</v>
      </c>
      <c r="AA47">
        <f t="shared" si="19"/>
        <v>0</v>
      </c>
      <c r="AB47">
        <f t="shared" si="0"/>
        <v>0</v>
      </c>
      <c r="AC47">
        <f t="shared" si="1"/>
        <v>0</v>
      </c>
      <c r="AD47">
        <f t="shared" si="2"/>
        <v>0</v>
      </c>
      <c r="AE47">
        <f t="shared" si="3"/>
        <v>0</v>
      </c>
      <c r="AF47">
        <f t="shared" si="4"/>
        <v>0</v>
      </c>
      <c r="AG47">
        <f t="shared" si="5"/>
        <v>1</v>
      </c>
      <c r="AH47">
        <f t="shared" si="20"/>
        <v>0</v>
      </c>
      <c r="AI47">
        <f t="shared" si="25"/>
        <v>0</v>
      </c>
      <c r="AJ47">
        <f t="shared" si="25"/>
        <v>0</v>
      </c>
      <c r="AK47">
        <f t="shared" si="25"/>
        <v>0</v>
      </c>
      <c r="AL47">
        <f t="shared" si="25"/>
        <v>0</v>
      </c>
      <c r="AM47">
        <f t="shared" si="25"/>
        <v>0</v>
      </c>
      <c r="AN47">
        <f t="shared" si="25"/>
        <v>0</v>
      </c>
      <c r="AO47">
        <f t="shared" si="25"/>
        <v>0</v>
      </c>
      <c r="AP47">
        <f t="shared" si="25"/>
        <v>0</v>
      </c>
      <c r="AQ47">
        <f t="shared" si="25"/>
        <v>0</v>
      </c>
      <c r="AR47">
        <f t="shared" si="25"/>
        <v>0</v>
      </c>
      <c r="AS47">
        <f t="shared" si="25"/>
        <v>0</v>
      </c>
      <c r="AT47">
        <f t="shared" si="25"/>
        <v>0</v>
      </c>
      <c r="AU47">
        <f t="shared" si="25"/>
        <v>0</v>
      </c>
      <c r="AV47">
        <f t="shared" si="25"/>
        <v>1</v>
      </c>
      <c r="AW47">
        <f t="shared" si="25"/>
        <v>0</v>
      </c>
      <c r="AX47">
        <f t="shared" si="22"/>
        <v>1</v>
      </c>
      <c r="AY47">
        <f t="shared" si="22"/>
        <v>0</v>
      </c>
      <c r="AZ47">
        <f t="shared" si="22"/>
        <v>0</v>
      </c>
      <c r="BA47">
        <f t="shared" si="23"/>
        <v>0</v>
      </c>
      <c r="BB47">
        <f t="shared" si="24"/>
        <v>0</v>
      </c>
    </row>
    <row r="48" spans="1:54">
      <c r="A48">
        <v>45</v>
      </c>
      <c r="B48" t="s">
        <v>20</v>
      </c>
      <c r="C48" t="s">
        <v>21</v>
      </c>
      <c r="D48" t="s">
        <v>23</v>
      </c>
      <c r="E48" t="s">
        <v>20</v>
      </c>
      <c r="F48" t="s">
        <v>29</v>
      </c>
      <c r="G48" t="s">
        <v>22</v>
      </c>
      <c r="H48" s="3">
        <v>3.0264414265333699E-2</v>
      </c>
      <c r="I48" s="3">
        <v>2.9463781741847599E-2</v>
      </c>
      <c r="J48" s="3">
        <v>2.5725403319940499E-2</v>
      </c>
      <c r="K48" s="3">
        <v>2.74588803663815E-2</v>
      </c>
      <c r="L48" s="3">
        <v>1.9402642579826698E-2</v>
      </c>
      <c r="M48" s="3">
        <v>1.50708785765994E-2</v>
      </c>
      <c r="N48" s="3">
        <v>3.1935176358436602E-2</v>
      </c>
      <c r="O48" s="3">
        <v>2.1583910352417399E-2</v>
      </c>
      <c r="P48">
        <f t="shared" si="8"/>
        <v>0</v>
      </c>
      <c r="Q48">
        <f t="shared" si="9"/>
        <v>0</v>
      </c>
      <c r="R48">
        <f t="shared" si="10"/>
        <v>0</v>
      </c>
      <c r="S48">
        <f t="shared" si="11"/>
        <v>0</v>
      </c>
      <c r="T48">
        <f t="shared" si="12"/>
        <v>0</v>
      </c>
      <c r="U48">
        <f t="shared" si="13"/>
        <v>1</v>
      </c>
      <c r="V48">
        <f t="shared" si="14"/>
        <v>0</v>
      </c>
      <c r="W48">
        <f t="shared" si="15"/>
        <v>0</v>
      </c>
      <c r="X48">
        <f t="shared" si="16"/>
        <v>1</v>
      </c>
      <c r="Y48">
        <f t="shared" si="17"/>
        <v>0</v>
      </c>
      <c r="Z48">
        <f t="shared" si="18"/>
        <v>0</v>
      </c>
      <c r="AA48">
        <f t="shared" si="19"/>
        <v>0</v>
      </c>
      <c r="AB48">
        <f t="shared" si="0"/>
        <v>0</v>
      </c>
      <c r="AC48">
        <f t="shared" si="1"/>
        <v>1</v>
      </c>
      <c r="AD48">
        <f t="shared" si="2"/>
        <v>0</v>
      </c>
      <c r="AE48">
        <f t="shared" si="3"/>
        <v>0</v>
      </c>
      <c r="AF48">
        <f t="shared" si="4"/>
        <v>0</v>
      </c>
      <c r="AG48">
        <f t="shared" si="5"/>
        <v>1</v>
      </c>
      <c r="AH48">
        <f t="shared" si="20"/>
        <v>1</v>
      </c>
      <c r="AI48">
        <f t="shared" si="25"/>
        <v>0</v>
      </c>
      <c r="AJ48">
        <f t="shared" si="25"/>
        <v>0</v>
      </c>
      <c r="AK48">
        <f t="shared" si="25"/>
        <v>0</v>
      </c>
      <c r="AL48">
        <f t="shared" si="25"/>
        <v>0</v>
      </c>
      <c r="AM48">
        <f t="shared" si="25"/>
        <v>0</v>
      </c>
      <c r="AN48">
        <f t="shared" si="25"/>
        <v>0</v>
      </c>
      <c r="AO48">
        <f t="shared" si="25"/>
        <v>0</v>
      </c>
      <c r="AP48">
        <f t="shared" si="25"/>
        <v>0</v>
      </c>
      <c r="AQ48">
        <f t="shared" si="25"/>
        <v>0</v>
      </c>
      <c r="AR48">
        <f t="shared" si="25"/>
        <v>1</v>
      </c>
      <c r="AS48">
        <f t="shared" si="25"/>
        <v>0</v>
      </c>
      <c r="AT48">
        <f t="shared" si="25"/>
        <v>0</v>
      </c>
      <c r="AU48">
        <f t="shared" si="25"/>
        <v>0</v>
      </c>
      <c r="AV48">
        <f t="shared" si="25"/>
        <v>0</v>
      </c>
      <c r="AW48">
        <f t="shared" si="25"/>
        <v>0</v>
      </c>
      <c r="AX48">
        <f t="shared" si="22"/>
        <v>0</v>
      </c>
      <c r="AY48">
        <f t="shared" si="22"/>
        <v>0</v>
      </c>
      <c r="AZ48">
        <f t="shared" si="22"/>
        <v>1</v>
      </c>
      <c r="BA48">
        <f t="shared" si="23"/>
        <v>0</v>
      </c>
      <c r="BB48">
        <f t="shared" si="24"/>
        <v>1</v>
      </c>
    </row>
    <row r="49" spans="1:54">
      <c r="A49">
        <v>46</v>
      </c>
      <c r="B49" t="s">
        <v>20</v>
      </c>
      <c r="C49" t="s">
        <v>21</v>
      </c>
      <c r="D49" t="s">
        <v>23</v>
      </c>
      <c r="E49" t="s">
        <v>20</v>
      </c>
      <c r="F49" t="s">
        <v>29</v>
      </c>
      <c r="G49" t="s">
        <v>23</v>
      </c>
      <c r="H49" s="3">
        <v>0.56496918700208998</v>
      </c>
      <c r="I49" s="3">
        <v>0.56813121466457694</v>
      </c>
      <c r="J49" s="3">
        <v>0.491690707642712</v>
      </c>
      <c r="K49" s="3">
        <v>0.54079110918914297</v>
      </c>
      <c r="L49" s="3">
        <v>0.468789318237332</v>
      </c>
      <c r="M49" s="3">
        <v>0.40585438866506801</v>
      </c>
      <c r="N49" s="3">
        <v>0.60360360360360299</v>
      </c>
      <c r="O49" s="3">
        <v>0.45295535400520698</v>
      </c>
      <c r="P49">
        <f t="shared" si="8"/>
        <v>0</v>
      </c>
      <c r="Q49">
        <f t="shared" si="9"/>
        <v>0</v>
      </c>
      <c r="R49">
        <f t="shared" si="10"/>
        <v>0</v>
      </c>
      <c r="S49">
        <f t="shared" si="11"/>
        <v>0</v>
      </c>
      <c r="T49">
        <f t="shared" si="12"/>
        <v>0</v>
      </c>
      <c r="U49">
        <f t="shared" si="13"/>
        <v>1</v>
      </c>
      <c r="V49">
        <f t="shared" si="14"/>
        <v>0</v>
      </c>
      <c r="W49">
        <f t="shared" si="15"/>
        <v>0</v>
      </c>
      <c r="X49">
        <f t="shared" si="16"/>
        <v>0</v>
      </c>
      <c r="Y49">
        <f t="shared" si="17"/>
        <v>1</v>
      </c>
      <c r="Z49">
        <f t="shared" si="18"/>
        <v>0</v>
      </c>
      <c r="AA49">
        <f t="shared" si="19"/>
        <v>0</v>
      </c>
      <c r="AB49">
        <f t="shared" si="0"/>
        <v>0</v>
      </c>
      <c r="AC49">
        <f t="shared" si="1"/>
        <v>1</v>
      </c>
      <c r="AD49">
        <f t="shared" si="2"/>
        <v>0</v>
      </c>
      <c r="AE49">
        <f t="shared" si="3"/>
        <v>0</v>
      </c>
      <c r="AF49">
        <f t="shared" si="4"/>
        <v>0</v>
      </c>
      <c r="AG49">
        <f t="shared" si="5"/>
        <v>1</v>
      </c>
      <c r="AH49">
        <f t="shared" si="20"/>
        <v>1</v>
      </c>
      <c r="AI49">
        <f t="shared" si="25"/>
        <v>0</v>
      </c>
      <c r="AJ49">
        <f t="shared" si="25"/>
        <v>0</v>
      </c>
      <c r="AK49">
        <f t="shared" si="25"/>
        <v>0</v>
      </c>
      <c r="AL49">
        <f t="shared" si="25"/>
        <v>0</v>
      </c>
      <c r="AM49">
        <f t="shared" si="25"/>
        <v>0</v>
      </c>
      <c r="AN49">
        <f t="shared" si="25"/>
        <v>0</v>
      </c>
      <c r="AO49">
        <f t="shared" si="25"/>
        <v>0</v>
      </c>
      <c r="AP49">
        <f t="shared" si="25"/>
        <v>0</v>
      </c>
      <c r="AQ49">
        <f t="shared" si="25"/>
        <v>0</v>
      </c>
      <c r="AR49">
        <f t="shared" si="25"/>
        <v>0</v>
      </c>
      <c r="AS49">
        <f t="shared" si="25"/>
        <v>0</v>
      </c>
      <c r="AT49">
        <f t="shared" si="25"/>
        <v>0</v>
      </c>
      <c r="AU49">
        <f t="shared" si="25"/>
        <v>0</v>
      </c>
      <c r="AV49">
        <f t="shared" si="25"/>
        <v>0</v>
      </c>
      <c r="AW49">
        <f t="shared" si="25"/>
        <v>0</v>
      </c>
      <c r="AX49">
        <f t="shared" si="22"/>
        <v>0</v>
      </c>
      <c r="AY49">
        <f t="shared" si="22"/>
        <v>0</v>
      </c>
      <c r="AZ49">
        <f t="shared" si="22"/>
        <v>1</v>
      </c>
      <c r="BA49">
        <f t="shared" si="23"/>
        <v>0</v>
      </c>
      <c r="BB49">
        <f t="shared" si="24"/>
        <v>1</v>
      </c>
    </row>
    <row r="50" spans="1:54">
      <c r="A50">
        <v>47</v>
      </c>
      <c r="B50" t="s">
        <v>20</v>
      </c>
      <c r="C50" t="s">
        <v>21</v>
      </c>
      <c r="D50" t="s">
        <v>23</v>
      </c>
      <c r="E50" t="s">
        <v>20</v>
      </c>
      <c r="F50" t="s">
        <v>29</v>
      </c>
      <c r="G50" t="s">
        <v>24</v>
      </c>
      <c r="H50" s="3">
        <v>2.6596151515348901E-2</v>
      </c>
      <c r="I50" s="3">
        <v>2.5495590567688901E-2</v>
      </c>
      <c r="J50" s="3">
        <v>2.2428492950697401E-2</v>
      </c>
      <c r="K50" s="3">
        <v>2.3020932848379801E-2</v>
      </c>
      <c r="L50" s="3">
        <v>1.6468635716965201E-2</v>
      </c>
      <c r="M50" s="3">
        <v>1.2597954220571301E-2</v>
      </c>
      <c r="N50" s="3">
        <v>2.8804815133275999E-2</v>
      </c>
      <c r="O50" s="3">
        <v>1.8117476782524001E-2</v>
      </c>
      <c r="P50">
        <f t="shared" si="8"/>
        <v>0</v>
      </c>
      <c r="Q50">
        <f t="shared" si="9"/>
        <v>0</v>
      </c>
      <c r="R50">
        <f t="shared" si="10"/>
        <v>0</v>
      </c>
      <c r="S50">
        <f t="shared" si="11"/>
        <v>0</v>
      </c>
      <c r="T50">
        <f t="shared" si="12"/>
        <v>0</v>
      </c>
      <c r="U50">
        <f t="shared" si="13"/>
        <v>1</v>
      </c>
      <c r="V50">
        <f t="shared" si="14"/>
        <v>0</v>
      </c>
      <c r="W50">
        <f t="shared" si="15"/>
        <v>0</v>
      </c>
      <c r="X50">
        <f t="shared" si="16"/>
        <v>0</v>
      </c>
      <c r="Y50">
        <f t="shared" si="17"/>
        <v>0</v>
      </c>
      <c r="Z50">
        <f t="shared" si="18"/>
        <v>0</v>
      </c>
      <c r="AA50">
        <f t="shared" si="19"/>
        <v>1</v>
      </c>
      <c r="AB50">
        <f t="shared" si="0"/>
        <v>0</v>
      </c>
      <c r="AC50">
        <f t="shared" si="1"/>
        <v>0</v>
      </c>
      <c r="AD50">
        <f t="shared" si="2"/>
        <v>0</v>
      </c>
      <c r="AE50">
        <f t="shared" si="3"/>
        <v>0</v>
      </c>
      <c r="AF50">
        <f t="shared" si="4"/>
        <v>0</v>
      </c>
      <c r="AG50">
        <f t="shared" si="5"/>
        <v>1</v>
      </c>
      <c r="AH50">
        <f t="shared" si="20"/>
        <v>0</v>
      </c>
      <c r="AI50">
        <f t="shared" si="25"/>
        <v>0</v>
      </c>
      <c r="AJ50">
        <f t="shared" si="25"/>
        <v>0</v>
      </c>
      <c r="AK50">
        <f t="shared" si="25"/>
        <v>0</v>
      </c>
      <c r="AL50">
        <f t="shared" si="25"/>
        <v>0</v>
      </c>
      <c r="AM50">
        <f t="shared" si="25"/>
        <v>0</v>
      </c>
      <c r="AN50">
        <f t="shared" si="25"/>
        <v>0</v>
      </c>
      <c r="AO50">
        <f t="shared" si="25"/>
        <v>0</v>
      </c>
      <c r="AP50">
        <f t="shared" si="25"/>
        <v>0</v>
      </c>
      <c r="AQ50">
        <f t="shared" si="25"/>
        <v>0</v>
      </c>
      <c r="AR50">
        <f t="shared" si="25"/>
        <v>0</v>
      </c>
      <c r="AS50">
        <f t="shared" si="25"/>
        <v>0</v>
      </c>
      <c r="AT50">
        <f t="shared" si="25"/>
        <v>0</v>
      </c>
      <c r="AU50">
        <f t="shared" si="25"/>
        <v>1</v>
      </c>
      <c r="AV50">
        <f t="shared" si="25"/>
        <v>0</v>
      </c>
      <c r="AW50">
        <f t="shared" si="25"/>
        <v>0</v>
      </c>
      <c r="AX50">
        <f t="shared" si="22"/>
        <v>0</v>
      </c>
      <c r="AY50">
        <f t="shared" si="22"/>
        <v>0</v>
      </c>
      <c r="AZ50">
        <f t="shared" si="22"/>
        <v>1</v>
      </c>
      <c r="BA50">
        <f t="shared" si="23"/>
        <v>0</v>
      </c>
      <c r="BB50">
        <f t="shared" si="24"/>
        <v>1</v>
      </c>
    </row>
    <row r="51" spans="1:54">
      <c r="A51">
        <v>48</v>
      </c>
      <c r="B51" t="s">
        <v>20</v>
      </c>
      <c r="C51" t="s">
        <v>21</v>
      </c>
      <c r="D51" t="s">
        <v>23</v>
      </c>
      <c r="E51" t="s">
        <v>20</v>
      </c>
      <c r="F51" t="s">
        <v>29</v>
      </c>
      <c r="G51" t="s">
        <v>31</v>
      </c>
      <c r="H51" s="3">
        <v>0.459185597173216</v>
      </c>
      <c r="I51" s="3">
        <v>0.43303676756690102</v>
      </c>
      <c r="J51" s="3">
        <v>0.383332294045029</v>
      </c>
      <c r="K51" s="3">
        <v>0.38653934250895999</v>
      </c>
      <c r="L51" s="3">
        <v>0.29316997221032598</v>
      </c>
      <c r="M51" s="3">
        <v>0.22135417234156299</v>
      </c>
      <c r="N51" s="3">
        <v>0.5</v>
      </c>
      <c r="O51" s="3">
        <v>0.310658132723929</v>
      </c>
      <c r="P51">
        <f t="shared" si="8"/>
        <v>0</v>
      </c>
      <c r="Q51">
        <f t="shared" si="9"/>
        <v>0</v>
      </c>
      <c r="R51">
        <f t="shared" si="10"/>
        <v>0</v>
      </c>
      <c r="S51">
        <f t="shared" si="11"/>
        <v>0</v>
      </c>
      <c r="T51">
        <f t="shared" si="12"/>
        <v>0</v>
      </c>
      <c r="U51">
        <f t="shared" si="13"/>
        <v>1</v>
      </c>
      <c r="V51">
        <f t="shared" si="14"/>
        <v>0</v>
      </c>
      <c r="W51">
        <f t="shared" si="15"/>
        <v>0</v>
      </c>
      <c r="X51">
        <f t="shared" si="16"/>
        <v>0</v>
      </c>
      <c r="Y51">
        <f t="shared" si="17"/>
        <v>0</v>
      </c>
      <c r="Z51">
        <f t="shared" si="18"/>
        <v>1</v>
      </c>
      <c r="AA51">
        <f t="shared" si="19"/>
        <v>0</v>
      </c>
      <c r="AB51">
        <f t="shared" si="0"/>
        <v>0</v>
      </c>
      <c r="AC51">
        <f t="shared" si="1"/>
        <v>1</v>
      </c>
      <c r="AD51">
        <f t="shared" si="2"/>
        <v>0</v>
      </c>
      <c r="AE51">
        <f t="shared" si="3"/>
        <v>0</v>
      </c>
      <c r="AF51">
        <f t="shared" si="4"/>
        <v>0</v>
      </c>
      <c r="AG51">
        <f t="shared" si="5"/>
        <v>1</v>
      </c>
      <c r="AH51">
        <f t="shared" si="20"/>
        <v>1</v>
      </c>
      <c r="AI51">
        <f t="shared" si="25"/>
        <v>0</v>
      </c>
      <c r="AJ51">
        <f t="shared" si="25"/>
        <v>0</v>
      </c>
      <c r="AK51">
        <f t="shared" si="25"/>
        <v>0</v>
      </c>
      <c r="AL51">
        <f t="shared" si="25"/>
        <v>0</v>
      </c>
      <c r="AM51">
        <f t="shared" si="25"/>
        <v>0</v>
      </c>
      <c r="AN51">
        <f t="shared" si="25"/>
        <v>0</v>
      </c>
      <c r="AO51">
        <f t="shared" si="25"/>
        <v>0</v>
      </c>
      <c r="AP51">
        <f t="shared" si="25"/>
        <v>0</v>
      </c>
      <c r="AQ51">
        <f t="shared" si="25"/>
        <v>0</v>
      </c>
      <c r="AR51">
        <f t="shared" si="25"/>
        <v>0</v>
      </c>
      <c r="AS51">
        <f t="shared" si="25"/>
        <v>0</v>
      </c>
      <c r="AT51">
        <f t="shared" si="25"/>
        <v>0</v>
      </c>
      <c r="AU51">
        <f t="shared" si="25"/>
        <v>0</v>
      </c>
      <c r="AV51">
        <f t="shared" si="25"/>
        <v>0</v>
      </c>
      <c r="AW51">
        <f t="shared" si="25"/>
        <v>0</v>
      </c>
      <c r="AX51">
        <f t="shared" si="22"/>
        <v>0</v>
      </c>
      <c r="AY51">
        <f t="shared" si="22"/>
        <v>0</v>
      </c>
      <c r="AZ51">
        <f t="shared" si="22"/>
        <v>1</v>
      </c>
      <c r="BA51">
        <f t="shared" si="23"/>
        <v>0</v>
      </c>
      <c r="BB51">
        <f t="shared" si="24"/>
        <v>1</v>
      </c>
    </row>
    <row r="52" spans="1:54">
      <c r="A52">
        <v>49</v>
      </c>
      <c r="B52" t="s">
        <v>20</v>
      </c>
      <c r="C52" t="s">
        <v>21</v>
      </c>
      <c r="D52" t="s">
        <v>23</v>
      </c>
      <c r="E52" t="s">
        <v>20</v>
      </c>
      <c r="F52" t="s">
        <v>29</v>
      </c>
      <c r="G52" t="s">
        <v>25</v>
      </c>
      <c r="H52" s="3">
        <v>2.73040347493479E-3</v>
      </c>
      <c r="I52" s="3">
        <v>2.6232819900358102E-3</v>
      </c>
      <c r="J52" s="3">
        <v>2.3343244511867599E-3</v>
      </c>
      <c r="K52" s="3">
        <v>2.3822992270221199E-3</v>
      </c>
      <c r="L52" s="3">
        <v>1.71830970067144E-3</v>
      </c>
      <c r="M52" s="3">
        <v>1.35040663361081E-3</v>
      </c>
      <c r="N52" s="3">
        <v>2.9428558879079302E-3</v>
      </c>
      <c r="O52" s="3">
        <v>1.9160855630187101E-3</v>
      </c>
      <c r="P52">
        <f t="shared" si="8"/>
        <v>0</v>
      </c>
      <c r="Q52">
        <f t="shared" si="9"/>
        <v>0</v>
      </c>
      <c r="R52">
        <f t="shared" si="10"/>
        <v>0</v>
      </c>
      <c r="S52">
        <f t="shared" si="11"/>
        <v>0</v>
      </c>
      <c r="T52">
        <f t="shared" si="12"/>
        <v>0</v>
      </c>
      <c r="U52">
        <f t="shared" si="13"/>
        <v>1</v>
      </c>
      <c r="V52">
        <f t="shared" si="14"/>
        <v>0</v>
      </c>
      <c r="W52">
        <f t="shared" si="15"/>
        <v>0</v>
      </c>
      <c r="X52">
        <f t="shared" si="16"/>
        <v>0</v>
      </c>
      <c r="Y52">
        <f t="shared" si="17"/>
        <v>0</v>
      </c>
      <c r="Z52">
        <f t="shared" si="18"/>
        <v>0</v>
      </c>
      <c r="AA52">
        <f t="shared" si="19"/>
        <v>0</v>
      </c>
      <c r="AB52">
        <f t="shared" si="0"/>
        <v>0</v>
      </c>
      <c r="AC52">
        <f t="shared" si="1"/>
        <v>0</v>
      </c>
      <c r="AD52">
        <f t="shared" si="2"/>
        <v>0</v>
      </c>
      <c r="AE52">
        <f t="shared" si="3"/>
        <v>0</v>
      </c>
      <c r="AF52">
        <f t="shared" si="4"/>
        <v>0</v>
      </c>
      <c r="AG52">
        <f t="shared" si="5"/>
        <v>1</v>
      </c>
      <c r="AH52">
        <f t="shared" si="20"/>
        <v>0</v>
      </c>
      <c r="AI52">
        <f t="shared" ref="AI52:AW68" si="26">IF(OR(AND($D52=AI$1,$G52=AI$2),AND($D52=AI$2,$G52=AI$1)),1,0)</f>
        <v>0</v>
      </c>
      <c r="AJ52">
        <f t="shared" si="26"/>
        <v>0</v>
      </c>
      <c r="AK52">
        <f t="shared" si="26"/>
        <v>0</v>
      </c>
      <c r="AL52">
        <f t="shared" si="26"/>
        <v>0</v>
      </c>
      <c r="AM52">
        <f t="shared" si="26"/>
        <v>0</v>
      </c>
      <c r="AN52">
        <f t="shared" si="26"/>
        <v>0</v>
      </c>
      <c r="AO52">
        <f t="shared" si="26"/>
        <v>1</v>
      </c>
      <c r="AP52">
        <f t="shared" si="26"/>
        <v>0</v>
      </c>
      <c r="AQ52">
        <f t="shared" si="26"/>
        <v>0</v>
      </c>
      <c r="AR52">
        <f t="shared" si="26"/>
        <v>0</v>
      </c>
      <c r="AS52">
        <f t="shared" si="26"/>
        <v>0</v>
      </c>
      <c r="AT52">
        <f t="shared" si="26"/>
        <v>0</v>
      </c>
      <c r="AU52">
        <f t="shared" si="26"/>
        <v>0</v>
      </c>
      <c r="AV52">
        <f t="shared" si="26"/>
        <v>0</v>
      </c>
      <c r="AW52">
        <f t="shared" si="26"/>
        <v>0</v>
      </c>
      <c r="AX52">
        <f t="shared" si="22"/>
        <v>0</v>
      </c>
      <c r="AY52">
        <f t="shared" si="22"/>
        <v>0</v>
      </c>
      <c r="AZ52">
        <f t="shared" si="22"/>
        <v>1</v>
      </c>
      <c r="BA52">
        <f t="shared" si="23"/>
        <v>1</v>
      </c>
      <c r="BB52">
        <f t="shared" si="24"/>
        <v>1</v>
      </c>
    </row>
    <row r="53" spans="1:54">
      <c r="A53">
        <v>50</v>
      </c>
      <c r="B53" t="s">
        <v>20</v>
      </c>
      <c r="C53" t="s">
        <v>21</v>
      </c>
      <c r="D53" t="s">
        <v>23</v>
      </c>
      <c r="E53" t="s">
        <v>20</v>
      </c>
      <c r="F53" t="s">
        <v>29</v>
      </c>
      <c r="G53" t="s">
        <v>26</v>
      </c>
      <c r="H53" s="3">
        <v>2.7959089083374401E-3</v>
      </c>
      <c r="I53" s="3">
        <v>2.69521115471116E-3</v>
      </c>
      <c r="J53" s="3">
        <v>2.38827315227967E-3</v>
      </c>
      <c r="K53" s="3">
        <v>2.4541164674832302E-3</v>
      </c>
      <c r="L53" s="3">
        <v>1.7659769214269201E-3</v>
      </c>
      <c r="M53" s="3">
        <v>1.3901797412496E-3</v>
      </c>
      <c r="N53" s="3">
        <v>3.0136739834472799E-3</v>
      </c>
      <c r="O53" s="3">
        <v>1.9562071306629498E-3</v>
      </c>
      <c r="P53">
        <f t="shared" si="8"/>
        <v>0</v>
      </c>
      <c r="Q53">
        <f t="shared" si="9"/>
        <v>0</v>
      </c>
      <c r="R53">
        <f t="shared" si="10"/>
        <v>0</v>
      </c>
      <c r="S53">
        <f t="shared" si="11"/>
        <v>0</v>
      </c>
      <c r="T53">
        <f t="shared" si="12"/>
        <v>0</v>
      </c>
      <c r="U53">
        <f t="shared" si="13"/>
        <v>1</v>
      </c>
      <c r="V53">
        <f t="shared" si="14"/>
        <v>0</v>
      </c>
      <c r="W53">
        <f t="shared" si="15"/>
        <v>0</v>
      </c>
      <c r="X53">
        <f t="shared" si="16"/>
        <v>0</v>
      </c>
      <c r="Y53">
        <f t="shared" si="17"/>
        <v>0</v>
      </c>
      <c r="Z53">
        <f t="shared" si="18"/>
        <v>0</v>
      </c>
      <c r="AA53">
        <f t="shared" si="19"/>
        <v>0</v>
      </c>
      <c r="AB53">
        <f t="shared" si="0"/>
        <v>0</v>
      </c>
      <c r="AC53">
        <f t="shared" si="1"/>
        <v>0</v>
      </c>
      <c r="AD53">
        <f t="shared" si="2"/>
        <v>0</v>
      </c>
      <c r="AE53">
        <f t="shared" si="3"/>
        <v>0</v>
      </c>
      <c r="AF53">
        <f t="shared" si="4"/>
        <v>0</v>
      </c>
      <c r="AG53">
        <f t="shared" si="5"/>
        <v>1</v>
      </c>
      <c r="AH53">
        <f t="shared" si="20"/>
        <v>0</v>
      </c>
      <c r="AI53">
        <f t="shared" si="26"/>
        <v>0</v>
      </c>
      <c r="AJ53">
        <f t="shared" si="26"/>
        <v>0</v>
      </c>
      <c r="AK53">
        <f t="shared" si="26"/>
        <v>1</v>
      </c>
      <c r="AL53">
        <f t="shared" si="26"/>
        <v>0</v>
      </c>
      <c r="AM53">
        <f t="shared" si="26"/>
        <v>0</v>
      </c>
      <c r="AN53">
        <f t="shared" si="26"/>
        <v>0</v>
      </c>
      <c r="AO53">
        <f t="shared" si="26"/>
        <v>0</v>
      </c>
      <c r="AP53">
        <f t="shared" si="26"/>
        <v>0</v>
      </c>
      <c r="AQ53">
        <f t="shared" si="26"/>
        <v>0</v>
      </c>
      <c r="AR53">
        <f t="shared" si="26"/>
        <v>0</v>
      </c>
      <c r="AS53">
        <f t="shared" si="26"/>
        <v>0</v>
      </c>
      <c r="AT53">
        <f t="shared" si="26"/>
        <v>0</v>
      </c>
      <c r="AU53">
        <f t="shared" si="26"/>
        <v>0</v>
      </c>
      <c r="AV53">
        <f t="shared" si="26"/>
        <v>0</v>
      </c>
      <c r="AW53">
        <f t="shared" si="26"/>
        <v>0</v>
      </c>
      <c r="AX53">
        <f t="shared" si="22"/>
        <v>0</v>
      </c>
      <c r="AY53">
        <f t="shared" si="22"/>
        <v>0</v>
      </c>
      <c r="AZ53">
        <f t="shared" si="22"/>
        <v>1</v>
      </c>
      <c r="BA53">
        <f t="shared" si="23"/>
        <v>1</v>
      </c>
      <c r="BB53">
        <f t="shared" si="24"/>
        <v>1</v>
      </c>
    </row>
    <row r="54" spans="1:54">
      <c r="A54">
        <v>51</v>
      </c>
      <c r="B54" t="s">
        <v>20</v>
      </c>
      <c r="C54" t="s">
        <v>21</v>
      </c>
      <c r="D54" t="s">
        <v>23</v>
      </c>
      <c r="E54" t="s">
        <v>30</v>
      </c>
      <c r="F54" t="s">
        <v>21</v>
      </c>
      <c r="G54" t="s">
        <v>22</v>
      </c>
      <c r="H54" s="3">
        <v>0.882044857929695</v>
      </c>
      <c r="I54" s="3">
        <v>0.83404843766708003</v>
      </c>
      <c r="J54" s="3">
        <v>0.70902929406738502</v>
      </c>
      <c r="K54" s="3">
        <v>0.764568627277326</v>
      </c>
      <c r="L54" s="3">
        <v>0.56806051901466903</v>
      </c>
      <c r="M54" s="3">
        <v>0.45413765795389699</v>
      </c>
      <c r="N54" s="3">
        <v>0.95522388059701402</v>
      </c>
      <c r="O54" s="3">
        <v>0.61154523670653804</v>
      </c>
      <c r="P54">
        <f t="shared" si="8"/>
        <v>0</v>
      </c>
      <c r="Q54">
        <f t="shared" si="9"/>
        <v>0</v>
      </c>
      <c r="R54">
        <f t="shared" si="10"/>
        <v>0</v>
      </c>
      <c r="S54">
        <f t="shared" si="11"/>
        <v>0</v>
      </c>
      <c r="T54">
        <f t="shared" si="12"/>
        <v>1</v>
      </c>
      <c r="U54">
        <f t="shared" si="13"/>
        <v>1</v>
      </c>
      <c r="V54">
        <f t="shared" si="14"/>
        <v>0</v>
      </c>
      <c r="W54">
        <f t="shared" si="15"/>
        <v>0</v>
      </c>
      <c r="X54">
        <f t="shared" si="16"/>
        <v>0</v>
      </c>
      <c r="Y54">
        <f t="shared" si="17"/>
        <v>0</v>
      </c>
      <c r="Z54">
        <f t="shared" si="18"/>
        <v>0</v>
      </c>
      <c r="AA54">
        <f t="shared" si="19"/>
        <v>0</v>
      </c>
      <c r="AB54">
        <f t="shared" si="0"/>
        <v>0</v>
      </c>
      <c r="AC54">
        <f t="shared" si="1"/>
        <v>1</v>
      </c>
      <c r="AD54">
        <f t="shared" si="2"/>
        <v>0</v>
      </c>
      <c r="AE54">
        <f t="shared" si="3"/>
        <v>0</v>
      </c>
      <c r="AF54">
        <f t="shared" si="4"/>
        <v>1</v>
      </c>
      <c r="AG54">
        <f t="shared" si="5"/>
        <v>0</v>
      </c>
      <c r="AH54">
        <f t="shared" si="20"/>
        <v>1</v>
      </c>
      <c r="AI54">
        <f t="shared" si="26"/>
        <v>0</v>
      </c>
      <c r="AJ54">
        <f t="shared" si="26"/>
        <v>0</v>
      </c>
      <c r="AK54">
        <f t="shared" si="26"/>
        <v>0</v>
      </c>
      <c r="AL54">
        <f t="shared" si="26"/>
        <v>0</v>
      </c>
      <c r="AM54">
        <f t="shared" si="26"/>
        <v>0</v>
      </c>
      <c r="AN54">
        <f t="shared" si="26"/>
        <v>0</v>
      </c>
      <c r="AO54">
        <f t="shared" si="26"/>
        <v>0</v>
      </c>
      <c r="AP54">
        <f t="shared" si="26"/>
        <v>0</v>
      </c>
      <c r="AQ54">
        <f t="shared" si="26"/>
        <v>0</v>
      </c>
      <c r="AR54">
        <f t="shared" si="26"/>
        <v>1</v>
      </c>
      <c r="AS54">
        <f t="shared" si="26"/>
        <v>0</v>
      </c>
      <c r="AT54">
        <f t="shared" si="26"/>
        <v>0</v>
      </c>
      <c r="AU54">
        <f t="shared" si="26"/>
        <v>0</v>
      </c>
      <c r="AV54">
        <f t="shared" si="26"/>
        <v>0</v>
      </c>
      <c r="AW54">
        <f t="shared" si="26"/>
        <v>0</v>
      </c>
      <c r="AX54">
        <f t="shared" si="22"/>
        <v>0</v>
      </c>
      <c r="AY54">
        <f t="shared" si="22"/>
        <v>0</v>
      </c>
      <c r="AZ54">
        <f t="shared" si="22"/>
        <v>0</v>
      </c>
      <c r="BA54">
        <f t="shared" si="23"/>
        <v>0</v>
      </c>
      <c r="BB54">
        <f t="shared" si="24"/>
        <v>0</v>
      </c>
    </row>
    <row r="55" spans="1:54">
      <c r="A55">
        <v>52</v>
      </c>
      <c r="B55" t="s">
        <v>20</v>
      </c>
      <c r="C55" t="s">
        <v>21</v>
      </c>
      <c r="D55" t="s">
        <v>23</v>
      </c>
      <c r="E55" t="s">
        <v>30</v>
      </c>
      <c r="F55" t="s">
        <v>21</v>
      </c>
      <c r="G55" t="s">
        <v>23</v>
      </c>
      <c r="H55" s="3">
        <v>0.94583795656868097</v>
      </c>
      <c r="I55" s="3">
        <v>0.92938513470918405</v>
      </c>
      <c r="J55" s="3">
        <v>0.88382539475078203</v>
      </c>
      <c r="K55" s="3">
        <v>0.89576181885662298</v>
      </c>
      <c r="L55" s="3">
        <v>0.80249231662060205</v>
      </c>
      <c r="M55" s="3">
        <v>0.70995749903208705</v>
      </c>
      <c r="N55" s="3">
        <v>0.97101449275362295</v>
      </c>
      <c r="O55" s="3">
        <v>0.85490242576564002</v>
      </c>
      <c r="P55">
        <f t="shared" si="8"/>
        <v>0</v>
      </c>
      <c r="Q55">
        <f t="shared" si="9"/>
        <v>0</v>
      </c>
      <c r="R55">
        <f t="shared" si="10"/>
        <v>0</v>
      </c>
      <c r="S55">
        <f t="shared" si="11"/>
        <v>0</v>
      </c>
      <c r="T55">
        <f t="shared" si="12"/>
        <v>0</v>
      </c>
      <c r="U55">
        <f t="shared" si="13"/>
        <v>1</v>
      </c>
      <c r="V55">
        <f t="shared" si="14"/>
        <v>0</v>
      </c>
      <c r="W55">
        <f t="shared" si="15"/>
        <v>0</v>
      </c>
      <c r="X55">
        <f t="shared" si="16"/>
        <v>0</v>
      </c>
      <c r="Y55">
        <f t="shared" si="17"/>
        <v>0</v>
      </c>
      <c r="Z55">
        <f t="shared" si="18"/>
        <v>0</v>
      </c>
      <c r="AA55">
        <f t="shared" si="19"/>
        <v>0</v>
      </c>
      <c r="AB55">
        <f t="shared" si="0"/>
        <v>0</v>
      </c>
      <c r="AC55">
        <f t="shared" si="1"/>
        <v>1</v>
      </c>
      <c r="AD55">
        <f t="shared" si="2"/>
        <v>0</v>
      </c>
      <c r="AE55">
        <f t="shared" si="3"/>
        <v>0</v>
      </c>
      <c r="AF55">
        <f t="shared" si="4"/>
        <v>1</v>
      </c>
      <c r="AG55">
        <f t="shared" si="5"/>
        <v>0</v>
      </c>
      <c r="AH55">
        <f t="shared" si="20"/>
        <v>1</v>
      </c>
      <c r="AI55">
        <f t="shared" si="26"/>
        <v>0</v>
      </c>
      <c r="AJ55">
        <f t="shared" si="26"/>
        <v>0</v>
      </c>
      <c r="AK55">
        <f t="shared" si="26"/>
        <v>0</v>
      </c>
      <c r="AL55">
        <f t="shared" si="26"/>
        <v>0</v>
      </c>
      <c r="AM55">
        <f t="shared" si="26"/>
        <v>0</v>
      </c>
      <c r="AN55">
        <f t="shared" si="26"/>
        <v>0</v>
      </c>
      <c r="AO55">
        <f t="shared" si="26"/>
        <v>0</v>
      </c>
      <c r="AP55">
        <f t="shared" si="26"/>
        <v>0</v>
      </c>
      <c r="AQ55">
        <f t="shared" si="26"/>
        <v>0</v>
      </c>
      <c r="AR55">
        <f t="shared" si="26"/>
        <v>0</v>
      </c>
      <c r="AS55">
        <f t="shared" si="26"/>
        <v>0</v>
      </c>
      <c r="AT55">
        <f t="shared" si="26"/>
        <v>0</v>
      </c>
      <c r="AU55">
        <f t="shared" si="26"/>
        <v>0</v>
      </c>
      <c r="AV55">
        <f t="shared" si="26"/>
        <v>0</v>
      </c>
      <c r="AW55">
        <f t="shared" si="26"/>
        <v>0</v>
      </c>
      <c r="AX55">
        <f t="shared" si="22"/>
        <v>0</v>
      </c>
      <c r="AY55">
        <f t="shared" si="22"/>
        <v>0</v>
      </c>
      <c r="AZ55">
        <f t="shared" si="22"/>
        <v>0</v>
      </c>
      <c r="BA55">
        <f t="shared" si="23"/>
        <v>0</v>
      </c>
      <c r="BB55">
        <f t="shared" si="24"/>
        <v>0</v>
      </c>
    </row>
    <row r="56" spans="1:54">
      <c r="A56">
        <v>53</v>
      </c>
      <c r="B56" t="s">
        <v>20</v>
      </c>
      <c r="C56" t="s">
        <v>21</v>
      </c>
      <c r="D56" t="s">
        <v>23</v>
      </c>
      <c r="E56" t="s">
        <v>30</v>
      </c>
      <c r="F56" t="s">
        <v>21</v>
      </c>
      <c r="G56" t="s">
        <v>24</v>
      </c>
      <c r="H56" s="3">
        <v>2.46395602059797E-2</v>
      </c>
      <c r="I56" s="3">
        <v>2.36091407180661E-2</v>
      </c>
      <c r="J56" s="3">
        <v>2.05671468740624E-2</v>
      </c>
      <c r="K56" s="3">
        <v>2.13207382422143E-2</v>
      </c>
      <c r="L56" s="3">
        <v>1.47146396138369E-2</v>
      </c>
      <c r="M56" s="3">
        <v>1.1161916716223999E-2</v>
      </c>
      <c r="N56" s="3">
        <v>2.6608419380460602E-2</v>
      </c>
      <c r="O56" s="3">
        <v>1.6287611369335601E-2</v>
      </c>
      <c r="P56">
        <f t="shared" si="8"/>
        <v>0</v>
      </c>
      <c r="Q56">
        <f t="shared" si="9"/>
        <v>0</v>
      </c>
      <c r="R56">
        <f t="shared" si="10"/>
        <v>0</v>
      </c>
      <c r="S56">
        <f t="shared" si="11"/>
        <v>0</v>
      </c>
      <c r="T56">
        <f t="shared" si="12"/>
        <v>0</v>
      </c>
      <c r="U56">
        <f t="shared" si="13"/>
        <v>1</v>
      </c>
      <c r="V56">
        <f t="shared" si="14"/>
        <v>1</v>
      </c>
      <c r="W56">
        <f t="shared" si="15"/>
        <v>0</v>
      </c>
      <c r="X56">
        <f t="shared" si="16"/>
        <v>0</v>
      </c>
      <c r="Y56">
        <f t="shared" si="17"/>
        <v>0</v>
      </c>
      <c r="Z56">
        <f t="shared" si="18"/>
        <v>0</v>
      </c>
      <c r="AA56">
        <f t="shared" si="19"/>
        <v>0</v>
      </c>
      <c r="AB56">
        <f t="shared" si="0"/>
        <v>0</v>
      </c>
      <c r="AC56">
        <f t="shared" si="1"/>
        <v>0</v>
      </c>
      <c r="AD56">
        <f t="shared" si="2"/>
        <v>0</v>
      </c>
      <c r="AE56">
        <f t="shared" si="3"/>
        <v>0</v>
      </c>
      <c r="AF56">
        <f t="shared" si="4"/>
        <v>1</v>
      </c>
      <c r="AG56">
        <f t="shared" si="5"/>
        <v>0</v>
      </c>
      <c r="AH56">
        <f t="shared" si="20"/>
        <v>0</v>
      </c>
      <c r="AI56">
        <f t="shared" si="26"/>
        <v>0</v>
      </c>
      <c r="AJ56">
        <f t="shared" si="26"/>
        <v>0</v>
      </c>
      <c r="AK56">
        <f t="shared" si="26"/>
        <v>0</v>
      </c>
      <c r="AL56">
        <f t="shared" si="26"/>
        <v>0</v>
      </c>
      <c r="AM56">
        <f t="shared" si="26"/>
        <v>0</v>
      </c>
      <c r="AN56">
        <f t="shared" si="26"/>
        <v>0</v>
      </c>
      <c r="AO56">
        <f t="shared" si="26"/>
        <v>0</v>
      </c>
      <c r="AP56">
        <f t="shared" si="26"/>
        <v>0</v>
      </c>
      <c r="AQ56">
        <f t="shared" si="26"/>
        <v>0</v>
      </c>
      <c r="AR56">
        <f t="shared" si="26"/>
        <v>0</v>
      </c>
      <c r="AS56">
        <f t="shared" si="26"/>
        <v>0</v>
      </c>
      <c r="AT56">
        <f t="shared" si="26"/>
        <v>0</v>
      </c>
      <c r="AU56">
        <f t="shared" si="26"/>
        <v>1</v>
      </c>
      <c r="AV56">
        <f t="shared" si="26"/>
        <v>0</v>
      </c>
      <c r="AW56">
        <f t="shared" si="26"/>
        <v>0</v>
      </c>
      <c r="AX56">
        <f t="shared" si="22"/>
        <v>0</v>
      </c>
      <c r="AY56">
        <f t="shared" si="22"/>
        <v>0</v>
      </c>
      <c r="AZ56">
        <f t="shared" si="22"/>
        <v>0</v>
      </c>
      <c r="BA56">
        <f t="shared" si="23"/>
        <v>0</v>
      </c>
      <c r="BB56">
        <f t="shared" si="24"/>
        <v>0</v>
      </c>
    </row>
    <row r="57" spans="1:54">
      <c r="A57">
        <v>54</v>
      </c>
      <c r="B57" t="s">
        <v>20</v>
      </c>
      <c r="C57" t="s">
        <v>21</v>
      </c>
      <c r="D57" t="s">
        <v>23</v>
      </c>
      <c r="E57" t="s">
        <v>30</v>
      </c>
      <c r="F57" t="s">
        <v>21</v>
      </c>
      <c r="G57" t="s">
        <v>25</v>
      </c>
      <c r="H57" s="3">
        <v>1.8681782457618101E-2</v>
      </c>
      <c r="I57" s="3">
        <v>1.78319921354879E-2</v>
      </c>
      <c r="J57" s="3">
        <v>1.57822394592428E-2</v>
      </c>
      <c r="K57" s="3">
        <v>1.6141797105614902E-2</v>
      </c>
      <c r="L57" s="3">
        <v>1.1527285568065E-2</v>
      </c>
      <c r="M57" s="3">
        <v>8.8641932150114698E-3</v>
      </c>
      <c r="N57" s="3">
        <v>2.0083932853716999E-2</v>
      </c>
      <c r="O57" s="3">
        <v>1.27023459831988E-2</v>
      </c>
      <c r="P57">
        <f t="shared" si="8"/>
        <v>0</v>
      </c>
      <c r="Q57">
        <f t="shared" si="9"/>
        <v>0</v>
      </c>
      <c r="R57">
        <f t="shared" si="10"/>
        <v>0</v>
      </c>
      <c r="S57">
        <f t="shared" si="11"/>
        <v>0</v>
      </c>
      <c r="T57">
        <f t="shared" si="12"/>
        <v>0</v>
      </c>
      <c r="U57">
        <f t="shared" si="13"/>
        <v>1</v>
      </c>
      <c r="V57">
        <f t="shared" si="14"/>
        <v>0</v>
      </c>
      <c r="W57">
        <f t="shared" si="15"/>
        <v>0</v>
      </c>
      <c r="X57">
        <f t="shared" si="16"/>
        <v>0</v>
      </c>
      <c r="Y57">
        <f t="shared" si="17"/>
        <v>0</v>
      </c>
      <c r="Z57">
        <f t="shared" si="18"/>
        <v>0</v>
      </c>
      <c r="AA57">
        <f t="shared" si="19"/>
        <v>0</v>
      </c>
      <c r="AB57">
        <f t="shared" si="0"/>
        <v>0</v>
      </c>
      <c r="AC57">
        <f t="shared" si="1"/>
        <v>0</v>
      </c>
      <c r="AD57">
        <f t="shared" si="2"/>
        <v>0</v>
      </c>
      <c r="AE57">
        <f t="shared" si="3"/>
        <v>0</v>
      </c>
      <c r="AF57">
        <f t="shared" si="4"/>
        <v>1</v>
      </c>
      <c r="AG57">
        <f t="shared" si="5"/>
        <v>0</v>
      </c>
      <c r="AH57">
        <f t="shared" si="20"/>
        <v>0</v>
      </c>
      <c r="AI57">
        <f t="shared" si="26"/>
        <v>0</v>
      </c>
      <c r="AJ57">
        <f t="shared" si="26"/>
        <v>0</v>
      </c>
      <c r="AK57">
        <f t="shared" si="26"/>
        <v>0</v>
      </c>
      <c r="AL57">
        <f t="shared" si="26"/>
        <v>0</v>
      </c>
      <c r="AM57">
        <f t="shared" si="26"/>
        <v>0</v>
      </c>
      <c r="AN57">
        <f t="shared" si="26"/>
        <v>0</v>
      </c>
      <c r="AO57">
        <f t="shared" si="26"/>
        <v>1</v>
      </c>
      <c r="AP57">
        <f t="shared" si="26"/>
        <v>0</v>
      </c>
      <c r="AQ57">
        <f t="shared" si="26"/>
        <v>0</v>
      </c>
      <c r="AR57">
        <f t="shared" si="26"/>
        <v>0</v>
      </c>
      <c r="AS57">
        <f t="shared" si="26"/>
        <v>0</v>
      </c>
      <c r="AT57">
        <f t="shared" si="26"/>
        <v>0</v>
      </c>
      <c r="AU57">
        <f t="shared" si="26"/>
        <v>0</v>
      </c>
      <c r="AV57">
        <f t="shared" si="26"/>
        <v>0</v>
      </c>
      <c r="AW57">
        <f t="shared" si="26"/>
        <v>0</v>
      </c>
      <c r="AX57">
        <f t="shared" si="22"/>
        <v>0</v>
      </c>
      <c r="AY57">
        <f t="shared" si="22"/>
        <v>0</v>
      </c>
      <c r="AZ57">
        <f t="shared" si="22"/>
        <v>0</v>
      </c>
      <c r="BA57">
        <f t="shared" si="23"/>
        <v>1</v>
      </c>
      <c r="BB57">
        <f t="shared" si="24"/>
        <v>0</v>
      </c>
    </row>
    <row r="58" spans="1:54">
      <c r="A58">
        <v>55</v>
      </c>
      <c r="B58" t="s">
        <v>20</v>
      </c>
      <c r="C58" t="s">
        <v>21</v>
      </c>
      <c r="D58" t="s">
        <v>23</v>
      </c>
      <c r="E58" t="s">
        <v>30</v>
      </c>
      <c r="F58" t="s">
        <v>21</v>
      </c>
      <c r="G58" t="s">
        <v>26</v>
      </c>
      <c r="H58" s="3">
        <v>1.8929762958118799E-2</v>
      </c>
      <c r="I58" s="3">
        <v>1.8089472329145501E-2</v>
      </c>
      <c r="J58" s="3">
        <v>1.6046944721615601E-2</v>
      </c>
      <c r="K58" s="3">
        <v>1.6399242484401E-2</v>
      </c>
      <c r="L58" s="3">
        <v>1.16950305772395E-2</v>
      </c>
      <c r="M58" s="3">
        <v>8.9720541537978496E-3</v>
      </c>
      <c r="N58" s="3">
        <v>2.0333839150227601E-2</v>
      </c>
      <c r="O58" s="3">
        <v>1.2954728119420099E-2</v>
      </c>
      <c r="P58">
        <f t="shared" si="8"/>
        <v>0</v>
      </c>
      <c r="Q58">
        <f t="shared" si="9"/>
        <v>0</v>
      </c>
      <c r="R58">
        <f t="shared" si="10"/>
        <v>0</v>
      </c>
      <c r="S58">
        <f t="shared" si="11"/>
        <v>0</v>
      </c>
      <c r="T58">
        <f t="shared" si="12"/>
        <v>0</v>
      </c>
      <c r="U58">
        <f t="shared" si="13"/>
        <v>1</v>
      </c>
      <c r="V58">
        <f t="shared" si="14"/>
        <v>0</v>
      </c>
      <c r="W58">
        <f t="shared" si="15"/>
        <v>0</v>
      </c>
      <c r="X58">
        <f t="shared" si="16"/>
        <v>0</v>
      </c>
      <c r="Y58">
        <f t="shared" si="17"/>
        <v>0</v>
      </c>
      <c r="Z58">
        <f t="shared" si="18"/>
        <v>0</v>
      </c>
      <c r="AA58">
        <f t="shared" si="19"/>
        <v>0</v>
      </c>
      <c r="AB58">
        <f t="shared" si="0"/>
        <v>0</v>
      </c>
      <c r="AC58">
        <f t="shared" si="1"/>
        <v>0</v>
      </c>
      <c r="AD58">
        <f t="shared" si="2"/>
        <v>0</v>
      </c>
      <c r="AE58">
        <f t="shared" si="3"/>
        <v>0</v>
      </c>
      <c r="AF58">
        <f t="shared" si="4"/>
        <v>1</v>
      </c>
      <c r="AG58">
        <f t="shared" si="5"/>
        <v>0</v>
      </c>
      <c r="AH58">
        <f t="shared" si="20"/>
        <v>0</v>
      </c>
      <c r="AI58">
        <f t="shared" si="26"/>
        <v>0</v>
      </c>
      <c r="AJ58">
        <f t="shared" si="26"/>
        <v>0</v>
      </c>
      <c r="AK58">
        <f t="shared" si="26"/>
        <v>1</v>
      </c>
      <c r="AL58">
        <f t="shared" si="26"/>
        <v>0</v>
      </c>
      <c r="AM58">
        <f t="shared" si="26"/>
        <v>0</v>
      </c>
      <c r="AN58">
        <f t="shared" si="26"/>
        <v>0</v>
      </c>
      <c r="AO58">
        <f t="shared" si="26"/>
        <v>0</v>
      </c>
      <c r="AP58">
        <f t="shared" si="26"/>
        <v>0</v>
      </c>
      <c r="AQ58">
        <f t="shared" si="26"/>
        <v>0</v>
      </c>
      <c r="AR58">
        <f t="shared" si="26"/>
        <v>0</v>
      </c>
      <c r="AS58">
        <f t="shared" si="26"/>
        <v>0</v>
      </c>
      <c r="AT58">
        <f t="shared" si="26"/>
        <v>0</v>
      </c>
      <c r="AU58">
        <f t="shared" si="26"/>
        <v>0</v>
      </c>
      <c r="AV58">
        <f t="shared" si="26"/>
        <v>0</v>
      </c>
      <c r="AW58">
        <f t="shared" si="26"/>
        <v>0</v>
      </c>
      <c r="AX58">
        <f t="shared" si="22"/>
        <v>0</v>
      </c>
      <c r="AY58">
        <f t="shared" si="22"/>
        <v>0</v>
      </c>
      <c r="AZ58">
        <f t="shared" si="22"/>
        <v>0</v>
      </c>
      <c r="BA58">
        <f t="shared" si="23"/>
        <v>1</v>
      </c>
      <c r="BB58">
        <f t="shared" si="24"/>
        <v>0</v>
      </c>
    </row>
    <row r="59" spans="1:54">
      <c r="A59">
        <v>56</v>
      </c>
      <c r="B59" t="s">
        <v>20</v>
      </c>
      <c r="C59" t="s">
        <v>21</v>
      </c>
      <c r="D59" t="s">
        <v>23</v>
      </c>
      <c r="E59" t="s">
        <v>30</v>
      </c>
      <c r="F59" t="s">
        <v>21</v>
      </c>
      <c r="G59" t="s">
        <v>27</v>
      </c>
      <c r="H59" s="3">
        <v>6.20787017938789E-2</v>
      </c>
      <c r="I59" s="3">
        <v>5.8963829839986E-2</v>
      </c>
      <c r="J59" s="3">
        <v>5.1357489837257297E-2</v>
      </c>
      <c r="K59" s="3">
        <v>5.25398191526356E-2</v>
      </c>
      <c r="L59" s="3">
        <v>3.7770452026520303E-2</v>
      </c>
      <c r="M59" s="3">
        <v>2.8772344353164701E-2</v>
      </c>
      <c r="N59" s="3">
        <v>6.7745197168857393E-2</v>
      </c>
      <c r="O59" s="3">
        <v>4.04378788575935E-2</v>
      </c>
      <c r="P59">
        <f t="shared" si="8"/>
        <v>0</v>
      </c>
      <c r="Q59">
        <f t="shared" si="9"/>
        <v>0</v>
      </c>
      <c r="R59">
        <f t="shared" si="10"/>
        <v>0</v>
      </c>
      <c r="S59">
        <f t="shared" si="11"/>
        <v>0</v>
      </c>
      <c r="T59">
        <f t="shared" si="12"/>
        <v>0</v>
      </c>
      <c r="U59">
        <f t="shared" si="13"/>
        <v>1</v>
      </c>
      <c r="V59">
        <f t="shared" si="14"/>
        <v>0</v>
      </c>
      <c r="W59">
        <f t="shared" si="15"/>
        <v>1</v>
      </c>
      <c r="X59">
        <f t="shared" si="16"/>
        <v>0</v>
      </c>
      <c r="Y59">
        <f t="shared" si="17"/>
        <v>0</v>
      </c>
      <c r="Z59">
        <f t="shared" si="18"/>
        <v>0</v>
      </c>
      <c r="AA59">
        <f t="shared" si="19"/>
        <v>0</v>
      </c>
      <c r="AB59">
        <f t="shared" si="0"/>
        <v>0</v>
      </c>
      <c r="AC59">
        <f t="shared" si="1"/>
        <v>0</v>
      </c>
      <c r="AD59">
        <f t="shared" si="2"/>
        <v>0</v>
      </c>
      <c r="AE59">
        <f t="shared" si="3"/>
        <v>0</v>
      </c>
      <c r="AF59">
        <f t="shared" si="4"/>
        <v>1</v>
      </c>
      <c r="AG59">
        <f t="shared" si="5"/>
        <v>0</v>
      </c>
      <c r="AH59">
        <f t="shared" si="20"/>
        <v>0</v>
      </c>
      <c r="AI59">
        <f t="shared" si="26"/>
        <v>0</v>
      </c>
      <c r="AJ59">
        <f t="shared" si="26"/>
        <v>0</v>
      </c>
      <c r="AK59">
        <f t="shared" si="26"/>
        <v>0</v>
      </c>
      <c r="AL59">
        <f t="shared" si="26"/>
        <v>0</v>
      </c>
      <c r="AM59">
        <f t="shared" si="26"/>
        <v>0</v>
      </c>
      <c r="AN59">
        <f t="shared" si="26"/>
        <v>0</v>
      </c>
      <c r="AO59">
        <f t="shared" si="26"/>
        <v>0</v>
      </c>
      <c r="AP59">
        <f t="shared" si="26"/>
        <v>0</v>
      </c>
      <c r="AQ59">
        <f t="shared" si="26"/>
        <v>0</v>
      </c>
      <c r="AR59">
        <f t="shared" si="26"/>
        <v>0</v>
      </c>
      <c r="AS59">
        <f t="shared" si="26"/>
        <v>0</v>
      </c>
      <c r="AT59">
        <f t="shared" si="26"/>
        <v>0</v>
      </c>
      <c r="AU59">
        <f t="shared" si="26"/>
        <v>0</v>
      </c>
      <c r="AV59">
        <f t="shared" si="26"/>
        <v>1</v>
      </c>
      <c r="AW59">
        <f t="shared" si="26"/>
        <v>0</v>
      </c>
      <c r="AX59">
        <f t="shared" si="22"/>
        <v>0</v>
      </c>
      <c r="AY59">
        <f t="shared" si="22"/>
        <v>0</v>
      </c>
      <c r="AZ59">
        <f t="shared" si="22"/>
        <v>0</v>
      </c>
      <c r="BA59">
        <f t="shared" si="23"/>
        <v>0</v>
      </c>
      <c r="BB59">
        <f t="shared" si="24"/>
        <v>0</v>
      </c>
    </row>
    <row r="60" spans="1:54">
      <c r="A60">
        <v>57</v>
      </c>
      <c r="B60" t="s">
        <v>20</v>
      </c>
      <c r="C60" t="s">
        <v>21</v>
      </c>
      <c r="D60" t="s">
        <v>23</v>
      </c>
      <c r="E60" t="s">
        <v>30</v>
      </c>
      <c r="F60" t="s">
        <v>28</v>
      </c>
      <c r="G60" t="s">
        <v>22</v>
      </c>
      <c r="H60" s="3">
        <v>0.83218264524956798</v>
      </c>
      <c r="I60" s="3">
        <v>0.81347452658197905</v>
      </c>
      <c r="J60" s="3">
        <v>0.66551646872794101</v>
      </c>
      <c r="K60" s="3">
        <v>0.73350014537768904</v>
      </c>
      <c r="L60" s="3">
        <v>0.53246002642463997</v>
      </c>
      <c r="M60" s="3">
        <v>0.41013991587181697</v>
      </c>
      <c r="N60" s="3">
        <v>0.95714285714285696</v>
      </c>
      <c r="O60" s="3">
        <v>0.55911692430353499</v>
      </c>
      <c r="P60">
        <f t="shared" si="8"/>
        <v>1</v>
      </c>
      <c r="Q60">
        <f t="shared" si="9"/>
        <v>0</v>
      </c>
      <c r="R60">
        <f t="shared" si="10"/>
        <v>0</v>
      </c>
      <c r="S60">
        <f t="shared" si="11"/>
        <v>0</v>
      </c>
      <c r="T60">
        <f t="shared" si="12"/>
        <v>0</v>
      </c>
      <c r="U60">
        <f t="shared" si="13"/>
        <v>1</v>
      </c>
      <c r="V60">
        <f t="shared" si="14"/>
        <v>0</v>
      </c>
      <c r="W60">
        <f t="shared" si="15"/>
        <v>0</v>
      </c>
      <c r="X60">
        <f t="shared" si="16"/>
        <v>0</v>
      </c>
      <c r="Y60">
        <f t="shared" si="17"/>
        <v>0</v>
      </c>
      <c r="Z60">
        <f t="shared" si="18"/>
        <v>0</v>
      </c>
      <c r="AA60">
        <f t="shared" si="19"/>
        <v>0</v>
      </c>
      <c r="AB60">
        <f t="shared" si="0"/>
        <v>0</v>
      </c>
      <c r="AC60">
        <f t="shared" si="1"/>
        <v>1</v>
      </c>
      <c r="AD60">
        <f t="shared" si="2"/>
        <v>0</v>
      </c>
      <c r="AE60">
        <f t="shared" si="3"/>
        <v>0</v>
      </c>
      <c r="AF60">
        <f t="shared" si="4"/>
        <v>0</v>
      </c>
      <c r="AG60">
        <f t="shared" si="5"/>
        <v>0</v>
      </c>
      <c r="AH60">
        <f t="shared" si="20"/>
        <v>1</v>
      </c>
      <c r="AI60">
        <f t="shared" si="26"/>
        <v>0</v>
      </c>
      <c r="AJ60">
        <f t="shared" si="26"/>
        <v>0</v>
      </c>
      <c r="AK60">
        <f t="shared" si="26"/>
        <v>0</v>
      </c>
      <c r="AL60">
        <f t="shared" si="26"/>
        <v>0</v>
      </c>
      <c r="AM60">
        <f t="shared" si="26"/>
        <v>0</v>
      </c>
      <c r="AN60">
        <f t="shared" si="26"/>
        <v>0</v>
      </c>
      <c r="AO60">
        <f t="shared" si="26"/>
        <v>0</v>
      </c>
      <c r="AP60">
        <f t="shared" si="26"/>
        <v>0</v>
      </c>
      <c r="AQ60">
        <f t="shared" si="26"/>
        <v>0</v>
      </c>
      <c r="AR60">
        <f t="shared" si="26"/>
        <v>1</v>
      </c>
      <c r="AS60">
        <f t="shared" si="26"/>
        <v>0</v>
      </c>
      <c r="AT60">
        <f t="shared" si="26"/>
        <v>0</v>
      </c>
      <c r="AU60">
        <f t="shared" si="26"/>
        <v>0</v>
      </c>
      <c r="AV60">
        <f t="shared" si="26"/>
        <v>0</v>
      </c>
      <c r="AW60">
        <f t="shared" si="26"/>
        <v>0</v>
      </c>
      <c r="AX60">
        <f t="shared" si="22"/>
        <v>1</v>
      </c>
      <c r="AY60">
        <f t="shared" si="22"/>
        <v>0</v>
      </c>
      <c r="AZ60">
        <f t="shared" si="22"/>
        <v>0</v>
      </c>
      <c r="BA60">
        <f t="shared" si="23"/>
        <v>0</v>
      </c>
      <c r="BB60">
        <f t="shared" si="24"/>
        <v>0</v>
      </c>
    </row>
    <row r="61" spans="1:54">
      <c r="A61">
        <v>58</v>
      </c>
      <c r="B61" t="s">
        <v>20</v>
      </c>
      <c r="C61" t="s">
        <v>21</v>
      </c>
      <c r="D61" t="s">
        <v>23</v>
      </c>
      <c r="E61" t="s">
        <v>30</v>
      </c>
      <c r="F61" t="s">
        <v>28</v>
      </c>
      <c r="G61" t="s">
        <v>23</v>
      </c>
      <c r="H61" s="3">
        <v>0.74162748624972796</v>
      </c>
      <c r="I61" s="3">
        <v>0.73675958144897702</v>
      </c>
      <c r="J61" s="3">
        <v>0.65475795329335895</v>
      </c>
      <c r="K61" s="3">
        <v>0.68609106003145404</v>
      </c>
      <c r="L61" s="3">
        <v>0.59834862966501301</v>
      </c>
      <c r="M61" s="3">
        <v>0.50519363290027897</v>
      </c>
      <c r="N61" s="3">
        <v>0.80722891566264998</v>
      </c>
      <c r="O61" s="3">
        <v>0.60458957265509805</v>
      </c>
      <c r="P61">
        <f t="shared" si="8"/>
        <v>0</v>
      </c>
      <c r="Q61">
        <f t="shared" si="9"/>
        <v>1</v>
      </c>
      <c r="R61">
        <f t="shared" si="10"/>
        <v>0</v>
      </c>
      <c r="S61">
        <f t="shared" si="11"/>
        <v>0</v>
      </c>
      <c r="T61">
        <f t="shared" si="12"/>
        <v>0</v>
      </c>
      <c r="U61">
        <f t="shared" si="13"/>
        <v>1</v>
      </c>
      <c r="V61">
        <f t="shared" si="14"/>
        <v>0</v>
      </c>
      <c r="W61">
        <f t="shared" si="15"/>
        <v>0</v>
      </c>
      <c r="X61">
        <f t="shared" si="16"/>
        <v>0</v>
      </c>
      <c r="Y61">
        <f t="shared" si="17"/>
        <v>0</v>
      </c>
      <c r="Z61">
        <f t="shared" si="18"/>
        <v>0</v>
      </c>
      <c r="AA61">
        <f t="shared" si="19"/>
        <v>0</v>
      </c>
      <c r="AB61">
        <f t="shared" si="0"/>
        <v>0</v>
      </c>
      <c r="AC61">
        <f t="shared" si="1"/>
        <v>1</v>
      </c>
      <c r="AD61">
        <f t="shared" si="2"/>
        <v>0</v>
      </c>
      <c r="AE61">
        <f t="shared" si="3"/>
        <v>0</v>
      </c>
      <c r="AF61">
        <f t="shared" si="4"/>
        <v>0</v>
      </c>
      <c r="AG61">
        <f t="shared" si="5"/>
        <v>0</v>
      </c>
      <c r="AH61">
        <f t="shared" si="20"/>
        <v>1</v>
      </c>
      <c r="AI61">
        <f t="shared" si="26"/>
        <v>0</v>
      </c>
      <c r="AJ61">
        <f t="shared" si="26"/>
        <v>0</v>
      </c>
      <c r="AK61">
        <f t="shared" si="26"/>
        <v>0</v>
      </c>
      <c r="AL61">
        <f t="shared" si="26"/>
        <v>0</v>
      </c>
      <c r="AM61">
        <f t="shared" si="26"/>
        <v>0</v>
      </c>
      <c r="AN61">
        <f t="shared" si="26"/>
        <v>0</v>
      </c>
      <c r="AO61">
        <f t="shared" si="26"/>
        <v>0</v>
      </c>
      <c r="AP61">
        <f t="shared" si="26"/>
        <v>0</v>
      </c>
      <c r="AQ61">
        <f t="shared" si="26"/>
        <v>0</v>
      </c>
      <c r="AR61">
        <f t="shared" si="26"/>
        <v>0</v>
      </c>
      <c r="AS61">
        <f t="shared" si="26"/>
        <v>0</v>
      </c>
      <c r="AT61">
        <f t="shared" si="26"/>
        <v>0</v>
      </c>
      <c r="AU61">
        <f t="shared" si="26"/>
        <v>0</v>
      </c>
      <c r="AV61">
        <f t="shared" si="26"/>
        <v>0</v>
      </c>
      <c r="AW61">
        <f t="shared" si="26"/>
        <v>0</v>
      </c>
      <c r="AX61">
        <f t="shared" si="22"/>
        <v>1</v>
      </c>
      <c r="AY61">
        <f t="shared" si="22"/>
        <v>0</v>
      </c>
      <c r="AZ61">
        <f t="shared" si="22"/>
        <v>0</v>
      </c>
      <c r="BA61">
        <f t="shared" si="23"/>
        <v>0</v>
      </c>
      <c r="BB61">
        <f t="shared" si="24"/>
        <v>0</v>
      </c>
    </row>
    <row r="62" spans="1:54">
      <c r="A62">
        <v>59</v>
      </c>
      <c r="B62" t="s">
        <v>20</v>
      </c>
      <c r="C62" t="s">
        <v>21</v>
      </c>
      <c r="D62" t="s">
        <v>23</v>
      </c>
      <c r="E62" t="s">
        <v>30</v>
      </c>
      <c r="F62" t="s">
        <v>28</v>
      </c>
      <c r="G62" t="s">
        <v>24</v>
      </c>
      <c r="H62" s="3">
        <v>2.4619105638875399E-2</v>
      </c>
      <c r="I62" s="3">
        <v>2.35005157097882E-2</v>
      </c>
      <c r="J62" s="3">
        <v>2.0537516548802998E-2</v>
      </c>
      <c r="K62" s="3">
        <v>2.1128583626851299E-2</v>
      </c>
      <c r="L62" s="3">
        <v>1.4897802342798199E-2</v>
      </c>
      <c r="M62" s="3">
        <v>1.1293249039436E-2</v>
      </c>
      <c r="N62" s="3">
        <v>2.66507557677008E-2</v>
      </c>
      <c r="O62" s="3">
        <v>1.6285493079937399E-2</v>
      </c>
      <c r="P62">
        <f t="shared" si="8"/>
        <v>0</v>
      </c>
      <c r="Q62">
        <f t="shared" si="9"/>
        <v>0</v>
      </c>
      <c r="R62">
        <f t="shared" si="10"/>
        <v>1</v>
      </c>
      <c r="S62">
        <f t="shared" si="11"/>
        <v>0</v>
      </c>
      <c r="T62">
        <f t="shared" si="12"/>
        <v>0</v>
      </c>
      <c r="U62">
        <f t="shared" si="13"/>
        <v>1</v>
      </c>
      <c r="V62">
        <f t="shared" si="14"/>
        <v>0</v>
      </c>
      <c r="W62">
        <f t="shared" si="15"/>
        <v>0</v>
      </c>
      <c r="X62">
        <f t="shared" si="16"/>
        <v>0</v>
      </c>
      <c r="Y62">
        <f t="shared" si="17"/>
        <v>0</v>
      </c>
      <c r="Z62">
        <f t="shared" si="18"/>
        <v>0</v>
      </c>
      <c r="AA62">
        <f t="shared" si="19"/>
        <v>0</v>
      </c>
      <c r="AB62">
        <f t="shared" si="0"/>
        <v>0</v>
      </c>
      <c r="AC62">
        <f t="shared" si="1"/>
        <v>0</v>
      </c>
      <c r="AD62">
        <f t="shared" si="2"/>
        <v>0</v>
      </c>
      <c r="AE62">
        <f t="shared" si="3"/>
        <v>0</v>
      </c>
      <c r="AF62">
        <f t="shared" si="4"/>
        <v>0</v>
      </c>
      <c r="AG62">
        <f t="shared" si="5"/>
        <v>0</v>
      </c>
      <c r="AH62">
        <f t="shared" si="20"/>
        <v>0</v>
      </c>
      <c r="AI62">
        <f t="shared" si="26"/>
        <v>0</v>
      </c>
      <c r="AJ62">
        <f t="shared" si="26"/>
        <v>0</v>
      </c>
      <c r="AK62">
        <f t="shared" si="26"/>
        <v>0</v>
      </c>
      <c r="AL62">
        <f t="shared" si="26"/>
        <v>0</v>
      </c>
      <c r="AM62">
        <f t="shared" si="26"/>
        <v>0</v>
      </c>
      <c r="AN62">
        <f t="shared" si="26"/>
        <v>0</v>
      </c>
      <c r="AO62">
        <f t="shared" si="26"/>
        <v>0</v>
      </c>
      <c r="AP62">
        <f t="shared" si="26"/>
        <v>0</v>
      </c>
      <c r="AQ62">
        <f t="shared" si="26"/>
        <v>0</v>
      </c>
      <c r="AR62">
        <f t="shared" si="26"/>
        <v>0</v>
      </c>
      <c r="AS62">
        <f t="shared" si="26"/>
        <v>0</v>
      </c>
      <c r="AT62">
        <f t="shared" si="26"/>
        <v>0</v>
      </c>
      <c r="AU62">
        <f t="shared" si="26"/>
        <v>1</v>
      </c>
      <c r="AV62">
        <f t="shared" si="26"/>
        <v>0</v>
      </c>
      <c r="AW62">
        <f t="shared" si="26"/>
        <v>0</v>
      </c>
      <c r="AX62">
        <f t="shared" si="22"/>
        <v>1</v>
      </c>
      <c r="AY62">
        <f t="shared" si="22"/>
        <v>0</v>
      </c>
      <c r="AZ62">
        <f t="shared" si="22"/>
        <v>0</v>
      </c>
      <c r="BA62">
        <f t="shared" si="23"/>
        <v>0</v>
      </c>
      <c r="BB62">
        <f t="shared" si="24"/>
        <v>0</v>
      </c>
    </row>
    <row r="63" spans="1:54">
      <c r="A63">
        <v>60</v>
      </c>
      <c r="B63" t="s">
        <v>20</v>
      </c>
      <c r="C63" t="s">
        <v>21</v>
      </c>
      <c r="D63" t="s">
        <v>23</v>
      </c>
      <c r="E63" t="s">
        <v>30</v>
      </c>
      <c r="F63" t="s">
        <v>28</v>
      </c>
      <c r="G63" t="s">
        <v>25</v>
      </c>
      <c r="H63" s="3">
        <v>1.8592535538958201E-2</v>
      </c>
      <c r="I63" s="3">
        <v>1.7692765262195698E-2</v>
      </c>
      <c r="J63" s="3">
        <v>1.5762312204717899E-2</v>
      </c>
      <c r="K63" s="3">
        <v>1.60821779748258E-2</v>
      </c>
      <c r="L63" s="3">
        <v>1.15453666907649E-2</v>
      </c>
      <c r="M63" s="3">
        <v>8.9546800111351705E-3</v>
      </c>
      <c r="N63" s="3">
        <v>1.98107628622117E-2</v>
      </c>
      <c r="O63" s="3">
        <v>1.29638765864897E-2</v>
      </c>
      <c r="P63">
        <f t="shared" si="8"/>
        <v>0</v>
      </c>
      <c r="Q63">
        <f t="shared" si="9"/>
        <v>0</v>
      </c>
      <c r="R63">
        <f t="shared" si="10"/>
        <v>0</v>
      </c>
      <c r="S63">
        <f t="shared" si="11"/>
        <v>0</v>
      </c>
      <c r="T63">
        <f t="shared" si="12"/>
        <v>0</v>
      </c>
      <c r="U63">
        <f t="shared" si="13"/>
        <v>1</v>
      </c>
      <c r="V63">
        <f t="shared" si="14"/>
        <v>0</v>
      </c>
      <c r="W63">
        <f t="shared" si="15"/>
        <v>0</v>
      </c>
      <c r="X63">
        <f t="shared" si="16"/>
        <v>0</v>
      </c>
      <c r="Y63">
        <f t="shared" si="17"/>
        <v>0</v>
      </c>
      <c r="Z63">
        <f t="shared" si="18"/>
        <v>0</v>
      </c>
      <c r="AA63">
        <f t="shared" si="19"/>
        <v>0</v>
      </c>
      <c r="AB63">
        <f t="shared" si="0"/>
        <v>0</v>
      </c>
      <c r="AC63">
        <f t="shared" si="1"/>
        <v>0</v>
      </c>
      <c r="AD63">
        <f t="shared" si="2"/>
        <v>0</v>
      </c>
      <c r="AE63">
        <f t="shared" si="3"/>
        <v>0</v>
      </c>
      <c r="AF63">
        <f t="shared" si="4"/>
        <v>0</v>
      </c>
      <c r="AG63">
        <f t="shared" si="5"/>
        <v>0</v>
      </c>
      <c r="AH63">
        <f t="shared" si="20"/>
        <v>0</v>
      </c>
      <c r="AI63">
        <f t="shared" si="26"/>
        <v>0</v>
      </c>
      <c r="AJ63">
        <f t="shared" si="26"/>
        <v>0</v>
      </c>
      <c r="AK63">
        <f t="shared" si="26"/>
        <v>0</v>
      </c>
      <c r="AL63">
        <f t="shared" si="26"/>
        <v>0</v>
      </c>
      <c r="AM63">
        <f t="shared" si="26"/>
        <v>0</v>
      </c>
      <c r="AN63">
        <f t="shared" si="26"/>
        <v>0</v>
      </c>
      <c r="AO63">
        <f t="shared" si="26"/>
        <v>1</v>
      </c>
      <c r="AP63">
        <f t="shared" si="26"/>
        <v>0</v>
      </c>
      <c r="AQ63">
        <f t="shared" si="26"/>
        <v>0</v>
      </c>
      <c r="AR63">
        <f t="shared" si="26"/>
        <v>0</v>
      </c>
      <c r="AS63">
        <f t="shared" si="26"/>
        <v>0</v>
      </c>
      <c r="AT63">
        <f t="shared" si="26"/>
        <v>0</v>
      </c>
      <c r="AU63">
        <f t="shared" si="26"/>
        <v>0</v>
      </c>
      <c r="AV63">
        <f t="shared" si="26"/>
        <v>0</v>
      </c>
      <c r="AW63">
        <f t="shared" si="26"/>
        <v>0</v>
      </c>
      <c r="AX63">
        <f t="shared" si="22"/>
        <v>1</v>
      </c>
      <c r="AY63">
        <f t="shared" si="22"/>
        <v>0</v>
      </c>
      <c r="AZ63">
        <f t="shared" si="22"/>
        <v>0</v>
      </c>
      <c r="BA63">
        <f t="shared" si="23"/>
        <v>1</v>
      </c>
      <c r="BB63">
        <f t="shared" si="24"/>
        <v>0</v>
      </c>
    </row>
    <row r="64" spans="1:54">
      <c r="A64">
        <v>61</v>
      </c>
      <c r="B64" t="s">
        <v>20</v>
      </c>
      <c r="C64" t="s">
        <v>21</v>
      </c>
      <c r="D64" t="s">
        <v>23</v>
      </c>
      <c r="E64" t="s">
        <v>30</v>
      </c>
      <c r="F64" t="s">
        <v>28</v>
      </c>
      <c r="G64" t="s">
        <v>26</v>
      </c>
      <c r="H64" s="3">
        <v>1.8894765847528E-2</v>
      </c>
      <c r="I64" s="3">
        <v>1.8032168181956701E-2</v>
      </c>
      <c r="J64" s="3">
        <v>1.6077780856228099E-2</v>
      </c>
      <c r="K64" s="3">
        <v>1.6441866419158901E-2</v>
      </c>
      <c r="L64" s="3">
        <v>1.1765908025407799E-2</v>
      </c>
      <c r="M64" s="3">
        <v>9.1008305715756799E-3</v>
      </c>
      <c r="N64" s="3">
        <v>2.0114079855899102E-2</v>
      </c>
      <c r="O64" s="3">
        <v>1.3263611497985699E-2</v>
      </c>
      <c r="P64">
        <f t="shared" si="8"/>
        <v>0</v>
      </c>
      <c r="Q64">
        <f t="shared" si="9"/>
        <v>0</v>
      </c>
      <c r="R64">
        <f t="shared" si="10"/>
        <v>0</v>
      </c>
      <c r="S64">
        <f t="shared" si="11"/>
        <v>0</v>
      </c>
      <c r="T64">
        <f t="shared" si="12"/>
        <v>0</v>
      </c>
      <c r="U64">
        <f t="shared" si="13"/>
        <v>1</v>
      </c>
      <c r="V64">
        <f t="shared" si="14"/>
        <v>0</v>
      </c>
      <c r="W64">
        <f t="shared" si="15"/>
        <v>0</v>
      </c>
      <c r="X64">
        <f t="shared" si="16"/>
        <v>0</v>
      </c>
      <c r="Y64">
        <f t="shared" si="17"/>
        <v>0</v>
      </c>
      <c r="Z64">
        <f t="shared" si="18"/>
        <v>0</v>
      </c>
      <c r="AA64">
        <f t="shared" si="19"/>
        <v>0</v>
      </c>
      <c r="AB64">
        <f t="shared" si="0"/>
        <v>0</v>
      </c>
      <c r="AC64">
        <f t="shared" si="1"/>
        <v>0</v>
      </c>
      <c r="AD64">
        <f t="shared" si="2"/>
        <v>0</v>
      </c>
      <c r="AE64">
        <f t="shared" si="3"/>
        <v>0</v>
      </c>
      <c r="AF64">
        <f t="shared" si="4"/>
        <v>0</v>
      </c>
      <c r="AG64">
        <f t="shared" si="5"/>
        <v>0</v>
      </c>
      <c r="AH64">
        <f t="shared" si="20"/>
        <v>0</v>
      </c>
      <c r="AI64">
        <f t="shared" si="26"/>
        <v>0</v>
      </c>
      <c r="AJ64">
        <f t="shared" si="26"/>
        <v>0</v>
      </c>
      <c r="AK64">
        <f t="shared" si="26"/>
        <v>1</v>
      </c>
      <c r="AL64">
        <f t="shared" si="26"/>
        <v>0</v>
      </c>
      <c r="AM64">
        <f t="shared" si="26"/>
        <v>0</v>
      </c>
      <c r="AN64">
        <f t="shared" si="26"/>
        <v>0</v>
      </c>
      <c r="AO64">
        <f t="shared" si="26"/>
        <v>0</v>
      </c>
      <c r="AP64">
        <f t="shared" si="26"/>
        <v>0</v>
      </c>
      <c r="AQ64">
        <f t="shared" si="26"/>
        <v>0</v>
      </c>
      <c r="AR64">
        <f t="shared" si="26"/>
        <v>0</v>
      </c>
      <c r="AS64">
        <f t="shared" si="26"/>
        <v>0</v>
      </c>
      <c r="AT64">
        <f t="shared" si="26"/>
        <v>0</v>
      </c>
      <c r="AU64">
        <f t="shared" si="26"/>
        <v>0</v>
      </c>
      <c r="AV64">
        <f t="shared" si="26"/>
        <v>0</v>
      </c>
      <c r="AW64">
        <f t="shared" si="26"/>
        <v>0</v>
      </c>
      <c r="AX64">
        <f t="shared" si="22"/>
        <v>1</v>
      </c>
      <c r="AY64">
        <f t="shared" si="22"/>
        <v>0</v>
      </c>
      <c r="AZ64">
        <f t="shared" si="22"/>
        <v>0</v>
      </c>
      <c r="BA64">
        <f t="shared" si="23"/>
        <v>1</v>
      </c>
      <c r="BB64">
        <f t="shared" si="24"/>
        <v>0</v>
      </c>
    </row>
    <row r="65" spans="1:54">
      <c r="A65">
        <v>62</v>
      </c>
      <c r="B65" t="s">
        <v>20</v>
      </c>
      <c r="C65" t="s">
        <v>21</v>
      </c>
      <c r="D65" t="s">
        <v>23</v>
      </c>
      <c r="E65" t="s">
        <v>30</v>
      </c>
      <c r="F65" t="s">
        <v>28</v>
      </c>
      <c r="G65" t="s">
        <v>27</v>
      </c>
      <c r="H65" s="3">
        <v>5.0873069066732397E-2</v>
      </c>
      <c r="I65" s="3">
        <v>4.8325976895547802E-2</v>
      </c>
      <c r="J65" s="3">
        <v>4.1921598729224303E-2</v>
      </c>
      <c r="K65" s="3">
        <v>4.3229156998471803E-2</v>
      </c>
      <c r="L65" s="3">
        <v>3.0898330957948399E-2</v>
      </c>
      <c r="M65" s="3">
        <v>2.4074052912445399E-2</v>
      </c>
      <c r="N65" s="3">
        <v>5.5234954657873002E-2</v>
      </c>
      <c r="O65" s="3">
        <v>3.2869853900969401E-2</v>
      </c>
      <c r="P65">
        <f t="shared" si="8"/>
        <v>0</v>
      </c>
      <c r="Q65">
        <f t="shared" si="9"/>
        <v>0</v>
      </c>
      <c r="R65">
        <f t="shared" si="10"/>
        <v>0</v>
      </c>
      <c r="S65">
        <f t="shared" si="11"/>
        <v>1</v>
      </c>
      <c r="T65">
        <f t="shared" si="12"/>
        <v>0</v>
      </c>
      <c r="U65">
        <f t="shared" si="13"/>
        <v>1</v>
      </c>
      <c r="V65">
        <f t="shared" si="14"/>
        <v>0</v>
      </c>
      <c r="W65">
        <f t="shared" si="15"/>
        <v>0</v>
      </c>
      <c r="X65">
        <f t="shared" si="16"/>
        <v>0</v>
      </c>
      <c r="Y65">
        <f t="shared" si="17"/>
        <v>0</v>
      </c>
      <c r="Z65">
        <f t="shared" si="18"/>
        <v>0</v>
      </c>
      <c r="AA65">
        <f t="shared" si="19"/>
        <v>0</v>
      </c>
      <c r="AB65">
        <f t="shared" si="0"/>
        <v>0</v>
      </c>
      <c r="AC65">
        <f t="shared" si="1"/>
        <v>0</v>
      </c>
      <c r="AD65">
        <f t="shared" si="2"/>
        <v>0</v>
      </c>
      <c r="AE65">
        <f t="shared" si="3"/>
        <v>0</v>
      </c>
      <c r="AF65">
        <f t="shared" si="4"/>
        <v>0</v>
      </c>
      <c r="AG65">
        <f t="shared" si="5"/>
        <v>0</v>
      </c>
      <c r="AH65">
        <f t="shared" si="20"/>
        <v>0</v>
      </c>
      <c r="AI65">
        <f t="shared" si="26"/>
        <v>0</v>
      </c>
      <c r="AJ65">
        <f t="shared" si="26"/>
        <v>0</v>
      </c>
      <c r="AK65">
        <f t="shared" si="26"/>
        <v>0</v>
      </c>
      <c r="AL65">
        <f t="shared" si="26"/>
        <v>0</v>
      </c>
      <c r="AM65">
        <f t="shared" si="26"/>
        <v>0</v>
      </c>
      <c r="AN65">
        <f t="shared" si="26"/>
        <v>0</v>
      </c>
      <c r="AO65">
        <f t="shared" si="26"/>
        <v>0</v>
      </c>
      <c r="AP65">
        <f t="shared" si="26"/>
        <v>0</v>
      </c>
      <c r="AQ65">
        <f t="shared" si="26"/>
        <v>0</v>
      </c>
      <c r="AR65">
        <f t="shared" si="26"/>
        <v>0</v>
      </c>
      <c r="AS65">
        <f t="shared" si="26"/>
        <v>0</v>
      </c>
      <c r="AT65">
        <f t="shared" si="26"/>
        <v>0</v>
      </c>
      <c r="AU65">
        <f t="shared" si="26"/>
        <v>0</v>
      </c>
      <c r="AV65">
        <f t="shared" si="26"/>
        <v>1</v>
      </c>
      <c r="AW65">
        <f t="shared" si="26"/>
        <v>0</v>
      </c>
      <c r="AX65">
        <f t="shared" si="22"/>
        <v>1</v>
      </c>
      <c r="AY65">
        <f t="shared" si="22"/>
        <v>0</v>
      </c>
      <c r="AZ65">
        <f t="shared" si="22"/>
        <v>0</v>
      </c>
      <c r="BA65">
        <f t="shared" si="23"/>
        <v>0</v>
      </c>
      <c r="BB65">
        <f t="shared" si="24"/>
        <v>0</v>
      </c>
    </row>
    <row r="66" spans="1:54">
      <c r="A66">
        <v>63</v>
      </c>
      <c r="B66" t="s">
        <v>20</v>
      </c>
      <c r="C66" t="s">
        <v>21</v>
      </c>
      <c r="D66" t="s">
        <v>23</v>
      </c>
      <c r="E66" t="s">
        <v>30</v>
      </c>
      <c r="F66" t="s">
        <v>29</v>
      </c>
      <c r="G66" t="s">
        <v>22</v>
      </c>
      <c r="H66" s="3">
        <v>2.4448638004542202E-2</v>
      </c>
      <c r="I66" s="3">
        <v>2.39425730360068E-2</v>
      </c>
      <c r="J66" s="3">
        <v>2.0815488408580801E-2</v>
      </c>
      <c r="K66" s="3">
        <v>2.2458535158141099E-2</v>
      </c>
      <c r="L66" s="3">
        <v>1.5852176267054999E-2</v>
      </c>
      <c r="M66" s="3">
        <v>1.23895778785852E-2</v>
      </c>
      <c r="N66" s="3">
        <v>2.5798998844820901E-2</v>
      </c>
      <c r="O66" s="3">
        <v>1.7664933425800299E-2</v>
      </c>
      <c r="P66">
        <f t="shared" si="8"/>
        <v>0</v>
      </c>
      <c r="Q66">
        <f t="shared" si="9"/>
        <v>0</v>
      </c>
      <c r="R66">
        <f t="shared" si="10"/>
        <v>0</v>
      </c>
      <c r="S66">
        <f t="shared" si="11"/>
        <v>0</v>
      </c>
      <c r="T66">
        <f t="shared" si="12"/>
        <v>0</v>
      </c>
      <c r="U66">
        <f t="shared" si="13"/>
        <v>1</v>
      </c>
      <c r="V66">
        <f t="shared" si="14"/>
        <v>0</v>
      </c>
      <c r="W66">
        <f t="shared" si="15"/>
        <v>0</v>
      </c>
      <c r="X66">
        <f t="shared" si="16"/>
        <v>1</v>
      </c>
      <c r="Y66">
        <f t="shared" si="17"/>
        <v>0</v>
      </c>
      <c r="Z66">
        <f t="shared" si="18"/>
        <v>0</v>
      </c>
      <c r="AA66">
        <f t="shared" si="19"/>
        <v>0</v>
      </c>
      <c r="AB66">
        <f t="shared" si="0"/>
        <v>0</v>
      </c>
      <c r="AC66">
        <f t="shared" si="1"/>
        <v>1</v>
      </c>
      <c r="AD66">
        <f t="shared" si="2"/>
        <v>0</v>
      </c>
      <c r="AE66">
        <f t="shared" si="3"/>
        <v>0</v>
      </c>
      <c r="AF66">
        <f t="shared" si="4"/>
        <v>0</v>
      </c>
      <c r="AG66">
        <f t="shared" si="5"/>
        <v>0</v>
      </c>
      <c r="AH66">
        <f t="shared" si="20"/>
        <v>1</v>
      </c>
      <c r="AI66">
        <f t="shared" si="26"/>
        <v>0</v>
      </c>
      <c r="AJ66">
        <f t="shared" si="26"/>
        <v>0</v>
      </c>
      <c r="AK66">
        <f t="shared" si="26"/>
        <v>0</v>
      </c>
      <c r="AL66">
        <f t="shared" si="26"/>
        <v>0</v>
      </c>
      <c r="AM66">
        <f t="shared" si="26"/>
        <v>0</v>
      </c>
      <c r="AN66">
        <f t="shared" si="26"/>
        <v>0</v>
      </c>
      <c r="AO66">
        <f t="shared" si="26"/>
        <v>0</v>
      </c>
      <c r="AP66">
        <f t="shared" si="26"/>
        <v>0</v>
      </c>
      <c r="AQ66">
        <f t="shared" si="26"/>
        <v>0</v>
      </c>
      <c r="AR66">
        <f t="shared" si="26"/>
        <v>1</v>
      </c>
      <c r="AS66">
        <f t="shared" si="26"/>
        <v>0</v>
      </c>
      <c r="AT66">
        <f t="shared" si="26"/>
        <v>0</v>
      </c>
      <c r="AU66">
        <f t="shared" si="26"/>
        <v>0</v>
      </c>
      <c r="AV66">
        <f t="shared" si="26"/>
        <v>0</v>
      </c>
      <c r="AW66">
        <f t="shared" si="26"/>
        <v>0</v>
      </c>
      <c r="AX66">
        <f t="shared" si="22"/>
        <v>0</v>
      </c>
      <c r="AY66">
        <f t="shared" si="22"/>
        <v>0</v>
      </c>
      <c r="AZ66">
        <f t="shared" si="22"/>
        <v>1</v>
      </c>
      <c r="BA66">
        <f t="shared" si="23"/>
        <v>0</v>
      </c>
      <c r="BB66">
        <f t="shared" si="24"/>
        <v>1</v>
      </c>
    </row>
    <row r="67" spans="1:54">
      <c r="A67">
        <v>64</v>
      </c>
      <c r="B67" t="s">
        <v>20</v>
      </c>
      <c r="C67" t="s">
        <v>21</v>
      </c>
      <c r="D67" t="s">
        <v>23</v>
      </c>
      <c r="E67" t="s">
        <v>30</v>
      </c>
      <c r="F67" t="s">
        <v>29</v>
      </c>
      <c r="G67" t="s">
        <v>23</v>
      </c>
      <c r="H67" s="3">
        <v>0.58004718072457595</v>
      </c>
      <c r="I67" s="3">
        <v>0.57730559720335495</v>
      </c>
      <c r="J67" s="3">
        <v>0.50573047568816498</v>
      </c>
      <c r="K67" s="3">
        <v>0.53984571619709998</v>
      </c>
      <c r="L67" s="3">
        <v>0.454556264365098</v>
      </c>
      <c r="M67" s="3">
        <v>0.37908794664066803</v>
      </c>
      <c r="N67" s="3">
        <v>0.62616822429906505</v>
      </c>
      <c r="O67" s="3">
        <v>0.45967461780184699</v>
      </c>
      <c r="P67">
        <f t="shared" si="8"/>
        <v>0</v>
      </c>
      <c r="Q67">
        <f t="shared" si="9"/>
        <v>0</v>
      </c>
      <c r="R67">
        <f t="shared" si="10"/>
        <v>0</v>
      </c>
      <c r="S67">
        <f t="shared" si="11"/>
        <v>0</v>
      </c>
      <c r="T67">
        <f t="shared" si="12"/>
        <v>0</v>
      </c>
      <c r="U67">
        <f t="shared" si="13"/>
        <v>1</v>
      </c>
      <c r="V67">
        <f t="shared" si="14"/>
        <v>0</v>
      </c>
      <c r="W67">
        <f t="shared" si="15"/>
        <v>0</v>
      </c>
      <c r="X67">
        <f t="shared" si="16"/>
        <v>0</v>
      </c>
      <c r="Y67">
        <f t="shared" si="17"/>
        <v>1</v>
      </c>
      <c r="Z67">
        <f t="shared" si="18"/>
        <v>0</v>
      </c>
      <c r="AA67">
        <f t="shared" si="19"/>
        <v>0</v>
      </c>
      <c r="AB67">
        <f t="shared" ref="AB67:AB130" si="27">IF(AND(AND(C67="windows",D67="clang"),AND(F67="windows",G67="clang")),1,0)</f>
        <v>0</v>
      </c>
      <c r="AC67">
        <f t="shared" ref="AC67:AC130" si="28">IF(AND(OR(D67="clang",D67="gcc",D67="msvc"),OR(G67="gcc",G67="clang",G67="msvc")),1,0)</f>
        <v>1</v>
      </c>
      <c r="AD67">
        <f t="shared" ref="AD67:AD130" si="29">IF(AND(OR(D67="go",D67="tgo"),OR(G67="go",G67="tgo")),1,0)</f>
        <v>0</v>
      </c>
      <c r="AE67">
        <f t="shared" ref="AE67:AE130" si="30">IF(AND(OR(D67="rs-pure",D67="rs-sys"),OR(G67="rs-pure",G67="rs-sys")),1,0)</f>
        <v>0</v>
      </c>
      <c r="AF67">
        <f t="shared" ref="AF67:AF130" si="31">IF(C67=F67,1,0)</f>
        <v>0</v>
      </c>
      <c r="AG67">
        <f t="shared" ref="AG67:AG130" si="32">IF(B67=E67,1,0)</f>
        <v>0</v>
      </c>
      <c r="AH67">
        <f t="shared" si="20"/>
        <v>1</v>
      </c>
      <c r="AI67">
        <f t="shared" si="26"/>
        <v>0</v>
      </c>
      <c r="AJ67">
        <f t="shared" si="26"/>
        <v>0</v>
      </c>
      <c r="AK67">
        <f t="shared" si="26"/>
        <v>0</v>
      </c>
      <c r="AL67">
        <f t="shared" si="26"/>
        <v>0</v>
      </c>
      <c r="AM67">
        <f t="shared" si="26"/>
        <v>0</v>
      </c>
      <c r="AN67">
        <f t="shared" si="26"/>
        <v>0</v>
      </c>
      <c r="AO67">
        <f t="shared" si="26"/>
        <v>0</v>
      </c>
      <c r="AP67">
        <f t="shared" si="26"/>
        <v>0</v>
      </c>
      <c r="AQ67">
        <f t="shared" si="26"/>
        <v>0</v>
      </c>
      <c r="AR67">
        <f t="shared" si="26"/>
        <v>0</v>
      </c>
      <c r="AS67">
        <f t="shared" si="26"/>
        <v>0</v>
      </c>
      <c r="AT67">
        <f t="shared" si="26"/>
        <v>0</v>
      </c>
      <c r="AU67">
        <f t="shared" si="26"/>
        <v>0</v>
      </c>
      <c r="AV67">
        <f t="shared" si="26"/>
        <v>0</v>
      </c>
      <c r="AW67">
        <f t="shared" si="26"/>
        <v>0</v>
      </c>
      <c r="AX67">
        <f t="shared" si="22"/>
        <v>0</v>
      </c>
      <c r="AY67">
        <f t="shared" si="22"/>
        <v>0</v>
      </c>
      <c r="AZ67">
        <f t="shared" si="22"/>
        <v>1</v>
      </c>
      <c r="BA67">
        <f t="shared" si="23"/>
        <v>0</v>
      </c>
      <c r="BB67">
        <f t="shared" si="24"/>
        <v>1</v>
      </c>
    </row>
    <row r="68" spans="1:54">
      <c r="A68">
        <v>65</v>
      </c>
      <c r="B68" t="s">
        <v>20</v>
      </c>
      <c r="C68" t="s">
        <v>21</v>
      </c>
      <c r="D68" t="s">
        <v>23</v>
      </c>
      <c r="E68" t="s">
        <v>30</v>
      </c>
      <c r="F68" t="s">
        <v>29</v>
      </c>
      <c r="G68" t="s">
        <v>24</v>
      </c>
      <c r="H68" s="3">
        <v>3.5583294367264401E-2</v>
      </c>
      <c r="I68" s="3">
        <v>3.3956144832757003E-2</v>
      </c>
      <c r="J68" s="3">
        <v>2.9979565840251299E-2</v>
      </c>
      <c r="K68" s="3">
        <v>3.0546191343315699E-2</v>
      </c>
      <c r="L68" s="3">
        <v>2.2036815359610801E-2</v>
      </c>
      <c r="M68" s="3">
        <v>1.66987481509898E-2</v>
      </c>
      <c r="N68" s="3">
        <v>3.8527889591719301E-2</v>
      </c>
      <c r="O68" s="3">
        <v>2.40964827593745E-2</v>
      </c>
      <c r="P68">
        <f t="shared" ref="P68:P131" si="33">IF(OR(AND($C68="linux",$D68="clang"),AND($F68="linux",$G68="clang")),1,0)</f>
        <v>0</v>
      </c>
      <c r="Q68">
        <f t="shared" ref="Q68:Q131" si="34">IF(OR(AND($C68="linux",$D68="gcc"),AND($F68="linux",$G68="gcc")),1,0)</f>
        <v>0</v>
      </c>
      <c r="R68">
        <f t="shared" ref="R68:R131" si="35">IF(OR(AND($C68="linux",$D68="go"),AND($F68="linux",$G68="go")),1,0)</f>
        <v>0</v>
      </c>
      <c r="S68">
        <f t="shared" ref="S68:S131" si="36">IF(OR(AND($C68="linux",$D68="tgo"),AND($F68="linux",$G68="tgo")),1,0)</f>
        <v>0</v>
      </c>
      <c r="T68">
        <f t="shared" ref="T68:T131" si="37">IF(OR(AND($C68="darwin",$D68="clang"),AND($F68="darwin",$G68="clang")),1,0)</f>
        <v>0</v>
      </c>
      <c r="U68">
        <f t="shared" ref="U68:U131" si="38">IF(OR(AND($C68="darwin",$D68="gcc"),AND($F68="darwin",$G68="gcc")),1,0)</f>
        <v>1</v>
      </c>
      <c r="V68">
        <f t="shared" ref="V68:V131" si="39">IF(OR(AND($C68="darwin",$D68="go"),AND($F68="darwin",$G68="go")),1,0)</f>
        <v>0</v>
      </c>
      <c r="W68">
        <f t="shared" ref="W68:W131" si="40">IF(OR(AND($C68="darwin",$D68="tgo"),AND($F68="darwin",$G68="tgo")),1,0)</f>
        <v>0</v>
      </c>
      <c r="X68">
        <f t="shared" ref="X68:X131" si="41">IF(OR(AND($C68="windows",$D68="clang"),AND($F68="windows",$G68="clang")),1,0)</f>
        <v>0</v>
      </c>
      <c r="Y68">
        <f t="shared" ref="Y68:Y131" si="42">IF(OR(AND($C68="windows",$D68="gcc"),AND($F68="windows",$G68="gcc")),1,0)</f>
        <v>0</v>
      </c>
      <c r="Z68">
        <f t="shared" ref="Z68:Z131" si="43">IF(OR(AND($C68="windows",$D68="msvc"),AND($F68="windows",$G68="msvc")),1,0)</f>
        <v>0</v>
      </c>
      <c r="AA68">
        <f t="shared" ref="AA68:AA131" si="44">IF(OR(AND($C68="windows",$D68="go"),AND($F68="windows",$G68="go")),1,0)</f>
        <v>1</v>
      </c>
      <c r="AB68">
        <f t="shared" si="27"/>
        <v>0</v>
      </c>
      <c r="AC68">
        <f t="shared" si="28"/>
        <v>0</v>
      </c>
      <c r="AD68">
        <f t="shared" si="29"/>
        <v>0</v>
      </c>
      <c r="AE68">
        <f t="shared" si="30"/>
        <v>0</v>
      </c>
      <c r="AF68">
        <f t="shared" si="31"/>
        <v>0</v>
      </c>
      <c r="AG68">
        <f t="shared" si="32"/>
        <v>0</v>
      </c>
      <c r="AH68">
        <f t="shared" ref="AH68:AH131" si="45">IF(SUM(AC68:AE68)=1,1,0)</f>
        <v>0</v>
      </c>
      <c r="AI68">
        <f t="shared" si="26"/>
        <v>0</v>
      </c>
      <c r="AJ68">
        <f t="shared" si="26"/>
        <v>0</v>
      </c>
      <c r="AK68">
        <f t="shared" si="26"/>
        <v>0</v>
      </c>
      <c r="AL68">
        <f t="shared" si="26"/>
        <v>0</v>
      </c>
      <c r="AM68">
        <f t="shared" si="26"/>
        <v>0</v>
      </c>
      <c r="AN68">
        <f t="shared" si="26"/>
        <v>0</v>
      </c>
      <c r="AO68">
        <f t="shared" si="26"/>
        <v>0</v>
      </c>
      <c r="AP68">
        <f t="shared" si="26"/>
        <v>0</v>
      </c>
      <c r="AQ68">
        <f t="shared" si="26"/>
        <v>0</v>
      </c>
      <c r="AR68">
        <f t="shared" si="26"/>
        <v>0</v>
      </c>
      <c r="AS68">
        <f t="shared" si="26"/>
        <v>0</v>
      </c>
      <c r="AT68">
        <f t="shared" si="26"/>
        <v>0</v>
      </c>
      <c r="AU68">
        <f t="shared" si="26"/>
        <v>1</v>
      </c>
      <c r="AV68">
        <f t="shared" si="26"/>
        <v>0</v>
      </c>
      <c r="AW68">
        <f t="shared" si="26"/>
        <v>0</v>
      </c>
      <c r="AX68">
        <f t="shared" ref="AX68:AZ131" si="46">IF(OR(AND($C68=AX$1,$F68=AX$2),AND($C68=AX$2,$F68=AX$1)),1,0)</f>
        <v>0</v>
      </c>
      <c r="AY68">
        <f t="shared" si="46"/>
        <v>0</v>
      </c>
      <c r="AZ68">
        <f t="shared" si="46"/>
        <v>1</v>
      </c>
      <c r="BA68">
        <f t="shared" ref="BA68:BA131" si="47">IF(SUM(AI68:AQ68)=1,1,0)</f>
        <v>0</v>
      </c>
      <c r="BB68">
        <f t="shared" ref="BB68:BB131" si="48">IF(OR(C68="windows",F68="windows"),1,0)</f>
        <v>1</v>
      </c>
    </row>
    <row r="69" spans="1:54">
      <c r="A69">
        <v>66</v>
      </c>
      <c r="B69" t="s">
        <v>20</v>
      </c>
      <c r="C69" t="s">
        <v>21</v>
      </c>
      <c r="D69" t="s">
        <v>23</v>
      </c>
      <c r="E69" t="s">
        <v>30</v>
      </c>
      <c r="F69" t="s">
        <v>29</v>
      </c>
      <c r="G69" t="s">
        <v>31</v>
      </c>
      <c r="H69" s="3">
        <v>0.46137671608488001</v>
      </c>
      <c r="I69" s="3">
        <v>0.43920065404775599</v>
      </c>
      <c r="J69" s="3">
        <v>0.37169742032171099</v>
      </c>
      <c r="K69" s="3">
        <v>0.38676552725924601</v>
      </c>
      <c r="L69" s="3">
        <v>0.29261798210476198</v>
      </c>
      <c r="M69" s="3">
        <v>0.21639672825953901</v>
      </c>
      <c r="N69" s="3">
        <v>0.515384615384615</v>
      </c>
      <c r="O69" s="3">
        <v>0.29805531646695399</v>
      </c>
      <c r="P69">
        <f t="shared" si="33"/>
        <v>0</v>
      </c>
      <c r="Q69">
        <f t="shared" si="34"/>
        <v>0</v>
      </c>
      <c r="R69">
        <f t="shared" si="35"/>
        <v>0</v>
      </c>
      <c r="S69">
        <f t="shared" si="36"/>
        <v>0</v>
      </c>
      <c r="T69">
        <f t="shared" si="37"/>
        <v>0</v>
      </c>
      <c r="U69">
        <f t="shared" si="38"/>
        <v>1</v>
      </c>
      <c r="V69">
        <f t="shared" si="39"/>
        <v>0</v>
      </c>
      <c r="W69">
        <f t="shared" si="40"/>
        <v>0</v>
      </c>
      <c r="X69">
        <f t="shared" si="41"/>
        <v>0</v>
      </c>
      <c r="Y69">
        <f t="shared" si="42"/>
        <v>0</v>
      </c>
      <c r="Z69">
        <f t="shared" si="43"/>
        <v>1</v>
      </c>
      <c r="AA69">
        <f t="shared" si="44"/>
        <v>0</v>
      </c>
      <c r="AB69">
        <f t="shared" si="27"/>
        <v>0</v>
      </c>
      <c r="AC69">
        <f t="shared" si="28"/>
        <v>1</v>
      </c>
      <c r="AD69">
        <f t="shared" si="29"/>
        <v>0</v>
      </c>
      <c r="AE69">
        <f t="shared" si="30"/>
        <v>0</v>
      </c>
      <c r="AF69">
        <f t="shared" si="31"/>
        <v>0</v>
      </c>
      <c r="AG69">
        <f t="shared" si="32"/>
        <v>0</v>
      </c>
      <c r="AH69">
        <f t="shared" si="45"/>
        <v>1</v>
      </c>
      <c r="AI69">
        <f t="shared" ref="AI69:AW85" si="49">IF(OR(AND($D69=AI$1,$G69=AI$2),AND($D69=AI$2,$G69=AI$1)),1,0)</f>
        <v>0</v>
      </c>
      <c r="AJ69">
        <f t="shared" si="49"/>
        <v>0</v>
      </c>
      <c r="AK69">
        <f t="shared" si="49"/>
        <v>0</v>
      </c>
      <c r="AL69">
        <f t="shared" si="49"/>
        <v>0</v>
      </c>
      <c r="AM69">
        <f t="shared" si="49"/>
        <v>0</v>
      </c>
      <c r="AN69">
        <f t="shared" si="49"/>
        <v>0</v>
      </c>
      <c r="AO69">
        <f t="shared" si="49"/>
        <v>0</v>
      </c>
      <c r="AP69">
        <f t="shared" si="49"/>
        <v>0</v>
      </c>
      <c r="AQ69">
        <f t="shared" si="49"/>
        <v>0</v>
      </c>
      <c r="AR69">
        <f t="shared" si="49"/>
        <v>0</v>
      </c>
      <c r="AS69">
        <f t="shared" si="49"/>
        <v>0</v>
      </c>
      <c r="AT69">
        <f t="shared" si="49"/>
        <v>0</v>
      </c>
      <c r="AU69">
        <f t="shared" si="49"/>
        <v>0</v>
      </c>
      <c r="AV69">
        <f t="shared" si="49"/>
        <v>0</v>
      </c>
      <c r="AW69">
        <f t="shared" si="49"/>
        <v>0</v>
      </c>
      <c r="AX69">
        <f t="shared" si="46"/>
        <v>0</v>
      </c>
      <c r="AY69">
        <f t="shared" si="46"/>
        <v>0</v>
      </c>
      <c r="AZ69">
        <f t="shared" si="46"/>
        <v>1</v>
      </c>
      <c r="BA69">
        <f t="shared" si="47"/>
        <v>0</v>
      </c>
      <c r="BB69">
        <f t="shared" si="48"/>
        <v>1</v>
      </c>
    </row>
    <row r="70" spans="1:54">
      <c r="A70">
        <v>67</v>
      </c>
      <c r="B70" t="s">
        <v>20</v>
      </c>
      <c r="C70" t="s">
        <v>21</v>
      </c>
      <c r="D70" t="s">
        <v>23</v>
      </c>
      <c r="E70" t="s">
        <v>30</v>
      </c>
      <c r="F70" t="s">
        <v>29</v>
      </c>
      <c r="G70" t="s">
        <v>25</v>
      </c>
      <c r="H70" s="3">
        <v>3.1147947603057001E-3</v>
      </c>
      <c r="I70" s="3">
        <v>2.9962365065544999E-3</v>
      </c>
      <c r="J70" s="3">
        <v>2.6186465368859698E-3</v>
      </c>
      <c r="K70" s="3">
        <v>2.71946994185439E-3</v>
      </c>
      <c r="L70" s="3">
        <v>1.9580484185840498E-3</v>
      </c>
      <c r="M70" s="3">
        <v>1.53037027615379E-3</v>
      </c>
      <c r="N70" s="3">
        <v>3.3632849756538301E-3</v>
      </c>
      <c r="O70" s="3">
        <v>2.1341168686008299E-3</v>
      </c>
      <c r="P70">
        <f t="shared" si="33"/>
        <v>0</v>
      </c>
      <c r="Q70">
        <f t="shared" si="34"/>
        <v>0</v>
      </c>
      <c r="R70">
        <f t="shared" si="35"/>
        <v>0</v>
      </c>
      <c r="S70">
        <f t="shared" si="36"/>
        <v>0</v>
      </c>
      <c r="T70">
        <f t="shared" si="37"/>
        <v>0</v>
      </c>
      <c r="U70">
        <f t="shared" si="38"/>
        <v>1</v>
      </c>
      <c r="V70">
        <f t="shared" si="39"/>
        <v>0</v>
      </c>
      <c r="W70">
        <f t="shared" si="40"/>
        <v>0</v>
      </c>
      <c r="X70">
        <f t="shared" si="41"/>
        <v>0</v>
      </c>
      <c r="Y70">
        <f t="shared" si="42"/>
        <v>0</v>
      </c>
      <c r="Z70">
        <f t="shared" si="43"/>
        <v>0</v>
      </c>
      <c r="AA70">
        <f t="shared" si="44"/>
        <v>0</v>
      </c>
      <c r="AB70">
        <f t="shared" si="27"/>
        <v>0</v>
      </c>
      <c r="AC70">
        <f t="shared" si="28"/>
        <v>0</v>
      </c>
      <c r="AD70">
        <f t="shared" si="29"/>
        <v>0</v>
      </c>
      <c r="AE70">
        <f t="shared" si="30"/>
        <v>0</v>
      </c>
      <c r="AF70">
        <f t="shared" si="31"/>
        <v>0</v>
      </c>
      <c r="AG70">
        <f t="shared" si="32"/>
        <v>0</v>
      </c>
      <c r="AH70">
        <f t="shared" si="45"/>
        <v>0</v>
      </c>
      <c r="AI70">
        <f t="shared" si="49"/>
        <v>0</v>
      </c>
      <c r="AJ70">
        <f t="shared" si="49"/>
        <v>0</v>
      </c>
      <c r="AK70">
        <f t="shared" si="49"/>
        <v>0</v>
      </c>
      <c r="AL70">
        <f t="shared" si="49"/>
        <v>0</v>
      </c>
      <c r="AM70">
        <f t="shared" si="49"/>
        <v>0</v>
      </c>
      <c r="AN70">
        <f t="shared" si="49"/>
        <v>0</v>
      </c>
      <c r="AO70">
        <f t="shared" si="49"/>
        <v>1</v>
      </c>
      <c r="AP70">
        <f t="shared" si="49"/>
        <v>0</v>
      </c>
      <c r="AQ70">
        <f t="shared" si="49"/>
        <v>0</v>
      </c>
      <c r="AR70">
        <f t="shared" si="49"/>
        <v>0</v>
      </c>
      <c r="AS70">
        <f t="shared" si="49"/>
        <v>0</v>
      </c>
      <c r="AT70">
        <f t="shared" si="49"/>
        <v>0</v>
      </c>
      <c r="AU70">
        <f t="shared" si="49"/>
        <v>0</v>
      </c>
      <c r="AV70">
        <f t="shared" si="49"/>
        <v>0</v>
      </c>
      <c r="AW70">
        <f t="shared" si="49"/>
        <v>0</v>
      </c>
      <c r="AX70">
        <f t="shared" si="46"/>
        <v>0</v>
      </c>
      <c r="AY70">
        <f t="shared" si="46"/>
        <v>0</v>
      </c>
      <c r="AZ70">
        <f t="shared" si="46"/>
        <v>1</v>
      </c>
      <c r="BA70">
        <f t="shared" si="47"/>
        <v>1</v>
      </c>
      <c r="BB70">
        <f t="shared" si="48"/>
        <v>1</v>
      </c>
    </row>
    <row r="71" spans="1:54">
      <c r="A71">
        <v>68</v>
      </c>
      <c r="B71" t="s">
        <v>20</v>
      </c>
      <c r="C71" t="s">
        <v>21</v>
      </c>
      <c r="D71" t="s">
        <v>23</v>
      </c>
      <c r="E71" t="s">
        <v>30</v>
      </c>
      <c r="F71" t="s">
        <v>29</v>
      </c>
      <c r="G71" t="s">
        <v>26</v>
      </c>
      <c r="H71" s="3">
        <v>3.1879540379308102E-3</v>
      </c>
      <c r="I71" s="3">
        <v>3.0685348453540198E-3</v>
      </c>
      <c r="J71" s="3">
        <v>2.6912905404208E-3</v>
      </c>
      <c r="K71" s="3">
        <v>2.7882191937113701E-3</v>
      </c>
      <c r="L71" s="3">
        <v>2.0101381974298601E-3</v>
      </c>
      <c r="M71" s="3">
        <v>1.56895948483363E-3</v>
      </c>
      <c r="N71" s="3">
        <v>3.4394250513346998E-3</v>
      </c>
      <c r="O71" s="3">
        <v>2.2001331929179398E-3</v>
      </c>
      <c r="P71">
        <f t="shared" si="33"/>
        <v>0</v>
      </c>
      <c r="Q71">
        <f t="shared" si="34"/>
        <v>0</v>
      </c>
      <c r="R71">
        <f t="shared" si="35"/>
        <v>0</v>
      </c>
      <c r="S71">
        <f t="shared" si="36"/>
        <v>0</v>
      </c>
      <c r="T71">
        <f t="shared" si="37"/>
        <v>0</v>
      </c>
      <c r="U71">
        <f t="shared" si="38"/>
        <v>1</v>
      </c>
      <c r="V71">
        <f t="shared" si="39"/>
        <v>0</v>
      </c>
      <c r="W71">
        <f t="shared" si="40"/>
        <v>0</v>
      </c>
      <c r="X71">
        <f t="shared" si="41"/>
        <v>0</v>
      </c>
      <c r="Y71">
        <f t="shared" si="42"/>
        <v>0</v>
      </c>
      <c r="Z71">
        <f t="shared" si="43"/>
        <v>0</v>
      </c>
      <c r="AA71">
        <f t="shared" si="44"/>
        <v>0</v>
      </c>
      <c r="AB71">
        <f t="shared" si="27"/>
        <v>0</v>
      </c>
      <c r="AC71">
        <f t="shared" si="28"/>
        <v>0</v>
      </c>
      <c r="AD71">
        <f t="shared" si="29"/>
        <v>0</v>
      </c>
      <c r="AE71">
        <f t="shared" si="30"/>
        <v>0</v>
      </c>
      <c r="AF71">
        <f t="shared" si="31"/>
        <v>0</v>
      </c>
      <c r="AG71">
        <f t="shared" si="32"/>
        <v>0</v>
      </c>
      <c r="AH71">
        <f t="shared" si="45"/>
        <v>0</v>
      </c>
      <c r="AI71">
        <f t="shared" si="49"/>
        <v>0</v>
      </c>
      <c r="AJ71">
        <f t="shared" si="49"/>
        <v>0</v>
      </c>
      <c r="AK71">
        <f t="shared" si="49"/>
        <v>1</v>
      </c>
      <c r="AL71">
        <f t="shared" si="49"/>
        <v>0</v>
      </c>
      <c r="AM71">
        <f t="shared" si="49"/>
        <v>0</v>
      </c>
      <c r="AN71">
        <f t="shared" si="49"/>
        <v>0</v>
      </c>
      <c r="AO71">
        <f t="shared" si="49"/>
        <v>0</v>
      </c>
      <c r="AP71">
        <f t="shared" si="49"/>
        <v>0</v>
      </c>
      <c r="AQ71">
        <f t="shared" si="49"/>
        <v>0</v>
      </c>
      <c r="AR71">
        <f t="shared" si="49"/>
        <v>0</v>
      </c>
      <c r="AS71">
        <f t="shared" si="49"/>
        <v>0</v>
      </c>
      <c r="AT71">
        <f t="shared" si="49"/>
        <v>0</v>
      </c>
      <c r="AU71">
        <f t="shared" si="49"/>
        <v>0</v>
      </c>
      <c r="AV71">
        <f t="shared" si="49"/>
        <v>0</v>
      </c>
      <c r="AW71">
        <f t="shared" si="49"/>
        <v>0</v>
      </c>
      <c r="AX71">
        <f t="shared" si="46"/>
        <v>0</v>
      </c>
      <c r="AY71">
        <f t="shared" si="46"/>
        <v>0</v>
      </c>
      <c r="AZ71">
        <f t="shared" si="46"/>
        <v>1</v>
      </c>
      <c r="BA71">
        <f t="shared" si="47"/>
        <v>1</v>
      </c>
      <c r="BB71">
        <f t="shared" si="48"/>
        <v>1</v>
      </c>
    </row>
    <row r="72" spans="1:54">
      <c r="A72">
        <v>69</v>
      </c>
      <c r="B72" t="s">
        <v>20</v>
      </c>
      <c r="C72" t="s">
        <v>21</v>
      </c>
      <c r="D72" t="s">
        <v>24</v>
      </c>
      <c r="E72" t="s">
        <v>20</v>
      </c>
      <c r="F72" t="s">
        <v>21</v>
      </c>
      <c r="G72" t="s">
        <v>25</v>
      </c>
      <c r="H72" s="3">
        <v>0.63424970305585104</v>
      </c>
      <c r="I72" s="3">
        <v>0.61298048326746901</v>
      </c>
      <c r="J72" s="3">
        <v>0.52512205348943397</v>
      </c>
      <c r="K72" s="3">
        <v>0.52812479428954695</v>
      </c>
      <c r="L72" s="3">
        <v>0.38602642181088798</v>
      </c>
      <c r="M72" s="3">
        <v>0.28646505016103602</v>
      </c>
      <c r="N72" s="3">
        <v>0.74976853208321104</v>
      </c>
      <c r="O72" s="3">
        <v>0.40560347866706697</v>
      </c>
      <c r="P72">
        <f t="shared" si="33"/>
        <v>0</v>
      </c>
      <c r="Q72">
        <f t="shared" si="34"/>
        <v>0</v>
      </c>
      <c r="R72">
        <f t="shared" si="35"/>
        <v>0</v>
      </c>
      <c r="S72">
        <f t="shared" si="36"/>
        <v>0</v>
      </c>
      <c r="T72">
        <f t="shared" si="37"/>
        <v>0</v>
      </c>
      <c r="U72">
        <f t="shared" si="38"/>
        <v>0</v>
      </c>
      <c r="V72">
        <f t="shared" si="39"/>
        <v>1</v>
      </c>
      <c r="W72">
        <f t="shared" si="40"/>
        <v>0</v>
      </c>
      <c r="X72">
        <f t="shared" si="41"/>
        <v>0</v>
      </c>
      <c r="Y72">
        <f t="shared" si="42"/>
        <v>0</v>
      </c>
      <c r="Z72">
        <f t="shared" si="43"/>
        <v>0</v>
      </c>
      <c r="AA72">
        <f t="shared" si="44"/>
        <v>0</v>
      </c>
      <c r="AB72">
        <f t="shared" si="27"/>
        <v>0</v>
      </c>
      <c r="AC72">
        <f t="shared" si="28"/>
        <v>0</v>
      </c>
      <c r="AD72">
        <f t="shared" si="29"/>
        <v>0</v>
      </c>
      <c r="AE72">
        <f t="shared" si="30"/>
        <v>0</v>
      </c>
      <c r="AF72">
        <f t="shared" si="31"/>
        <v>1</v>
      </c>
      <c r="AG72">
        <f t="shared" si="32"/>
        <v>1</v>
      </c>
      <c r="AH72">
        <f t="shared" si="45"/>
        <v>0</v>
      </c>
      <c r="AI72">
        <f t="shared" si="49"/>
        <v>0</v>
      </c>
      <c r="AJ72">
        <f t="shared" si="49"/>
        <v>0</v>
      </c>
      <c r="AK72">
        <f t="shared" si="49"/>
        <v>0</v>
      </c>
      <c r="AL72">
        <f t="shared" si="49"/>
        <v>0</v>
      </c>
      <c r="AM72">
        <f t="shared" si="49"/>
        <v>0</v>
      </c>
      <c r="AN72">
        <f t="shared" si="49"/>
        <v>0</v>
      </c>
      <c r="AO72">
        <f t="shared" si="49"/>
        <v>0</v>
      </c>
      <c r="AP72">
        <f t="shared" si="49"/>
        <v>1</v>
      </c>
      <c r="AQ72">
        <f t="shared" si="49"/>
        <v>0</v>
      </c>
      <c r="AR72">
        <f t="shared" si="49"/>
        <v>0</v>
      </c>
      <c r="AS72">
        <f t="shared" si="49"/>
        <v>0</v>
      </c>
      <c r="AT72">
        <f t="shared" si="49"/>
        <v>0</v>
      </c>
      <c r="AU72">
        <f t="shared" si="49"/>
        <v>0</v>
      </c>
      <c r="AV72">
        <f t="shared" si="49"/>
        <v>0</v>
      </c>
      <c r="AW72">
        <f t="shared" si="49"/>
        <v>0</v>
      </c>
      <c r="AX72">
        <f t="shared" si="46"/>
        <v>0</v>
      </c>
      <c r="AY72">
        <f t="shared" si="46"/>
        <v>0</v>
      </c>
      <c r="AZ72">
        <f t="shared" si="46"/>
        <v>0</v>
      </c>
      <c r="BA72">
        <f t="shared" si="47"/>
        <v>1</v>
      </c>
      <c r="BB72">
        <f t="shared" si="48"/>
        <v>0</v>
      </c>
    </row>
    <row r="73" spans="1:54">
      <c r="A73">
        <v>70</v>
      </c>
      <c r="B73" t="s">
        <v>20</v>
      </c>
      <c r="C73" t="s">
        <v>21</v>
      </c>
      <c r="D73" t="s">
        <v>24</v>
      </c>
      <c r="E73" t="s">
        <v>20</v>
      </c>
      <c r="F73" t="s">
        <v>21</v>
      </c>
      <c r="G73" t="s">
        <v>26</v>
      </c>
      <c r="H73" s="3">
        <v>0.641218738105923</v>
      </c>
      <c r="I73" s="3">
        <v>0.620445850417496</v>
      </c>
      <c r="J73" s="3">
        <v>0.53073032174573598</v>
      </c>
      <c r="K73" s="3">
        <v>0.53425743940291504</v>
      </c>
      <c r="L73" s="3">
        <v>0.39080309278931802</v>
      </c>
      <c r="M73" s="3">
        <v>0.29017289229680499</v>
      </c>
      <c r="N73" s="3">
        <v>0.75957257346393503</v>
      </c>
      <c r="O73" s="3">
        <v>0.40989154867139899</v>
      </c>
      <c r="P73">
        <f t="shared" si="33"/>
        <v>0</v>
      </c>
      <c r="Q73">
        <f t="shared" si="34"/>
        <v>0</v>
      </c>
      <c r="R73">
        <f t="shared" si="35"/>
        <v>0</v>
      </c>
      <c r="S73">
        <f t="shared" si="36"/>
        <v>0</v>
      </c>
      <c r="T73">
        <f t="shared" si="37"/>
        <v>0</v>
      </c>
      <c r="U73">
        <f t="shared" si="38"/>
        <v>0</v>
      </c>
      <c r="V73">
        <f t="shared" si="39"/>
        <v>1</v>
      </c>
      <c r="W73">
        <f t="shared" si="40"/>
        <v>0</v>
      </c>
      <c r="X73">
        <f t="shared" si="41"/>
        <v>0</v>
      </c>
      <c r="Y73">
        <f t="shared" si="42"/>
        <v>0</v>
      </c>
      <c r="Z73">
        <f t="shared" si="43"/>
        <v>0</v>
      </c>
      <c r="AA73">
        <f t="shared" si="44"/>
        <v>0</v>
      </c>
      <c r="AB73">
        <f t="shared" si="27"/>
        <v>0</v>
      </c>
      <c r="AC73">
        <f t="shared" si="28"/>
        <v>0</v>
      </c>
      <c r="AD73">
        <f t="shared" si="29"/>
        <v>0</v>
      </c>
      <c r="AE73">
        <f t="shared" si="30"/>
        <v>0</v>
      </c>
      <c r="AF73">
        <f t="shared" si="31"/>
        <v>1</v>
      </c>
      <c r="AG73">
        <f t="shared" si="32"/>
        <v>1</v>
      </c>
      <c r="AH73">
        <f t="shared" si="45"/>
        <v>0</v>
      </c>
      <c r="AI73">
        <f t="shared" si="49"/>
        <v>0</v>
      </c>
      <c r="AJ73">
        <f t="shared" si="49"/>
        <v>0</v>
      </c>
      <c r="AK73">
        <f t="shared" si="49"/>
        <v>0</v>
      </c>
      <c r="AL73">
        <f t="shared" si="49"/>
        <v>1</v>
      </c>
      <c r="AM73">
        <f t="shared" si="49"/>
        <v>0</v>
      </c>
      <c r="AN73">
        <f t="shared" si="49"/>
        <v>0</v>
      </c>
      <c r="AO73">
        <f t="shared" si="49"/>
        <v>0</v>
      </c>
      <c r="AP73">
        <f t="shared" si="49"/>
        <v>0</v>
      </c>
      <c r="AQ73">
        <f t="shared" si="49"/>
        <v>0</v>
      </c>
      <c r="AR73">
        <f t="shared" si="49"/>
        <v>0</v>
      </c>
      <c r="AS73">
        <f t="shared" si="49"/>
        <v>0</v>
      </c>
      <c r="AT73">
        <f t="shared" si="49"/>
        <v>0</v>
      </c>
      <c r="AU73">
        <f t="shared" si="49"/>
        <v>0</v>
      </c>
      <c r="AV73">
        <f t="shared" si="49"/>
        <v>0</v>
      </c>
      <c r="AW73">
        <f t="shared" si="49"/>
        <v>0</v>
      </c>
      <c r="AX73">
        <f t="shared" si="46"/>
        <v>0</v>
      </c>
      <c r="AY73">
        <f t="shared" si="46"/>
        <v>0</v>
      </c>
      <c r="AZ73">
        <f t="shared" si="46"/>
        <v>0</v>
      </c>
      <c r="BA73">
        <f t="shared" si="47"/>
        <v>1</v>
      </c>
      <c r="BB73">
        <f t="shared" si="48"/>
        <v>0</v>
      </c>
    </row>
    <row r="74" spans="1:54">
      <c r="A74">
        <v>71</v>
      </c>
      <c r="B74" t="s">
        <v>20</v>
      </c>
      <c r="C74" t="s">
        <v>21</v>
      </c>
      <c r="D74" t="s">
        <v>24</v>
      </c>
      <c r="E74" t="s">
        <v>20</v>
      </c>
      <c r="F74" t="s">
        <v>21</v>
      </c>
      <c r="G74" t="s">
        <v>27</v>
      </c>
      <c r="H74" s="3">
        <v>0.201492841553152</v>
      </c>
      <c r="I74" s="3">
        <v>0.195925700607986</v>
      </c>
      <c r="J74" s="3">
        <v>0.16964419530668301</v>
      </c>
      <c r="K74" s="3">
        <v>0.17567244226801201</v>
      </c>
      <c r="L74" s="3">
        <v>0.12770417460619399</v>
      </c>
      <c r="M74" s="3">
        <v>9.7872415788905501E-2</v>
      </c>
      <c r="N74" s="3">
        <v>0.22508792497069099</v>
      </c>
      <c r="O74" s="3">
        <v>0.137000643926141</v>
      </c>
      <c r="P74">
        <f t="shared" si="33"/>
        <v>0</v>
      </c>
      <c r="Q74">
        <f t="shared" si="34"/>
        <v>0</v>
      </c>
      <c r="R74">
        <f t="shared" si="35"/>
        <v>0</v>
      </c>
      <c r="S74">
        <f t="shared" si="36"/>
        <v>0</v>
      </c>
      <c r="T74">
        <f t="shared" si="37"/>
        <v>0</v>
      </c>
      <c r="U74">
        <f t="shared" si="38"/>
        <v>0</v>
      </c>
      <c r="V74">
        <f t="shared" si="39"/>
        <v>1</v>
      </c>
      <c r="W74">
        <f t="shared" si="40"/>
        <v>1</v>
      </c>
      <c r="X74">
        <f t="shared" si="41"/>
        <v>0</v>
      </c>
      <c r="Y74">
        <f t="shared" si="42"/>
        <v>0</v>
      </c>
      <c r="Z74">
        <f t="shared" si="43"/>
        <v>0</v>
      </c>
      <c r="AA74">
        <f t="shared" si="44"/>
        <v>0</v>
      </c>
      <c r="AB74">
        <f t="shared" si="27"/>
        <v>0</v>
      </c>
      <c r="AC74">
        <f t="shared" si="28"/>
        <v>0</v>
      </c>
      <c r="AD74">
        <f t="shared" si="29"/>
        <v>1</v>
      </c>
      <c r="AE74">
        <f t="shared" si="30"/>
        <v>0</v>
      </c>
      <c r="AF74">
        <f t="shared" si="31"/>
        <v>1</v>
      </c>
      <c r="AG74">
        <f t="shared" si="32"/>
        <v>1</v>
      </c>
      <c r="AH74">
        <f t="shared" si="45"/>
        <v>1</v>
      </c>
      <c r="AI74">
        <f t="shared" si="49"/>
        <v>0</v>
      </c>
      <c r="AJ74">
        <f t="shared" si="49"/>
        <v>0</v>
      </c>
      <c r="AK74">
        <f t="shared" si="49"/>
        <v>0</v>
      </c>
      <c r="AL74">
        <f t="shared" si="49"/>
        <v>0</v>
      </c>
      <c r="AM74">
        <f t="shared" si="49"/>
        <v>0</v>
      </c>
      <c r="AN74">
        <f t="shared" si="49"/>
        <v>0</v>
      </c>
      <c r="AO74">
        <f t="shared" si="49"/>
        <v>0</v>
      </c>
      <c r="AP74">
        <f t="shared" si="49"/>
        <v>0</v>
      </c>
      <c r="AQ74">
        <f t="shared" si="49"/>
        <v>0</v>
      </c>
      <c r="AR74">
        <f t="shared" si="49"/>
        <v>0</v>
      </c>
      <c r="AS74">
        <f t="shared" si="49"/>
        <v>0</v>
      </c>
      <c r="AT74">
        <f t="shared" si="49"/>
        <v>0</v>
      </c>
      <c r="AU74">
        <f t="shared" si="49"/>
        <v>0</v>
      </c>
      <c r="AV74">
        <f t="shared" si="49"/>
        <v>0</v>
      </c>
      <c r="AW74">
        <f t="shared" si="49"/>
        <v>1</v>
      </c>
      <c r="AX74">
        <f t="shared" si="46"/>
        <v>0</v>
      </c>
      <c r="AY74">
        <f t="shared" si="46"/>
        <v>0</v>
      </c>
      <c r="AZ74">
        <f t="shared" si="46"/>
        <v>0</v>
      </c>
      <c r="BA74">
        <f t="shared" si="47"/>
        <v>0</v>
      </c>
      <c r="BB74">
        <f t="shared" si="48"/>
        <v>0</v>
      </c>
    </row>
    <row r="75" spans="1:54">
      <c r="A75">
        <v>72</v>
      </c>
      <c r="B75" t="s">
        <v>20</v>
      </c>
      <c r="C75" t="s">
        <v>21</v>
      </c>
      <c r="D75" t="s">
        <v>24</v>
      </c>
      <c r="E75" t="s">
        <v>20</v>
      </c>
      <c r="F75" t="s">
        <v>28</v>
      </c>
      <c r="G75" t="s">
        <v>22</v>
      </c>
      <c r="H75" s="3">
        <v>2.4297462253984499E-2</v>
      </c>
      <c r="I75" s="3">
        <v>2.3701094951266301E-2</v>
      </c>
      <c r="J75" s="3">
        <v>2.02192596180878E-2</v>
      </c>
      <c r="K75" s="3">
        <v>2.16188260696921E-2</v>
      </c>
      <c r="L75" s="3">
        <v>1.5449423230728501E-2</v>
      </c>
      <c r="M75" s="3">
        <v>1.22576232108009E-2</v>
      </c>
      <c r="N75" s="3">
        <v>2.6572880031262201E-2</v>
      </c>
      <c r="O75" s="3">
        <v>1.64391889955923E-2</v>
      </c>
      <c r="P75">
        <f t="shared" si="33"/>
        <v>1</v>
      </c>
      <c r="Q75">
        <f t="shared" si="34"/>
        <v>0</v>
      </c>
      <c r="R75">
        <f t="shared" si="35"/>
        <v>0</v>
      </c>
      <c r="S75">
        <f t="shared" si="36"/>
        <v>0</v>
      </c>
      <c r="T75">
        <f t="shared" si="37"/>
        <v>0</v>
      </c>
      <c r="U75">
        <f t="shared" si="38"/>
        <v>0</v>
      </c>
      <c r="V75">
        <f t="shared" si="39"/>
        <v>1</v>
      </c>
      <c r="W75">
        <f t="shared" si="40"/>
        <v>0</v>
      </c>
      <c r="X75">
        <f t="shared" si="41"/>
        <v>0</v>
      </c>
      <c r="Y75">
        <f t="shared" si="42"/>
        <v>0</v>
      </c>
      <c r="Z75">
        <f t="shared" si="43"/>
        <v>0</v>
      </c>
      <c r="AA75">
        <f t="shared" si="44"/>
        <v>0</v>
      </c>
      <c r="AB75">
        <f t="shared" si="27"/>
        <v>0</v>
      </c>
      <c r="AC75">
        <f t="shared" si="28"/>
        <v>0</v>
      </c>
      <c r="AD75">
        <f t="shared" si="29"/>
        <v>0</v>
      </c>
      <c r="AE75">
        <f t="shared" si="30"/>
        <v>0</v>
      </c>
      <c r="AF75">
        <f t="shared" si="31"/>
        <v>0</v>
      </c>
      <c r="AG75">
        <f t="shared" si="32"/>
        <v>1</v>
      </c>
      <c r="AH75">
        <f t="shared" si="45"/>
        <v>0</v>
      </c>
      <c r="AI75">
        <f t="shared" si="49"/>
        <v>0</v>
      </c>
      <c r="AJ75">
        <f t="shared" si="49"/>
        <v>0</v>
      </c>
      <c r="AK75">
        <f t="shared" si="49"/>
        <v>0</v>
      </c>
      <c r="AL75">
        <f t="shared" si="49"/>
        <v>0</v>
      </c>
      <c r="AM75">
        <f t="shared" si="49"/>
        <v>0</v>
      </c>
      <c r="AN75">
        <f t="shared" si="49"/>
        <v>0</v>
      </c>
      <c r="AO75">
        <f t="shared" si="49"/>
        <v>0</v>
      </c>
      <c r="AP75">
        <f t="shared" si="49"/>
        <v>0</v>
      </c>
      <c r="AQ75">
        <f t="shared" si="49"/>
        <v>0</v>
      </c>
      <c r="AR75">
        <f t="shared" si="49"/>
        <v>0</v>
      </c>
      <c r="AS75">
        <f t="shared" si="49"/>
        <v>1</v>
      </c>
      <c r="AT75">
        <f t="shared" si="49"/>
        <v>0</v>
      </c>
      <c r="AU75">
        <f t="shared" si="49"/>
        <v>0</v>
      </c>
      <c r="AV75">
        <f t="shared" si="49"/>
        <v>0</v>
      </c>
      <c r="AW75">
        <f t="shared" si="49"/>
        <v>0</v>
      </c>
      <c r="AX75">
        <f t="shared" si="46"/>
        <v>1</v>
      </c>
      <c r="AY75">
        <f t="shared" si="46"/>
        <v>0</v>
      </c>
      <c r="AZ75">
        <f t="shared" si="46"/>
        <v>0</v>
      </c>
      <c r="BA75">
        <f t="shared" si="47"/>
        <v>0</v>
      </c>
      <c r="BB75">
        <f t="shared" si="48"/>
        <v>0</v>
      </c>
    </row>
    <row r="76" spans="1:54">
      <c r="A76">
        <v>73</v>
      </c>
      <c r="B76" t="s">
        <v>20</v>
      </c>
      <c r="C76" t="s">
        <v>21</v>
      </c>
      <c r="D76" t="s">
        <v>24</v>
      </c>
      <c r="E76" t="s">
        <v>20</v>
      </c>
      <c r="F76" t="s">
        <v>28</v>
      </c>
      <c r="G76" t="s">
        <v>23</v>
      </c>
      <c r="H76" s="3">
        <v>2.6914850383387999E-2</v>
      </c>
      <c r="I76" s="3">
        <v>2.6192747639635101E-2</v>
      </c>
      <c r="J76" s="3">
        <v>2.2866477556780101E-2</v>
      </c>
      <c r="K76" s="3">
        <v>2.3938535151294699E-2</v>
      </c>
      <c r="L76" s="3">
        <v>1.73812046369997E-2</v>
      </c>
      <c r="M76" s="3">
        <v>1.3649997969578101E-2</v>
      </c>
      <c r="N76" s="3">
        <v>2.93083235638921E-2</v>
      </c>
      <c r="O76" s="3">
        <v>1.8551268776244498E-2</v>
      </c>
      <c r="P76">
        <f t="shared" si="33"/>
        <v>0</v>
      </c>
      <c r="Q76">
        <f t="shared" si="34"/>
        <v>1</v>
      </c>
      <c r="R76">
        <f t="shared" si="35"/>
        <v>0</v>
      </c>
      <c r="S76">
        <f t="shared" si="36"/>
        <v>0</v>
      </c>
      <c r="T76">
        <f t="shared" si="37"/>
        <v>0</v>
      </c>
      <c r="U76">
        <f t="shared" si="38"/>
        <v>0</v>
      </c>
      <c r="V76">
        <f t="shared" si="39"/>
        <v>1</v>
      </c>
      <c r="W76">
        <f t="shared" si="40"/>
        <v>0</v>
      </c>
      <c r="X76">
        <f t="shared" si="41"/>
        <v>0</v>
      </c>
      <c r="Y76">
        <f t="shared" si="42"/>
        <v>0</v>
      </c>
      <c r="Z76">
        <f t="shared" si="43"/>
        <v>0</v>
      </c>
      <c r="AA76">
        <f t="shared" si="44"/>
        <v>0</v>
      </c>
      <c r="AB76">
        <f t="shared" si="27"/>
        <v>0</v>
      </c>
      <c r="AC76">
        <f t="shared" si="28"/>
        <v>0</v>
      </c>
      <c r="AD76">
        <f t="shared" si="29"/>
        <v>0</v>
      </c>
      <c r="AE76">
        <f t="shared" si="30"/>
        <v>0</v>
      </c>
      <c r="AF76">
        <f t="shared" si="31"/>
        <v>0</v>
      </c>
      <c r="AG76">
        <f t="shared" si="32"/>
        <v>1</v>
      </c>
      <c r="AH76">
        <f t="shared" si="45"/>
        <v>0</v>
      </c>
      <c r="AI76">
        <f t="shared" si="49"/>
        <v>0</v>
      </c>
      <c r="AJ76">
        <f t="shared" si="49"/>
        <v>0</v>
      </c>
      <c r="AK76">
        <f t="shared" si="49"/>
        <v>0</v>
      </c>
      <c r="AL76">
        <f t="shared" si="49"/>
        <v>0</v>
      </c>
      <c r="AM76">
        <f t="shared" si="49"/>
        <v>0</v>
      </c>
      <c r="AN76">
        <f t="shared" si="49"/>
        <v>0</v>
      </c>
      <c r="AO76">
        <f t="shared" si="49"/>
        <v>0</v>
      </c>
      <c r="AP76">
        <f t="shared" si="49"/>
        <v>0</v>
      </c>
      <c r="AQ76">
        <f t="shared" si="49"/>
        <v>0</v>
      </c>
      <c r="AR76">
        <f t="shared" si="49"/>
        <v>0</v>
      </c>
      <c r="AS76">
        <f t="shared" si="49"/>
        <v>0</v>
      </c>
      <c r="AT76">
        <f t="shared" si="49"/>
        <v>0</v>
      </c>
      <c r="AU76">
        <f t="shared" si="49"/>
        <v>1</v>
      </c>
      <c r="AV76">
        <f t="shared" si="49"/>
        <v>0</v>
      </c>
      <c r="AW76">
        <f t="shared" si="49"/>
        <v>0</v>
      </c>
      <c r="AX76">
        <f t="shared" si="46"/>
        <v>1</v>
      </c>
      <c r="AY76">
        <f t="shared" si="46"/>
        <v>0</v>
      </c>
      <c r="AZ76">
        <f t="shared" si="46"/>
        <v>0</v>
      </c>
      <c r="BA76">
        <f t="shared" si="47"/>
        <v>0</v>
      </c>
      <c r="BB76">
        <f t="shared" si="48"/>
        <v>0</v>
      </c>
    </row>
    <row r="77" spans="1:54">
      <c r="A77">
        <v>74</v>
      </c>
      <c r="B77" t="s">
        <v>20</v>
      </c>
      <c r="C77" t="s">
        <v>21</v>
      </c>
      <c r="D77" t="s">
        <v>24</v>
      </c>
      <c r="E77" t="s">
        <v>20</v>
      </c>
      <c r="F77" t="s">
        <v>28</v>
      </c>
      <c r="G77" t="s">
        <v>24</v>
      </c>
      <c r="H77" s="3">
        <v>0.90718938016156503</v>
      </c>
      <c r="I77" s="3">
        <v>0.89682082634217797</v>
      </c>
      <c r="J77" s="3">
        <v>0.78849490593057303</v>
      </c>
      <c r="K77" s="3">
        <v>0.842495370941993</v>
      </c>
      <c r="L77" s="3">
        <v>0.74694996846431305</v>
      </c>
      <c r="M77" s="3">
        <v>0.64690356524726</v>
      </c>
      <c r="N77" s="3">
        <v>0.994945567651633</v>
      </c>
      <c r="O77" s="3">
        <v>0.70801438616816403</v>
      </c>
      <c r="P77">
        <f t="shared" si="33"/>
        <v>0</v>
      </c>
      <c r="Q77">
        <f t="shared" si="34"/>
        <v>0</v>
      </c>
      <c r="R77">
        <f t="shared" si="35"/>
        <v>1</v>
      </c>
      <c r="S77">
        <f t="shared" si="36"/>
        <v>0</v>
      </c>
      <c r="T77">
        <f t="shared" si="37"/>
        <v>0</v>
      </c>
      <c r="U77">
        <f t="shared" si="38"/>
        <v>0</v>
      </c>
      <c r="V77">
        <f t="shared" si="39"/>
        <v>1</v>
      </c>
      <c r="W77">
        <f t="shared" si="40"/>
        <v>0</v>
      </c>
      <c r="X77">
        <f t="shared" si="41"/>
        <v>0</v>
      </c>
      <c r="Y77">
        <f t="shared" si="42"/>
        <v>0</v>
      </c>
      <c r="Z77">
        <f t="shared" si="43"/>
        <v>0</v>
      </c>
      <c r="AA77">
        <f t="shared" si="44"/>
        <v>0</v>
      </c>
      <c r="AB77">
        <f t="shared" si="27"/>
        <v>0</v>
      </c>
      <c r="AC77">
        <f t="shared" si="28"/>
        <v>0</v>
      </c>
      <c r="AD77">
        <f t="shared" si="29"/>
        <v>1</v>
      </c>
      <c r="AE77">
        <f t="shared" si="30"/>
        <v>0</v>
      </c>
      <c r="AF77">
        <f t="shared" si="31"/>
        <v>0</v>
      </c>
      <c r="AG77">
        <f t="shared" si="32"/>
        <v>1</v>
      </c>
      <c r="AH77">
        <f t="shared" si="45"/>
        <v>1</v>
      </c>
      <c r="AI77">
        <f t="shared" si="49"/>
        <v>0</v>
      </c>
      <c r="AJ77">
        <f t="shared" si="49"/>
        <v>0</v>
      </c>
      <c r="AK77">
        <f t="shared" si="49"/>
        <v>0</v>
      </c>
      <c r="AL77">
        <f t="shared" si="49"/>
        <v>0</v>
      </c>
      <c r="AM77">
        <f t="shared" si="49"/>
        <v>0</v>
      </c>
      <c r="AN77">
        <f t="shared" si="49"/>
        <v>0</v>
      </c>
      <c r="AO77">
        <f t="shared" si="49"/>
        <v>0</v>
      </c>
      <c r="AP77">
        <f t="shared" si="49"/>
        <v>0</v>
      </c>
      <c r="AQ77">
        <f t="shared" si="49"/>
        <v>0</v>
      </c>
      <c r="AR77">
        <f t="shared" si="49"/>
        <v>0</v>
      </c>
      <c r="AS77">
        <f t="shared" si="49"/>
        <v>0</v>
      </c>
      <c r="AT77">
        <f t="shared" si="49"/>
        <v>0</v>
      </c>
      <c r="AU77">
        <f t="shared" si="49"/>
        <v>0</v>
      </c>
      <c r="AV77">
        <f t="shared" si="49"/>
        <v>0</v>
      </c>
      <c r="AW77">
        <f t="shared" si="49"/>
        <v>0</v>
      </c>
      <c r="AX77">
        <f t="shared" si="46"/>
        <v>1</v>
      </c>
      <c r="AY77">
        <f t="shared" si="46"/>
        <v>0</v>
      </c>
      <c r="AZ77">
        <f t="shared" si="46"/>
        <v>0</v>
      </c>
      <c r="BA77">
        <f t="shared" si="47"/>
        <v>0</v>
      </c>
      <c r="BB77">
        <f t="shared" si="48"/>
        <v>0</v>
      </c>
    </row>
    <row r="78" spans="1:54">
      <c r="A78">
        <v>75</v>
      </c>
      <c r="B78" t="s">
        <v>20</v>
      </c>
      <c r="C78" t="s">
        <v>21</v>
      </c>
      <c r="D78" t="s">
        <v>24</v>
      </c>
      <c r="E78" t="s">
        <v>20</v>
      </c>
      <c r="F78" t="s">
        <v>28</v>
      </c>
      <c r="G78" t="s">
        <v>25</v>
      </c>
      <c r="H78" s="3">
        <v>0.647159285946735</v>
      </c>
      <c r="I78" s="3">
        <v>0.59464756717071598</v>
      </c>
      <c r="J78" s="3">
        <v>0.53942494036974997</v>
      </c>
      <c r="K78" s="3">
        <v>0.50251782608461104</v>
      </c>
      <c r="L78" s="3">
        <v>0.37640907814548702</v>
      </c>
      <c r="M78" s="3">
        <v>0.27441434200445097</v>
      </c>
      <c r="N78" s="3">
        <v>0.736194610154421</v>
      </c>
      <c r="O78" s="3">
        <v>0.40631785230627998</v>
      </c>
      <c r="P78">
        <f t="shared" si="33"/>
        <v>0</v>
      </c>
      <c r="Q78">
        <f t="shared" si="34"/>
        <v>0</v>
      </c>
      <c r="R78">
        <f t="shared" si="35"/>
        <v>0</v>
      </c>
      <c r="S78">
        <f t="shared" si="36"/>
        <v>0</v>
      </c>
      <c r="T78">
        <f t="shared" si="37"/>
        <v>0</v>
      </c>
      <c r="U78">
        <f t="shared" si="38"/>
        <v>0</v>
      </c>
      <c r="V78">
        <f t="shared" si="39"/>
        <v>1</v>
      </c>
      <c r="W78">
        <f t="shared" si="40"/>
        <v>0</v>
      </c>
      <c r="X78">
        <f t="shared" si="41"/>
        <v>0</v>
      </c>
      <c r="Y78">
        <f t="shared" si="42"/>
        <v>0</v>
      </c>
      <c r="Z78">
        <f t="shared" si="43"/>
        <v>0</v>
      </c>
      <c r="AA78">
        <f t="shared" si="44"/>
        <v>0</v>
      </c>
      <c r="AB78">
        <f t="shared" si="27"/>
        <v>0</v>
      </c>
      <c r="AC78">
        <f t="shared" si="28"/>
        <v>0</v>
      </c>
      <c r="AD78">
        <f t="shared" si="29"/>
        <v>0</v>
      </c>
      <c r="AE78">
        <f t="shared" si="30"/>
        <v>0</v>
      </c>
      <c r="AF78">
        <f t="shared" si="31"/>
        <v>0</v>
      </c>
      <c r="AG78">
        <f t="shared" si="32"/>
        <v>1</v>
      </c>
      <c r="AH78">
        <f t="shared" si="45"/>
        <v>0</v>
      </c>
      <c r="AI78">
        <f t="shared" si="49"/>
        <v>0</v>
      </c>
      <c r="AJ78">
        <f t="shared" si="49"/>
        <v>0</v>
      </c>
      <c r="AK78">
        <f t="shared" si="49"/>
        <v>0</v>
      </c>
      <c r="AL78">
        <f t="shared" si="49"/>
        <v>0</v>
      </c>
      <c r="AM78">
        <f t="shared" si="49"/>
        <v>0</v>
      </c>
      <c r="AN78">
        <f t="shared" si="49"/>
        <v>0</v>
      </c>
      <c r="AO78">
        <f t="shared" si="49"/>
        <v>0</v>
      </c>
      <c r="AP78">
        <f t="shared" si="49"/>
        <v>1</v>
      </c>
      <c r="AQ78">
        <f t="shared" si="49"/>
        <v>0</v>
      </c>
      <c r="AR78">
        <f t="shared" si="49"/>
        <v>0</v>
      </c>
      <c r="AS78">
        <f t="shared" si="49"/>
        <v>0</v>
      </c>
      <c r="AT78">
        <f t="shared" si="49"/>
        <v>0</v>
      </c>
      <c r="AU78">
        <f t="shared" si="49"/>
        <v>0</v>
      </c>
      <c r="AV78">
        <f t="shared" si="49"/>
        <v>0</v>
      </c>
      <c r="AW78">
        <f t="shared" si="49"/>
        <v>0</v>
      </c>
      <c r="AX78">
        <f t="shared" si="46"/>
        <v>1</v>
      </c>
      <c r="AY78">
        <f t="shared" si="46"/>
        <v>0</v>
      </c>
      <c r="AZ78">
        <f t="shared" si="46"/>
        <v>0</v>
      </c>
      <c r="BA78">
        <f t="shared" si="47"/>
        <v>1</v>
      </c>
      <c r="BB78">
        <f t="shared" si="48"/>
        <v>0</v>
      </c>
    </row>
    <row r="79" spans="1:54">
      <c r="A79">
        <v>76</v>
      </c>
      <c r="B79" t="s">
        <v>20</v>
      </c>
      <c r="C79" t="s">
        <v>21</v>
      </c>
      <c r="D79" t="s">
        <v>24</v>
      </c>
      <c r="E79" t="s">
        <v>20</v>
      </c>
      <c r="F79" t="s">
        <v>28</v>
      </c>
      <c r="G79" t="s">
        <v>26</v>
      </c>
      <c r="H79" s="3">
        <v>0.65636648979090895</v>
      </c>
      <c r="I79" s="3">
        <v>0.60265802104286303</v>
      </c>
      <c r="J79" s="3">
        <v>0.54689160620408594</v>
      </c>
      <c r="K79" s="3">
        <v>0.50894454582916304</v>
      </c>
      <c r="L79" s="3">
        <v>0.38142079975314402</v>
      </c>
      <c r="M79" s="3">
        <v>0.27792140474206001</v>
      </c>
      <c r="N79" s="3">
        <v>0.74665162406413998</v>
      </c>
      <c r="O79" s="3">
        <v>0.41165616668036897</v>
      </c>
      <c r="P79">
        <f t="shared" si="33"/>
        <v>0</v>
      </c>
      <c r="Q79">
        <f t="shared" si="34"/>
        <v>0</v>
      </c>
      <c r="R79">
        <f t="shared" si="35"/>
        <v>0</v>
      </c>
      <c r="S79">
        <f t="shared" si="36"/>
        <v>0</v>
      </c>
      <c r="T79">
        <f t="shared" si="37"/>
        <v>0</v>
      </c>
      <c r="U79">
        <f t="shared" si="38"/>
        <v>0</v>
      </c>
      <c r="V79">
        <f t="shared" si="39"/>
        <v>1</v>
      </c>
      <c r="W79">
        <f t="shared" si="40"/>
        <v>0</v>
      </c>
      <c r="X79">
        <f t="shared" si="41"/>
        <v>0</v>
      </c>
      <c r="Y79">
        <f t="shared" si="42"/>
        <v>0</v>
      </c>
      <c r="Z79">
        <f t="shared" si="43"/>
        <v>0</v>
      </c>
      <c r="AA79">
        <f t="shared" si="44"/>
        <v>0</v>
      </c>
      <c r="AB79">
        <f t="shared" si="27"/>
        <v>0</v>
      </c>
      <c r="AC79">
        <f t="shared" si="28"/>
        <v>0</v>
      </c>
      <c r="AD79">
        <f t="shared" si="29"/>
        <v>0</v>
      </c>
      <c r="AE79">
        <f t="shared" si="30"/>
        <v>0</v>
      </c>
      <c r="AF79">
        <f t="shared" si="31"/>
        <v>0</v>
      </c>
      <c r="AG79">
        <f t="shared" si="32"/>
        <v>1</v>
      </c>
      <c r="AH79">
        <f t="shared" si="45"/>
        <v>0</v>
      </c>
      <c r="AI79">
        <f t="shared" si="49"/>
        <v>0</v>
      </c>
      <c r="AJ79">
        <f t="shared" si="49"/>
        <v>0</v>
      </c>
      <c r="AK79">
        <f t="shared" si="49"/>
        <v>0</v>
      </c>
      <c r="AL79">
        <f t="shared" si="49"/>
        <v>1</v>
      </c>
      <c r="AM79">
        <f t="shared" si="49"/>
        <v>0</v>
      </c>
      <c r="AN79">
        <f t="shared" si="49"/>
        <v>0</v>
      </c>
      <c r="AO79">
        <f t="shared" si="49"/>
        <v>0</v>
      </c>
      <c r="AP79">
        <f t="shared" si="49"/>
        <v>0</v>
      </c>
      <c r="AQ79">
        <f t="shared" si="49"/>
        <v>0</v>
      </c>
      <c r="AR79">
        <f t="shared" si="49"/>
        <v>0</v>
      </c>
      <c r="AS79">
        <f t="shared" si="49"/>
        <v>0</v>
      </c>
      <c r="AT79">
        <f t="shared" si="49"/>
        <v>0</v>
      </c>
      <c r="AU79">
        <f t="shared" si="49"/>
        <v>0</v>
      </c>
      <c r="AV79">
        <f t="shared" si="49"/>
        <v>0</v>
      </c>
      <c r="AW79">
        <f t="shared" si="49"/>
        <v>0</v>
      </c>
      <c r="AX79">
        <f t="shared" si="46"/>
        <v>1</v>
      </c>
      <c r="AY79">
        <f t="shared" si="46"/>
        <v>0</v>
      </c>
      <c r="AZ79">
        <f t="shared" si="46"/>
        <v>0</v>
      </c>
      <c r="BA79">
        <f t="shared" si="47"/>
        <v>1</v>
      </c>
      <c r="BB79">
        <f t="shared" si="48"/>
        <v>0</v>
      </c>
    </row>
    <row r="80" spans="1:54">
      <c r="A80">
        <v>77</v>
      </c>
      <c r="B80" t="s">
        <v>20</v>
      </c>
      <c r="C80" t="s">
        <v>21</v>
      </c>
      <c r="D80" t="s">
        <v>24</v>
      </c>
      <c r="E80" t="s">
        <v>20</v>
      </c>
      <c r="F80" t="s">
        <v>28</v>
      </c>
      <c r="G80" t="s">
        <v>27</v>
      </c>
      <c r="H80" s="3">
        <v>0.235888246841189</v>
      </c>
      <c r="I80" s="3">
        <v>0.23486965339344601</v>
      </c>
      <c r="J80" s="3">
        <v>0.197378363139976</v>
      </c>
      <c r="K80" s="3">
        <v>0.208288387522335</v>
      </c>
      <c r="L80" s="3">
        <v>0.149108599311359</v>
      </c>
      <c r="M80" s="3">
        <v>0.112815671853581</v>
      </c>
      <c r="N80" s="3">
        <v>0.27393513091051103</v>
      </c>
      <c r="O80" s="3">
        <v>0.15750161318887199</v>
      </c>
      <c r="P80">
        <f t="shared" si="33"/>
        <v>0</v>
      </c>
      <c r="Q80">
        <f t="shared" si="34"/>
        <v>0</v>
      </c>
      <c r="R80">
        <f t="shared" si="35"/>
        <v>0</v>
      </c>
      <c r="S80">
        <f t="shared" si="36"/>
        <v>1</v>
      </c>
      <c r="T80">
        <f t="shared" si="37"/>
        <v>0</v>
      </c>
      <c r="U80">
        <f t="shared" si="38"/>
        <v>0</v>
      </c>
      <c r="V80">
        <f t="shared" si="39"/>
        <v>1</v>
      </c>
      <c r="W80">
        <f t="shared" si="40"/>
        <v>0</v>
      </c>
      <c r="X80">
        <f t="shared" si="41"/>
        <v>0</v>
      </c>
      <c r="Y80">
        <f t="shared" si="42"/>
        <v>0</v>
      </c>
      <c r="Z80">
        <f t="shared" si="43"/>
        <v>0</v>
      </c>
      <c r="AA80">
        <f t="shared" si="44"/>
        <v>0</v>
      </c>
      <c r="AB80">
        <f t="shared" si="27"/>
        <v>0</v>
      </c>
      <c r="AC80">
        <f t="shared" si="28"/>
        <v>0</v>
      </c>
      <c r="AD80">
        <f t="shared" si="29"/>
        <v>1</v>
      </c>
      <c r="AE80">
        <f t="shared" si="30"/>
        <v>0</v>
      </c>
      <c r="AF80">
        <f t="shared" si="31"/>
        <v>0</v>
      </c>
      <c r="AG80">
        <f t="shared" si="32"/>
        <v>1</v>
      </c>
      <c r="AH80">
        <f t="shared" si="45"/>
        <v>1</v>
      </c>
      <c r="AI80">
        <f t="shared" si="49"/>
        <v>0</v>
      </c>
      <c r="AJ80">
        <f t="shared" si="49"/>
        <v>0</v>
      </c>
      <c r="AK80">
        <f t="shared" si="49"/>
        <v>0</v>
      </c>
      <c r="AL80">
        <f t="shared" si="49"/>
        <v>0</v>
      </c>
      <c r="AM80">
        <f t="shared" si="49"/>
        <v>0</v>
      </c>
      <c r="AN80">
        <f t="shared" si="49"/>
        <v>0</v>
      </c>
      <c r="AO80">
        <f t="shared" si="49"/>
        <v>0</v>
      </c>
      <c r="AP80">
        <f t="shared" si="49"/>
        <v>0</v>
      </c>
      <c r="AQ80">
        <f t="shared" si="49"/>
        <v>0</v>
      </c>
      <c r="AR80">
        <f t="shared" si="49"/>
        <v>0</v>
      </c>
      <c r="AS80">
        <f t="shared" si="49"/>
        <v>0</v>
      </c>
      <c r="AT80">
        <f t="shared" si="49"/>
        <v>0</v>
      </c>
      <c r="AU80">
        <f t="shared" si="49"/>
        <v>0</v>
      </c>
      <c r="AV80">
        <f t="shared" si="49"/>
        <v>0</v>
      </c>
      <c r="AW80">
        <f t="shared" si="49"/>
        <v>1</v>
      </c>
      <c r="AX80">
        <f t="shared" si="46"/>
        <v>1</v>
      </c>
      <c r="AY80">
        <f t="shared" si="46"/>
        <v>0</v>
      </c>
      <c r="AZ80">
        <f t="shared" si="46"/>
        <v>0</v>
      </c>
      <c r="BA80">
        <f t="shared" si="47"/>
        <v>0</v>
      </c>
      <c r="BB80">
        <f t="shared" si="48"/>
        <v>0</v>
      </c>
    </row>
    <row r="81" spans="1:54">
      <c r="A81">
        <v>78</v>
      </c>
      <c r="B81" t="s">
        <v>20</v>
      </c>
      <c r="C81" t="s">
        <v>21</v>
      </c>
      <c r="D81" t="s">
        <v>24</v>
      </c>
      <c r="E81" t="s">
        <v>20</v>
      </c>
      <c r="F81" t="s">
        <v>29</v>
      </c>
      <c r="G81" t="s">
        <v>22</v>
      </c>
      <c r="H81" s="3">
        <v>0.69855263747690299</v>
      </c>
      <c r="I81" s="3">
        <v>0.67232861142035205</v>
      </c>
      <c r="J81" s="3">
        <v>0.58250689408353096</v>
      </c>
      <c r="K81" s="3">
        <v>0.58016390471080603</v>
      </c>
      <c r="L81" s="3">
        <v>0.42233983718282597</v>
      </c>
      <c r="M81" s="3">
        <v>0.31094000440131903</v>
      </c>
      <c r="N81" s="3">
        <v>0.81985150449394295</v>
      </c>
      <c r="O81" s="3">
        <v>0.45004029893844799</v>
      </c>
      <c r="P81">
        <f t="shared" si="33"/>
        <v>0</v>
      </c>
      <c r="Q81">
        <f t="shared" si="34"/>
        <v>0</v>
      </c>
      <c r="R81">
        <f t="shared" si="35"/>
        <v>0</v>
      </c>
      <c r="S81">
        <f t="shared" si="36"/>
        <v>0</v>
      </c>
      <c r="T81">
        <f t="shared" si="37"/>
        <v>0</v>
      </c>
      <c r="U81">
        <f t="shared" si="38"/>
        <v>0</v>
      </c>
      <c r="V81">
        <f t="shared" si="39"/>
        <v>1</v>
      </c>
      <c r="W81">
        <f t="shared" si="40"/>
        <v>0</v>
      </c>
      <c r="X81">
        <f t="shared" si="41"/>
        <v>1</v>
      </c>
      <c r="Y81">
        <f t="shared" si="42"/>
        <v>0</v>
      </c>
      <c r="Z81">
        <f t="shared" si="43"/>
        <v>0</v>
      </c>
      <c r="AA81">
        <f t="shared" si="44"/>
        <v>0</v>
      </c>
      <c r="AB81">
        <f t="shared" si="27"/>
        <v>0</v>
      </c>
      <c r="AC81">
        <f t="shared" si="28"/>
        <v>0</v>
      </c>
      <c r="AD81">
        <f t="shared" si="29"/>
        <v>0</v>
      </c>
      <c r="AE81">
        <f t="shared" si="30"/>
        <v>0</v>
      </c>
      <c r="AF81">
        <f t="shared" si="31"/>
        <v>0</v>
      </c>
      <c r="AG81">
        <f t="shared" si="32"/>
        <v>1</v>
      </c>
      <c r="AH81">
        <f t="shared" si="45"/>
        <v>0</v>
      </c>
      <c r="AI81">
        <f t="shared" si="49"/>
        <v>0</v>
      </c>
      <c r="AJ81">
        <f t="shared" si="49"/>
        <v>0</v>
      </c>
      <c r="AK81">
        <f t="shared" si="49"/>
        <v>0</v>
      </c>
      <c r="AL81">
        <f t="shared" si="49"/>
        <v>0</v>
      </c>
      <c r="AM81">
        <f t="shared" si="49"/>
        <v>0</v>
      </c>
      <c r="AN81">
        <f t="shared" si="49"/>
        <v>0</v>
      </c>
      <c r="AO81">
        <f t="shared" si="49"/>
        <v>0</v>
      </c>
      <c r="AP81">
        <f t="shared" si="49"/>
        <v>0</v>
      </c>
      <c r="AQ81">
        <f t="shared" si="49"/>
        <v>0</v>
      </c>
      <c r="AR81">
        <f t="shared" si="49"/>
        <v>0</v>
      </c>
      <c r="AS81">
        <f t="shared" si="49"/>
        <v>1</v>
      </c>
      <c r="AT81">
        <f t="shared" si="49"/>
        <v>0</v>
      </c>
      <c r="AU81">
        <f t="shared" si="49"/>
        <v>0</v>
      </c>
      <c r="AV81">
        <f t="shared" si="49"/>
        <v>0</v>
      </c>
      <c r="AW81">
        <f t="shared" si="49"/>
        <v>0</v>
      </c>
      <c r="AX81">
        <f t="shared" si="46"/>
        <v>0</v>
      </c>
      <c r="AY81">
        <f t="shared" si="46"/>
        <v>0</v>
      </c>
      <c r="AZ81">
        <f t="shared" si="46"/>
        <v>1</v>
      </c>
      <c r="BA81">
        <f t="shared" si="47"/>
        <v>0</v>
      </c>
      <c r="BB81">
        <f t="shared" si="48"/>
        <v>1</v>
      </c>
    </row>
    <row r="82" spans="1:54">
      <c r="A82">
        <v>79</v>
      </c>
      <c r="B82" t="s">
        <v>20</v>
      </c>
      <c r="C82" t="s">
        <v>21</v>
      </c>
      <c r="D82" t="s">
        <v>24</v>
      </c>
      <c r="E82" t="s">
        <v>20</v>
      </c>
      <c r="F82" t="s">
        <v>29</v>
      </c>
      <c r="G82" t="s">
        <v>23</v>
      </c>
      <c r="H82" s="3">
        <v>3.9380555346374198E-2</v>
      </c>
      <c r="I82" s="3">
        <v>3.8114999356052601E-2</v>
      </c>
      <c r="J82" s="3">
        <v>3.3186579798457502E-2</v>
      </c>
      <c r="K82" s="3">
        <v>3.4345656084458498E-2</v>
      </c>
      <c r="L82" s="3">
        <v>2.56074139506632E-2</v>
      </c>
      <c r="M82" s="3">
        <v>2.0066969864734101E-2</v>
      </c>
      <c r="N82" s="3">
        <v>4.3376318874560303E-2</v>
      </c>
      <c r="O82" s="3">
        <v>2.6938773970333899E-2</v>
      </c>
      <c r="P82">
        <f t="shared" si="33"/>
        <v>0</v>
      </c>
      <c r="Q82">
        <f t="shared" si="34"/>
        <v>0</v>
      </c>
      <c r="R82">
        <f t="shared" si="35"/>
        <v>0</v>
      </c>
      <c r="S82">
        <f t="shared" si="36"/>
        <v>0</v>
      </c>
      <c r="T82">
        <f t="shared" si="37"/>
        <v>0</v>
      </c>
      <c r="U82">
        <f t="shared" si="38"/>
        <v>0</v>
      </c>
      <c r="V82">
        <f t="shared" si="39"/>
        <v>1</v>
      </c>
      <c r="W82">
        <f t="shared" si="40"/>
        <v>0</v>
      </c>
      <c r="X82">
        <f t="shared" si="41"/>
        <v>0</v>
      </c>
      <c r="Y82">
        <f t="shared" si="42"/>
        <v>1</v>
      </c>
      <c r="Z82">
        <f t="shared" si="43"/>
        <v>0</v>
      </c>
      <c r="AA82">
        <f t="shared" si="44"/>
        <v>0</v>
      </c>
      <c r="AB82">
        <f t="shared" si="27"/>
        <v>0</v>
      </c>
      <c r="AC82">
        <f t="shared" si="28"/>
        <v>0</v>
      </c>
      <c r="AD82">
        <f t="shared" si="29"/>
        <v>0</v>
      </c>
      <c r="AE82">
        <f t="shared" si="30"/>
        <v>0</v>
      </c>
      <c r="AF82">
        <f t="shared" si="31"/>
        <v>0</v>
      </c>
      <c r="AG82">
        <f t="shared" si="32"/>
        <v>1</v>
      </c>
      <c r="AH82">
        <f t="shared" si="45"/>
        <v>0</v>
      </c>
      <c r="AI82">
        <f t="shared" si="49"/>
        <v>0</v>
      </c>
      <c r="AJ82">
        <f t="shared" si="49"/>
        <v>0</v>
      </c>
      <c r="AK82">
        <f t="shared" si="49"/>
        <v>0</v>
      </c>
      <c r="AL82">
        <f t="shared" si="49"/>
        <v>0</v>
      </c>
      <c r="AM82">
        <f t="shared" si="49"/>
        <v>0</v>
      </c>
      <c r="AN82">
        <f t="shared" si="49"/>
        <v>0</v>
      </c>
      <c r="AO82">
        <f t="shared" si="49"/>
        <v>0</v>
      </c>
      <c r="AP82">
        <f t="shared" si="49"/>
        <v>0</v>
      </c>
      <c r="AQ82">
        <f t="shared" si="49"/>
        <v>0</v>
      </c>
      <c r="AR82">
        <f t="shared" si="49"/>
        <v>0</v>
      </c>
      <c r="AS82">
        <f t="shared" si="49"/>
        <v>0</v>
      </c>
      <c r="AT82">
        <f t="shared" si="49"/>
        <v>0</v>
      </c>
      <c r="AU82">
        <f t="shared" si="49"/>
        <v>1</v>
      </c>
      <c r="AV82">
        <f t="shared" si="49"/>
        <v>0</v>
      </c>
      <c r="AW82">
        <f t="shared" si="49"/>
        <v>0</v>
      </c>
      <c r="AX82">
        <f t="shared" si="46"/>
        <v>0</v>
      </c>
      <c r="AY82">
        <f t="shared" si="46"/>
        <v>0</v>
      </c>
      <c r="AZ82">
        <f t="shared" si="46"/>
        <v>1</v>
      </c>
      <c r="BA82">
        <f t="shared" si="47"/>
        <v>0</v>
      </c>
      <c r="BB82">
        <f t="shared" si="48"/>
        <v>1</v>
      </c>
    </row>
    <row r="83" spans="1:54">
      <c r="A83">
        <v>80</v>
      </c>
      <c r="B83" t="s">
        <v>20</v>
      </c>
      <c r="C83" t="s">
        <v>21</v>
      </c>
      <c r="D83" t="s">
        <v>24</v>
      </c>
      <c r="E83" t="s">
        <v>20</v>
      </c>
      <c r="F83" t="s">
        <v>29</v>
      </c>
      <c r="G83" t="s">
        <v>24</v>
      </c>
      <c r="H83" s="3">
        <v>0.84346191843814999</v>
      </c>
      <c r="I83" s="3">
        <v>0.83819848165015598</v>
      </c>
      <c r="J83" s="3">
        <v>0.72932561862441503</v>
      </c>
      <c r="K83" s="3">
        <v>0.78993801608636605</v>
      </c>
      <c r="L83" s="3">
        <v>0.67913466013924095</v>
      </c>
      <c r="M83" s="3">
        <v>0.58054129937849197</v>
      </c>
      <c r="N83" s="3">
        <v>0.90894880812817502</v>
      </c>
      <c r="O83" s="3">
        <v>0.64795044941985203</v>
      </c>
      <c r="P83">
        <f t="shared" si="33"/>
        <v>0</v>
      </c>
      <c r="Q83">
        <f t="shared" si="34"/>
        <v>0</v>
      </c>
      <c r="R83">
        <f t="shared" si="35"/>
        <v>0</v>
      </c>
      <c r="S83">
        <f t="shared" si="36"/>
        <v>0</v>
      </c>
      <c r="T83">
        <f t="shared" si="37"/>
        <v>0</v>
      </c>
      <c r="U83">
        <f t="shared" si="38"/>
        <v>0</v>
      </c>
      <c r="V83">
        <f t="shared" si="39"/>
        <v>1</v>
      </c>
      <c r="W83">
        <f t="shared" si="40"/>
        <v>0</v>
      </c>
      <c r="X83">
        <f t="shared" si="41"/>
        <v>0</v>
      </c>
      <c r="Y83">
        <f t="shared" si="42"/>
        <v>0</v>
      </c>
      <c r="Z83">
        <f t="shared" si="43"/>
        <v>0</v>
      </c>
      <c r="AA83">
        <f t="shared" si="44"/>
        <v>1</v>
      </c>
      <c r="AB83">
        <f t="shared" si="27"/>
        <v>0</v>
      </c>
      <c r="AC83">
        <f t="shared" si="28"/>
        <v>0</v>
      </c>
      <c r="AD83">
        <f t="shared" si="29"/>
        <v>1</v>
      </c>
      <c r="AE83">
        <f t="shared" si="30"/>
        <v>0</v>
      </c>
      <c r="AF83">
        <f t="shared" si="31"/>
        <v>0</v>
      </c>
      <c r="AG83">
        <f t="shared" si="32"/>
        <v>1</v>
      </c>
      <c r="AH83">
        <f t="shared" si="45"/>
        <v>1</v>
      </c>
      <c r="AI83">
        <f t="shared" si="49"/>
        <v>0</v>
      </c>
      <c r="AJ83">
        <f t="shared" si="49"/>
        <v>0</v>
      </c>
      <c r="AK83">
        <f t="shared" si="49"/>
        <v>0</v>
      </c>
      <c r="AL83">
        <f t="shared" si="49"/>
        <v>0</v>
      </c>
      <c r="AM83">
        <f t="shared" si="49"/>
        <v>0</v>
      </c>
      <c r="AN83">
        <f t="shared" si="49"/>
        <v>0</v>
      </c>
      <c r="AO83">
        <f t="shared" si="49"/>
        <v>0</v>
      </c>
      <c r="AP83">
        <f t="shared" si="49"/>
        <v>0</v>
      </c>
      <c r="AQ83">
        <f t="shared" si="49"/>
        <v>0</v>
      </c>
      <c r="AR83">
        <f t="shared" si="49"/>
        <v>0</v>
      </c>
      <c r="AS83">
        <f t="shared" si="49"/>
        <v>0</v>
      </c>
      <c r="AT83">
        <f t="shared" si="49"/>
        <v>0</v>
      </c>
      <c r="AU83">
        <f t="shared" si="49"/>
        <v>0</v>
      </c>
      <c r="AV83">
        <f t="shared" si="49"/>
        <v>0</v>
      </c>
      <c r="AW83">
        <f t="shared" si="49"/>
        <v>0</v>
      </c>
      <c r="AX83">
        <f t="shared" si="46"/>
        <v>0</v>
      </c>
      <c r="AY83">
        <f t="shared" si="46"/>
        <v>0</v>
      </c>
      <c r="AZ83">
        <f t="shared" si="46"/>
        <v>1</v>
      </c>
      <c r="BA83">
        <f t="shared" si="47"/>
        <v>0</v>
      </c>
      <c r="BB83">
        <f t="shared" si="48"/>
        <v>1</v>
      </c>
    </row>
    <row r="84" spans="1:54">
      <c r="A84">
        <v>81</v>
      </c>
      <c r="B84" t="s">
        <v>20</v>
      </c>
      <c r="C84" t="s">
        <v>21</v>
      </c>
      <c r="D84" t="s">
        <v>24</v>
      </c>
      <c r="E84" t="s">
        <v>20</v>
      </c>
      <c r="F84" t="s">
        <v>29</v>
      </c>
      <c r="G84" t="s">
        <v>31</v>
      </c>
      <c r="H84" s="3">
        <v>4.7442286192483203E-2</v>
      </c>
      <c r="I84" s="3">
        <v>4.5016066923801099E-2</v>
      </c>
      <c r="J84" s="3">
        <v>3.9659292844592603E-2</v>
      </c>
      <c r="K84" s="3">
        <v>4.0012165803493198E-2</v>
      </c>
      <c r="L84" s="3">
        <v>3.1119326051599699E-2</v>
      </c>
      <c r="M84" s="3">
        <v>2.4168685175213901E-2</v>
      </c>
      <c r="N84" s="3">
        <v>5.23642047674873E-2</v>
      </c>
      <c r="O84" s="3">
        <v>3.1621830418404898E-2</v>
      </c>
      <c r="P84">
        <f t="shared" si="33"/>
        <v>0</v>
      </c>
      <c r="Q84">
        <f t="shared" si="34"/>
        <v>0</v>
      </c>
      <c r="R84">
        <f t="shared" si="35"/>
        <v>0</v>
      </c>
      <c r="S84">
        <f t="shared" si="36"/>
        <v>0</v>
      </c>
      <c r="T84">
        <f t="shared" si="37"/>
        <v>0</v>
      </c>
      <c r="U84">
        <f t="shared" si="38"/>
        <v>0</v>
      </c>
      <c r="V84">
        <f t="shared" si="39"/>
        <v>1</v>
      </c>
      <c r="W84">
        <f t="shared" si="40"/>
        <v>0</v>
      </c>
      <c r="X84">
        <f t="shared" si="41"/>
        <v>0</v>
      </c>
      <c r="Y84">
        <f t="shared" si="42"/>
        <v>0</v>
      </c>
      <c r="Z84">
        <f t="shared" si="43"/>
        <v>1</v>
      </c>
      <c r="AA84">
        <f t="shared" si="44"/>
        <v>0</v>
      </c>
      <c r="AB84">
        <f t="shared" si="27"/>
        <v>0</v>
      </c>
      <c r="AC84">
        <f t="shared" si="28"/>
        <v>0</v>
      </c>
      <c r="AD84">
        <f t="shared" si="29"/>
        <v>0</v>
      </c>
      <c r="AE84">
        <f t="shared" si="30"/>
        <v>0</v>
      </c>
      <c r="AF84">
        <f t="shared" si="31"/>
        <v>0</v>
      </c>
      <c r="AG84">
        <f t="shared" si="32"/>
        <v>1</v>
      </c>
      <c r="AH84">
        <f t="shared" si="45"/>
        <v>0</v>
      </c>
      <c r="AI84">
        <f t="shared" si="49"/>
        <v>0</v>
      </c>
      <c r="AJ84">
        <f t="shared" si="49"/>
        <v>0</v>
      </c>
      <c r="AK84">
        <f t="shared" si="49"/>
        <v>0</v>
      </c>
      <c r="AL84">
        <f t="shared" si="49"/>
        <v>0</v>
      </c>
      <c r="AM84">
        <f t="shared" si="49"/>
        <v>0</v>
      </c>
      <c r="AN84">
        <f t="shared" si="49"/>
        <v>0</v>
      </c>
      <c r="AO84">
        <f t="shared" si="49"/>
        <v>0</v>
      </c>
      <c r="AP84">
        <f t="shared" si="49"/>
        <v>0</v>
      </c>
      <c r="AQ84">
        <f t="shared" si="49"/>
        <v>0</v>
      </c>
      <c r="AR84">
        <f t="shared" si="49"/>
        <v>0</v>
      </c>
      <c r="AS84">
        <f t="shared" si="49"/>
        <v>0</v>
      </c>
      <c r="AT84">
        <f t="shared" si="49"/>
        <v>0</v>
      </c>
      <c r="AU84">
        <f t="shared" si="49"/>
        <v>0</v>
      </c>
      <c r="AV84">
        <f t="shared" si="49"/>
        <v>0</v>
      </c>
      <c r="AW84">
        <f t="shared" si="49"/>
        <v>0</v>
      </c>
      <c r="AX84">
        <f t="shared" si="46"/>
        <v>0</v>
      </c>
      <c r="AY84">
        <f t="shared" si="46"/>
        <v>0</v>
      </c>
      <c r="AZ84">
        <f t="shared" si="46"/>
        <v>1</v>
      </c>
      <c r="BA84">
        <f t="shared" si="47"/>
        <v>0</v>
      </c>
      <c r="BB84">
        <f t="shared" si="48"/>
        <v>1</v>
      </c>
    </row>
    <row r="85" spans="1:54">
      <c r="A85">
        <v>82</v>
      </c>
      <c r="B85" t="s">
        <v>20</v>
      </c>
      <c r="C85" t="s">
        <v>21</v>
      </c>
      <c r="D85" t="s">
        <v>24</v>
      </c>
      <c r="E85" t="s">
        <v>20</v>
      </c>
      <c r="F85" t="s">
        <v>29</v>
      </c>
      <c r="G85" t="s">
        <v>25</v>
      </c>
      <c r="H85" s="3">
        <v>0.10116710782511</v>
      </c>
      <c r="I85" s="3">
        <v>9.8356155130874895E-2</v>
      </c>
      <c r="J85" s="3">
        <v>8.5369831787623598E-2</v>
      </c>
      <c r="K85" s="3">
        <v>8.8186313162518001E-2</v>
      </c>
      <c r="L85" s="3">
        <v>6.54696801676794E-2</v>
      </c>
      <c r="M85" s="3">
        <v>5.1887926260998397E-2</v>
      </c>
      <c r="N85" s="3">
        <v>0.112397768700311</v>
      </c>
      <c r="O85" s="3">
        <v>6.8110449488108002E-2</v>
      </c>
      <c r="P85">
        <f t="shared" si="33"/>
        <v>0</v>
      </c>
      <c r="Q85">
        <f t="shared" si="34"/>
        <v>0</v>
      </c>
      <c r="R85">
        <f t="shared" si="35"/>
        <v>0</v>
      </c>
      <c r="S85">
        <f t="shared" si="36"/>
        <v>0</v>
      </c>
      <c r="T85">
        <f t="shared" si="37"/>
        <v>0</v>
      </c>
      <c r="U85">
        <f t="shared" si="38"/>
        <v>0</v>
      </c>
      <c r="V85">
        <f t="shared" si="39"/>
        <v>1</v>
      </c>
      <c r="W85">
        <f t="shared" si="40"/>
        <v>0</v>
      </c>
      <c r="X85">
        <f t="shared" si="41"/>
        <v>0</v>
      </c>
      <c r="Y85">
        <f t="shared" si="42"/>
        <v>0</v>
      </c>
      <c r="Z85">
        <f t="shared" si="43"/>
        <v>0</v>
      </c>
      <c r="AA85">
        <f t="shared" si="44"/>
        <v>0</v>
      </c>
      <c r="AB85">
        <f t="shared" si="27"/>
        <v>0</v>
      </c>
      <c r="AC85">
        <f t="shared" si="28"/>
        <v>0</v>
      </c>
      <c r="AD85">
        <f t="shared" si="29"/>
        <v>0</v>
      </c>
      <c r="AE85">
        <f t="shared" si="30"/>
        <v>0</v>
      </c>
      <c r="AF85">
        <f t="shared" si="31"/>
        <v>0</v>
      </c>
      <c r="AG85">
        <f t="shared" si="32"/>
        <v>1</v>
      </c>
      <c r="AH85">
        <f t="shared" si="45"/>
        <v>0</v>
      </c>
      <c r="AI85">
        <f t="shared" si="49"/>
        <v>0</v>
      </c>
      <c r="AJ85">
        <f t="shared" si="49"/>
        <v>0</v>
      </c>
      <c r="AK85">
        <f t="shared" si="49"/>
        <v>0</v>
      </c>
      <c r="AL85">
        <f t="shared" si="49"/>
        <v>0</v>
      </c>
      <c r="AM85">
        <f t="shared" si="49"/>
        <v>0</v>
      </c>
      <c r="AN85">
        <f t="shared" si="49"/>
        <v>0</v>
      </c>
      <c r="AO85">
        <f t="shared" si="49"/>
        <v>0</v>
      </c>
      <c r="AP85">
        <f t="shared" si="49"/>
        <v>1</v>
      </c>
      <c r="AQ85">
        <f t="shared" si="49"/>
        <v>0</v>
      </c>
      <c r="AR85">
        <f t="shared" si="49"/>
        <v>0</v>
      </c>
      <c r="AS85">
        <f t="shared" si="49"/>
        <v>0</v>
      </c>
      <c r="AT85">
        <f t="shared" si="49"/>
        <v>0</v>
      </c>
      <c r="AU85">
        <f t="shared" si="49"/>
        <v>0</v>
      </c>
      <c r="AV85">
        <f t="shared" si="49"/>
        <v>0</v>
      </c>
      <c r="AW85">
        <f t="shared" si="49"/>
        <v>0</v>
      </c>
      <c r="AX85">
        <f t="shared" si="46"/>
        <v>0</v>
      </c>
      <c r="AY85">
        <f t="shared" si="46"/>
        <v>0</v>
      </c>
      <c r="AZ85">
        <f t="shared" si="46"/>
        <v>1</v>
      </c>
      <c r="BA85">
        <f t="shared" si="47"/>
        <v>1</v>
      </c>
      <c r="BB85">
        <f t="shared" si="48"/>
        <v>1</v>
      </c>
    </row>
    <row r="86" spans="1:54">
      <c r="A86">
        <v>83</v>
      </c>
      <c r="B86" t="s">
        <v>20</v>
      </c>
      <c r="C86" t="s">
        <v>21</v>
      </c>
      <c r="D86" t="s">
        <v>24</v>
      </c>
      <c r="E86" t="s">
        <v>20</v>
      </c>
      <c r="F86" t="s">
        <v>29</v>
      </c>
      <c r="G86" t="s">
        <v>26</v>
      </c>
      <c r="H86" s="3">
        <v>0.103619813220257</v>
      </c>
      <c r="I86" s="3">
        <v>0.100605483476032</v>
      </c>
      <c r="J86" s="3">
        <v>8.7519533162208105E-2</v>
      </c>
      <c r="K86" s="3">
        <v>9.0130855187553399E-2</v>
      </c>
      <c r="L86" s="3">
        <v>6.70887708928498E-2</v>
      </c>
      <c r="M86" s="3">
        <v>5.3171255678894698E-2</v>
      </c>
      <c r="N86" s="3">
        <v>0.115102554875854</v>
      </c>
      <c r="O86" s="3">
        <v>6.9812968418098198E-2</v>
      </c>
      <c r="P86">
        <f t="shared" si="33"/>
        <v>0</v>
      </c>
      <c r="Q86">
        <f t="shared" si="34"/>
        <v>0</v>
      </c>
      <c r="R86">
        <f t="shared" si="35"/>
        <v>0</v>
      </c>
      <c r="S86">
        <f t="shared" si="36"/>
        <v>0</v>
      </c>
      <c r="T86">
        <f t="shared" si="37"/>
        <v>0</v>
      </c>
      <c r="U86">
        <f t="shared" si="38"/>
        <v>0</v>
      </c>
      <c r="V86">
        <f t="shared" si="39"/>
        <v>1</v>
      </c>
      <c r="W86">
        <f t="shared" si="40"/>
        <v>0</v>
      </c>
      <c r="X86">
        <f t="shared" si="41"/>
        <v>0</v>
      </c>
      <c r="Y86">
        <f t="shared" si="42"/>
        <v>0</v>
      </c>
      <c r="Z86">
        <f t="shared" si="43"/>
        <v>0</v>
      </c>
      <c r="AA86">
        <f t="shared" si="44"/>
        <v>0</v>
      </c>
      <c r="AB86">
        <f t="shared" si="27"/>
        <v>0</v>
      </c>
      <c r="AC86">
        <f t="shared" si="28"/>
        <v>0</v>
      </c>
      <c r="AD86">
        <f t="shared" si="29"/>
        <v>0</v>
      </c>
      <c r="AE86">
        <f t="shared" si="30"/>
        <v>0</v>
      </c>
      <c r="AF86">
        <f t="shared" si="31"/>
        <v>0</v>
      </c>
      <c r="AG86">
        <f t="shared" si="32"/>
        <v>1</v>
      </c>
      <c r="AH86">
        <f t="shared" si="45"/>
        <v>0</v>
      </c>
      <c r="AI86">
        <f t="shared" ref="AI86:AW102" si="50">IF(OR(AND($D86=AI$1,$G86=AI$2),AND($D86=AI$2,$G86=AI$1)),1,0)</f>
        <v>0</v>
      </c>
      <c r="AJ86">
        <f t="shared" si="50"/>
        <v>0</v>
      </c>
      <c r="AK86">
        <f t="shared" si="50"/>
        <v>0</v>
      </c>
      <c r="AL86">
        <f t="shared" si="50"/>
        <v>1</v>
      </c>
      <c r="AM86">
        <f t="shared" si="50"/>
        <v>0</v>
      </c>
      <c r="AN86">
        <f t="shared" si="50"/>
        <v>0</v>
      </c>
      <c r="AO86">
        <f t="shared" si="50"/>
        <v>0</v>
      </c>
      <c r="AP86">
        <f t="shared" si="50"/>
        <v>0</v>
      </c>
      <c r="AQ86">
        <f t="shared" si="50"/>
        <v>0</v>
      </c>
      <c r="AR86">
        <f t="shared" si="50"/>
        <v>0</v>
      </c>
      <c r="AS86">
        <f t="shared" si="50"/>
        <v>0</v>
      </c>
      <c r="AT86">
        <f t="shared" si="50"/>
        <v>0</v>
      </c>
      <c r="AU86">
        <f t="shared" si="50"/>
        <v>0</v>
      </c>
      <c r="AV86">
        <f t="shared" si="50"/>
        <v>0</v>
      </c>
      <c r="AW86">
        <f t="shared" si="50"/>
        <v>0</v>
      </c>
      <c r="AX86">
        <f t="shared" si="46"/>
        <v>0</v>
      </c>
      <c r="AY86">
        <f t="shared" si="46"/>
        <v>0</v>
      </c>
      <c r="AZ86">
        <f t="shared" si="46"/>
        <v>1</v>
      </c>
      <c r="BA86">
        <f t="shared" si="47"/>
        <v>1</v>
      </c>
      <c r="BB86">
        <f t="shared" si="48"/>
        <v>1</v>
      </c>
    </row>
    <row r="87" spans="1:54">
      <c r="A87">
        <v>84</v>
      </c>
      <c r="B87" t="s">
        <v>20</v>
      </c>
      <c r="C87" t="s">
        <v>21</v>
      </c>
      <c r="D87" t="s">
        <v>24</v>
      </c>
      <c r="E87" t="s">
        <v>30</v>
      </c>
      <c r="F87" t="s">
        <v>21</v>
      </c>
      <c r="G87" t="s">
        <v>22</v>
      </c>
      <c r="H87" s="3">
        <v>2.3504312069305099E-2</v>
      </c>
      <c r="I87" s="3">
        <v>2.27045767380109E-2</v>
      </c>
      <c r="J87" s="3">
        <v>1.9730536280046899E-2</v>
      </c>
      <c r="K87" s="3">
        <v>2.0929305784502299E-2</v>
      </c>
      <c r="L87" s="3">
        <v>1.50190540624661E-2</v>
      </c>
      <c r="M87" s="3">
        <v>1.1917436426782E-2</v>
      </c>
      <c r="N87" s="3">
        <v>2.50097694411879E-2</v>
      </c>
      <c r="O87" s="3">
        <v>1.6044713115397301E-2</v>
      </c>
      <c r="P87">
        <f t="shared" si="33"/>
        <v>0</v>
      </c>
      <c r="Q87">
        <f t="shared" si="34"/>
        <v>0</v>
      </c>
      <c r="R87">
        <f t="shared" si="35"/>
        <v>0</v>
      </c>
      <c r="S87">
        <f t="shared" si="36"/>
        <v>0</v>
      </c>
      <c r="T87">
        <f t="shared" si="37"/>
        <v>1</v>
      </c>
      <c r="U87">
        <f t="shared" si="38"/>
        <v>0</v>
      </c>
      <c r="V87">
        <f t="shared" si="39"/>
        <v>1</v>
      </c>
      <c r="W87">
        <f t="shared" si="40"/>
        <v>0</v>
      </c>
      <c r="X87">
        <f t="shared" si="41"/>
        <v>0</v>
      </c>
      <c r="Y87">
        <f t="shared" si="42"/>
        <v>0</v>
      </c>
      <c r="Z87">
        <f t="shared" si="43"/>
        <v>0</v>
      </c>
      <c r="AA87">
        <f t="shared" si="44"/>
        <v>0</v>
      </c>
      <c r="AB87">
        <f t="shared" si="27"/>
        <v>0</v>
      </c>
      <c r="AC87">
        <f t="shared" si="28"/>
        <v>0</v>
      </c>
      <c r="AD87">
        <f t="shared" si="29"/>
        <v>0</v>
      </c>
      <c r="AE87">
        <f t="shared" si="30"/>
        <v>0</v>
      </c>
      <c r="AF87">
        <f t="shared" si="31"/>
        <v>1</v>
      </c>
      <c r="AG87">
        <f t="shared" si="32"/>
        <v>0</v>
      </c>
      <c r="AH87">
        <f t="shared" si="45"/>
        <v>0</v>
      </c>
      <c r="AI87">
        <f t="shared" si="50"/>
        <v>0</v>
      </c>
      <c r="AJ87">
        <f t="shared" si="50"/>
        <v>0</v>
      </c>
      <c r="AK87">
        <f t="shared" si="50"/>
        <v>0</v>
      </c>
      <c r="AL87">
        <f t="shared" si="50"/>
        <v>0</v>
      </c>
      <c r="AM87">
        <f t="shared" si="50"/>
        <v>0</v>
      </c>
      <c r="AN87">
        <f t="shared" si="50"/>
        <v>0</v>
      </c>
      <c r="AO87">
        <f t="shared" si="50"/>
        <v>0</v>
      </c>
      <c r="AP87">
        <f t="shared" si="50"/>
        <v>0</v>
      </c>
      <c r="AQ87">
        <f t="shared" si="50"/>
        <v>0</v>
      </c>
      <c r="AR87">
        <f t="shared" si="50"/>
        <v>0</v>
      </c>
      <c r="AS87">
        <f t="shared" si="50"/>
        <v>1</v>
      </c>
      <c r="AT87">
        <f t="shared" si="50"/>
        <v>0</v>
      </c>
      <c r="AU87">
        <f t="shared" si="50"/>
        <v>0</v>
      </c>
      <c r="AV87">
        <f t="shared" si="50"/>
        <v>0</v>
      </c>
      <c r="AW87">
        <f t="shared" si="50"/>
        <v>0</v>
      </c>
      <c r="AX87">
        <f t="shared" si="46"/>
        <v>0</v>
      </c>
      <c r="AY87">
        <f t="shared" si="46"/>
        <v>0</v>
      </c>
      <c r="AZ87">
        <f t="shared" si="46"/>
        <v>0</v>
      </c>
      <c r="BA87">
        <f t="shared" si="47"/>
        <v>0</v>
      </c>
      <c r="BB87">
        <f t="shared" si="48"/>
        <v>0</v>
      </c>
    </row>
    <row r="88" spans="1:54">
      <c r="A88">
        <v>85</v>
      </c>
      <c r="B88" t="s">
        <v>20</v>
      </c>
      <c r="C88" t="s">
        <v>21</v>
      </c>
      <c r="D88" t="s">
        <v>24</v>
      </c>
      <c r="E88" t="s">
        <v>30</v>
      </c>
      <c r="F88" t="s">
        <v>21</v>
      </c>
      <c r="G88" t="s">
        <v>23</v>
      </c>
      <c r="H88" s="3">
        <v>2.51284910492377E-2</v>
      </c>
      <c r="I88" s="3">
        <v>2.4130080212664998E-2</v>
      </c>
      <c r="J88" s="3">
        <v>2.1219818925475899E-2</v>
      </c>
      <c r="K88" s="3">
        <v>2.1974403251450801E-2</v>
      </c>
      <c r="L88" s="3">
        <v>1.5542224616526599E-2</v>
      </c>
      <c r="M88" s="3">
        <v>1.1982125976628E-2</v>
      </c>
      <c r="N88" s="3">
        <v>2.69636576787807E-2</v>
      </c>
      <c r="O88" s="3">
        <v>1.70290538913568E-2</v>
      </c>
      <c r="P88">
        <f t="shared" si="33"/>
        <v>0</v>
      </c>
      <c r="Q88">
        <f t="shared" si="34"/>
        <v>0</v>
      </c>
      <c r="R88">
        <f t="shared" si="35"/>
        <v>0</v>
      </c>
      <c r="S88">
        <f t="shared" si="36"/>
        <v>0</v>
      </c>
      <c r="T88">
        <f t="shared" si="37"/>
        <v>0</v>
      </c>
      <c r="U88">
        <f t="shared" si="38"/>
        <v>1</v>
      </c>
      <c r="V88">
        <f t="shared" si="39"/>
        <v>1</v>
      </c>
      <c r="W88">
        <f t="shared" si="40"/>
        <v>0</v>
      </c>
      <c r="X88">
        <f t="shared" si="41"/>
        <v>0</v>
      </c>
      <c r="Y88">
        <f t="shared" si="42"/>
        <v>0</v>
      </c>
      <c r="Z88">
        <f t="shared" si="43"/>
        <v>0</v>
      </c>
      <c r="AA88">
        <f t="shared" si="44"/>
        <v>0</v>
      </c>
      <c r="AB88">
        <f t="shared" si="27"/>
        <v>0</v>
      </c>
      <c r="AC88">
        <f t="shared" si="28"/>
        <v>0</v>
      </c>
      <c r="AD88">
        <f t="shared" si="29"/>
        <v>0</v>
      </c>
      <c r="AE88">
        <f t="shared" si="30"/>
        <v>0</v>
      </c>
      <c r="AF88">
        <f t="shared" si="31"/>
        <v>1</v>
      </c>
      <c r="AG88">
        <f t="shared" si="32"/>
        <v>0</v>
      </c>
      <c r="AH88">
        <f t="shared" si="45"/>
        <v>0</v>
      </c>
      <c r="AI88">
        <f t="shared" si="50"/>
        <v>0</v>
      </c>
      <c r="AJ88">
        <f t="shared" si="50"/>
        <v>0</v>
      </c>
      <c r="AK88">
        <f t="shared" si="50"/>
        <v>0</v>
      </c>
      <c r="AL88">
        <f t="shared" si="50"/>
        <v>0</v>
      </c>
      <c r="AM88">
        <f t="shared" si="50"/>
        <v>0</v>
      </c>
      <c r="AN88">
        <f t="shared" si="50"/>
        <v>0</v>
      </c>
      <c r="AO88">
        <f t="shared" si="50"/>
        <v>0</v>
      </c>
      <c r="AP88">
        <f t="shared" si="50"/>
        <v>0</v>
      </c>
      <c r="AQ88">
        <f t="shared" si="50"/>
        <v>0</v>
      </c>
      <c r="AR88">
        <f t="shared" si="50"/>
        <v>0</v>
      </c>
      <c r="AS88">
        <f t="shared" si="50"/>
        <v>0</v>
      </c>
      <c r="AT88">
        <f t="shared" si="50"/>
        <v>0</v>
      </c>
      <c r="AU88">
        <f t="shared" si="50"/>
        <v>1</v>
      </c>
      <c r="AV88">
        <f t="shared" si="50"/>
        <v>0</v>
      </c>
      <c r="AW88">
        <f t="shared" si="50"/>
        <v>0</v>
      </c>
      <c r="AX88">
        <f t="shared" si="46"/>
        <v>0</v>
      </c>
      <c r="AY88">
        <f t="shared" si="46"/>
        <v>0</v>
      </c>
      <c r="AZ88">
        <f t="shared" si="46"/>
        <v>0</v>
      </c>
      <c r="BA88">
        <f t="shared" si="47"/>
        <v>0</v>
      </c>
      <c r="BB88">
        <f t="shared" si="48"/>
        <v>0</v>
      </c>
    </row>
    <row r="89" spans="1:54">
      <c r="A89">
        <v>86</v>
      </c>
      <c r="B89" t="s">
        <v>20</v>
      </c>
      <c r="C89" t="s">
        <v>21</v>
      </c>
      <c r="D89" t="s">
        <v>24</v>
      </c>
      <c r="E89" t="s">
        <v>30</v>
      </c>
      <c r="F89" t="s">
        <v>21</v>
      </c>
      <c r="G89" t="s">
        <v>24</v>
      </c>
      <c r="H89" s="3">
        <v>0.82092878320755502</v>
      </c>
      <c r="I89" s="3">
        <v>0.88627609848362698</v>
      </c>
      <c r="J89" s="3">
        <v>0.62929654995547701</v>
      </c>
      <c r="K89" s="3">
        <v>0.81606106801174005</v>
      </c>
      <c r="L89" s="3">
        <v>0.56565501573991495</v>
      </c>
      <c r="M89" s="3">
        <v>0.44501421246245698</v>
      </c>
      <c r="N89" s="3">
        <v>0.98397811645173805</v>
      </c>
      <c r="O89" s="3">
        <v>0.53211692484767903</v>
      </c>
      <c r="P89">
        <f t="shared" si="33"/>
        <v>0</v>
      </c>
      <c r="Q89">
        <f t="shared" si="34"/>
        <v>0</v>
      </c>
      <c r="R89">
        <f t="shared" si="35"/>
        <v>0</v>
      </c>
      <c r="S89">
        <f t="shared" si="36"/>
        <v>0</v>
      </c>
      <c r="T89">
        <f t="shared" si="37"/>
        <v>0</v>
      </c>
      <c r="U89">
        <f t="shared" si="38"/>
        <v>0</v>
      </c>
      <c r="V89">
        <f t="shared" si="39"/>
        <v>1</v>
      </c>
      <c r="W89">
        <f t="shared" si="40"/>
        <v>0</v>
      </c>
      <c r="X89">
        <f t="shared" si="41"/>
        <v>0</v>
      </c>
      <c r="Y89">
        <f t="shared" si="42"/>
        <v>0</v>
      </c>
      <c r="Z89">
        <f t="shared" si="43"/>
        <v>0</v>
      </c>
      <c r="AA89">
        <f t="shared" si="44"/>
        <v>0</v>
      </c>
      <c r="AB89">
        <f t="shared" si="27"/>
        <v>0</v>
      </c>
      <c r="AC89">
        <f t="shared" si="28"/>
        <v>0</v>
      </c>
      <c r="AD89">
        <f t="shared" si="29"/>
        <v>1</v>
      </c>
      <c r="AE89">
        <f t="shared" si="30"/>
        <v>0</v>
      </c>
      <c r="AF89">
        <f t="shared" si="31"/>
        <v>1</v>
      </c>
      <c r="AG89">
        <f t="shared" si="32"/>
        <v>0</v>
      </c>
      <c r="AH89">
        <f t="shared" si="45"/>
        <v>1</v>
      </c>
      <c r="AI89">
        <f t="shared" si="50"/>
        <v>0</v>
      </c>
      <c r="AJ89">
        <f t="shared" si="50"/>
        <v>0</v>
      </c>
      <c r="AK89">
        <f t="shared" si="50"/>
        <v>0</v>
      </c>
      <c r="AL89">
        <f t="shared" si="50"/>
        <v>0</v>
      </c>
      <c r="AM89">
        <f t="shared" si="50"/>
        <v>0</v>
      </c>
      <c r="AN89">
        <f t="shared" si="50"/>
        <v>0</v>
      </c>
      <c r="AO89">
        <f t="shared" si="50"/>
        <v>0</v>
      </c>
      <c r="AP89">
        <f t="shared" si="50"/>
        <v>0</v>
      </c>
      <c r="AQ89">
        <f t="shared" si="50"/>
        <v>0</v>
      </c>
      <c r="AR89">
        <f t="shared" si="50"/>
        <v>0</v>
      </c>
      <c r="AS89">
        <f t="shared" si="50"/>
        <v>0</v>
      </c>
      <c r="AT89">
        <f t="shared" si="50"/>
        <v>0</v>
      </c>
      <c r="AU89">
        <f t="shared" si="50"/>
        <v>0</v>
      </c>
      <c r="AV89">
        <f t="shared" si="50"/>
        <v>0</v>
      </c>
      <c r="AW89">
        <f t="shared" si="50"/>
        <v>0</v>
      </c>
      <c r="AX89">
        <f t="shared" si="46"/>
        <v>0</v>
      </c>
      <c r="AY89">
        <f t="shared" si="46"/>
        <v>0</v>
      </c>
      <c r="AZ89">
        <f t="shared" si="46"/>
        <v>0</v>
      </c>
      <c r="BA89">
        <f t="shared" si="47"/>
        <v>0</v>
      </c>
      <c r="BB89">
        <f t="shared" si="48"/>
        <v>0</v>
      </c>
    </row>
    <row r="90" spans="1:54">
      <c r="A90">
        <v>87</v>
      </c>
      <c r="B90" t="s">
        <v>20</v>
      </c>
      <c r="C90" t="s">
        <v>21</v>
      </c>
      <c r="D90" t="s">
        <v>24</v>
      </c>
      <c r="E90" t="s">
        <v>30</v>
      </c>
      <c r="F90" t="s">
        <v>21</v>
      </c>
      <c r="G90" t="s">
        <v>25</v>
      </c>
      <c r="H90" s="3">
        <v>0.64491975583946504</v>
      </c>
      <c r="I90" s="3">
        <v>0.63011052381474397</v>
      </c>
      <c r="J90" s="3">
        <v>0.53419013356112399</v>
      </c>
      <c r="K90" s="3">
        <v>0.54389931006592696</v>
      </c>
      <c r="L90" s="3">
        <v>0.39422336103752798</v>
      </c>
      <c r="M90" s="3">
        <v>0.29393394960695801</v>
      </c>
      <c r="N90" s="3">
        <v>0.76707434052757795</v>
      </c>
      <c r="O90" s="3">
        <v>0.41287355493193301</v>
      </c>
      <c r="P90">
        <f t="shared" si="33"/>
        <v>0</v>
      </c>
      <c r="Q90">
        <f t="shared" si="34"/>
        <v>0</v>
      </c>
      <c r="R90">
        <f t="shared" si="35"/>
        <v>0</v>
      </c>
      <c r="S90">
        <f t="shared" si="36"/>
        <v>0</v>
      </c>
      <c r="T90">
        <f t="shared" si="37"/>
        <v>0</v>
      </c>
      <c r="U90">
        <f t="shared" si="38"/>
        <v>0</v>
      </c>
      <c r="V90">
        <f t="shared" si="39"/>
        <v>1</v>
      </c>
      <c r="W90">
        <f t="shared" si="40"/>
        <v>0</v>
      </c>
      <c r="X90">
        <f t="shared" si="41"/>
        <v>0</v>
      </c>
      <c r="Y90">
        <f t="shared" si="42"/>
        <v>0</v>
      </c>
      <c r="Z90">
        <f t="shared" si="43"/>
        <v>0</v>
      </c>
      <c r="AA90">
        <f t="shared" si="44"/>
        <v>0</v>
      </c>
      <c r="AB90">
        <f t="shared" si="27"/>
        <v>0</v>
      </c>
      <c r="AC90">
        <f t="shared" si="28"/>
        <v>0</v>
      </c>
      <c r="AD90">
        <f t="shared" si="29"/>
        <v>0</v>
      </c>
      <c r="AE90">
        <f t="shared" si="30"/>
        <v>0</v>
      </c>
      <c r="AF90">
        <f t="shared" si="31"/>
        <v>1</v>
      </c>
      <c r="AG90">
        <f t="shared" si="32"/>
        <v>0</v>
      </c>
      <c r="AH90">
        <f t="shared" si="45"/>
        <v>0</v>
      </c>
      <c r="AI90">
        <f t="shared" si="50"/>
        <v>0</v>
      </c>
      <c r="AJ90">
        <f t="shared" si="50"/>
        <v>0</v>
      </c>
      <c r="AK90">
        <f t="shared" si="50"/>
        <v>0</v>
      </c>
      <c r="AL90">
        <f t="shared" si="50"/>
        <v>0</v>
      </c>
      <c r="AM90">
        <f t="shared" si="50"/>
        <v>0</v>
      </c>
      <c r="AN90">
        <f t="shared" si="50"/>
        <v>0</v>
      </c>
      <c r="AO90">
        <f t="shared" si="50"/>
        <v>0</v>
      </c>
      <c r="AP90">
        <f t="shared" si="50"/>
        <v>1</v>
      </c>
      <c r="AQ90">
        <f t="shared" si="50"/>
        <v>0</v>
      </c>
      <c r="AR90">
        <f t="shared" si="50"/>
        <v>0</v>
      </c>
      <c r="AS90">
        <f t="shared" si="50"/>
        <v>0</v>
      </c>
      <c r="AT90">
        <f t="shared" si="50"/>
        <v>0</v>
      </c>
      <c r="AU90">
        <f t="shared" si="50"/>
        <v>0</v>
      </c>
      <c r="AV90">
        <f t="shared" si="50"/>
        <v>0</v>
      </c>
      <c r="AW90">
        <f t="shared" si="50"/>
        <v>0</v>
      </c>
      <c r="AX90">
        <f t="shared" si="46"/>
        <v>0</v>
      </c>
      <c r="AY90">
        <f t="shared" si="46"/>
        <v>0</v>
      </c>
      <c r="AZ90">
        <f t="shared" si="46"/>
        <v>0</v>
      </c>
      <c r="BA90">
        <f t="shared" si="47"/>
        <v>1</v>
      </c>
      <c r="BB90">
        <f t="shared" si="48"/>
        <v>0</v>
      </c>
    </row>
    <row r="91" spans="1:54">
      <c r="A91">
        <v>88</v>
      </c>
      <c r="B91" t="s">
        <v>20</v>
      </c>
      <c r="C91" t="s">
        <v>21</v>
      </c>
      <c r="D91" t="s">
        <v>24</v>
      </c>
      <c r="E91" t="s">
        <v>30</v>
      </c>
      <c r="F91" t="s">
        <v>21</v>
      </c>
      <c r="G91" t="s">
        <v>26</v>
      </c>
      <c r="H91" s="3">
        <v>0.65161611178025503</v>
      </c>
      <c r="I91" s="3">
        <v>0.63727143580490297</v>
      </c>
      <c r="J91" s="3">
        <v>0.53924089229640404</v>
      </c>
      <c r="K91" s="3">
        <v>0.54964066716660498</v>
      </c>
      <c r="L91" s="3">
        <v>0.39851282201302002</v>
      </c>
      <c r="M91" s="3">
        <v>0.29703789953464199</v>
      </c>
      <c r="N91" s="3">
        <v>0.77663125948406597</v>
      </c>
      <c r="O91" s="3">
        <v>0.41657909157647499</v>
      </c>
      <c r="P91">
        <f t="shared" si="33"/>
        <v>0</v>
      </c>
      <c r="Q91">
        <f t="shared" si="34"/>
        <v>0</v>
      </c>
      <c r="R91">
        <f t="shared" si="35"/>
        <v>0</v>
      </c>
      <c r="S91">
        <f t="shared" si="36"/>
        <v>0</v>
      </c>
      <c r="T91">
        <f t="shared" si="37"/>
        <v>0</v>
      </c>
      <c r="U91">
        <f t="shared" si="38"/>
        <v>0</v>
      </c>
      <c r="V91">
        <f t="shared" si="39"/>
        <v>1</v>
      </c>
      <c r="W91">
        <f t="shared" si="40"/>
        <v>0</v>
      </c>
      <c r="X91">
        <f t="shared" si="41"/>
        <v>0</v>
      </c>
      <c r="Y91">
        <f t="shared" si="42"/>
        <v>0</v>
      </c>
      <c r="Z91">
        <f t="shared" si="43"/>
        <v>0</v>
      </c>
      <c r="AA91">
        <f t="shared" si="44"/>
        <v>0</v>
      </c>
      <c r="AB91">
        <f t="shared" si="27"/>
        <v>0</v>
      </c>
      <c r="AC91">
        <f t="shared" si="28"/>
        <v>0</v>
      </c>
      <c r="AD91">
        <f t="shared" si="29"/>
        <v>0</v>
      </c>
      <c r="AE91">
        <f t="shared" si="30"/>
        <v>0</v>
      </c>
      <c r="AF91">
        <f t="shared" si="31"/>
        <v>1</v>
      </c>
      <c r="AG91">
        <f t="shared" si="32"/>
        <v>0</v>
      </c>
      <c r="AH91">
        <f t="shared" si="45"/>
        <v>0</v>
      </c>
      <c r="AI91">
        <f t="shared" si="50"/>
        <v>0</v>
      </c>
      <c r="AJ91">
        <f t="shared" si="50"/>
        <v>0</v>
      </c>
      <c r="AK91">
        <f t="shared" si="50"/>
        <v>0</v>
      </c>
      <c r="AL91">
        <f t="shared" si="50"/>
        <v>1</v>
      </c>
      <c r="AM91">
        <f t="shared" si="50"/>
        <v>0</v>
      </c>
      <c r="AN91">
        <f t="shared" si="50"/>
        <v>0</v>
      </c>
      <c r="AO91">
        <f t="shared" si="50"/>
        <v>0</v>
      </c>
      <c r="AP91">
        <f t="shared" si="50"/>
        <v>0</v>
      </c>
      <c r="AQ91">
        <f t="shared" si="50"/>
        <v>0</v>
      </c>
      <c r="AR91">
        <f t="shared" si="50"/>
        <v>0</v>
      </c>
      <c r="AS91">
        <f t="shared" si="50"/>
        <v>0</v>
      </c>
      <c r="AT91">
        <f t="shared" si="50"/>
        <v>0</v>
      </c>
      <c r="AU91">
        <f t="shared" si="50"/>
        <v>0</v>
      </c>
      <c r="AV91">
        <f t="shared" si="50"/>
        <v>0</v>
      </c>
      <c r="AW91">
        <f t="shared" si="50"/>
        <v>0</v>
      </c>
      <c r="AX91">
        <f t="shared" si="46"/>
        <v>0</v>
      </c>
      <c r="AY91">
        <f t="shared" si="46"/>
        <v>0</v>
      </c>
      <c r="AZ91">
        <f t="shared" si="46"/>
        <v>0</v>
      </c>
      <c r="BA91">
        <f t="shared" si="47"/>
        <v>1</v>
      </c>
      <c r="BB91">
        <f t="shared" si="48"/>
        <v>0</v>
      </c>
    </row>
    <row r="92" spans="1:54">
      <c r="A92">
        <v>89</v>
      </c>
      <c r="B92" t="s">
        <v>20</v>
      </c>
      <c r="C92" t="s">
        <v>21</v>
      </c>
      <c r="D92" t="s">
        <v>24</v>
      </c>
      <c r="E92" t="s">
        <v>30</v>
      </c>
      <c r="F92" t="s">
        <v>21</v>
      </c>
      <c r="G92" t="s">
        <v>27</v>
      </c>
      <c r="H92" s="3">
        <v>0.32171635468399601</v>
      </c>
      <c r="I92" s="3">
        <v>0.30298454209654302</v>
      </c>
      <c r="J92" s="3">
        <v>0.274664694996482</v>
      </c>
      <c r="K92" s="3">
        <v>0.26710752930718601</v>
      </c>
      <c r="L92" s="3">
        <v>0.228088833709675</v>
      </c>
      <c r="M92" s="3">
        <v>0.18640961978373199</v>
      </c>
      <c r="N92" s="3">
        <v>0.38647909339585701</v>
      </c>
      <c r="O92" s="3">
        <v>0.22535314523246899</v>
      </c>
      <c r="P92">
        <f t="shared" si="33"/>
        <v>0</v>
      </c>
      <c r="Q92">
        <f t="shared" si="34"/>
        <v>0</v>
      </c>
      <c r="R92">
        <f t="shared" si="35"/>
        <v>0</v>
      </c>
      <c r="S92">
        <f t="shared" si="36"/>
        <v>0</v>
      </c>
      <c r="T92">
        <f t="shared" si="37"/>
        <v>0</v>
      </c>
      <c r="U92">
        <f t="shared" si="38"/>
        <v>0</v>
      </c>
      <c r="V92">
        <f t="shared" si="39"/>
        <v>1</v>
      </c>
      <c r="W92">
        <f t="shared" si="40"/>
        <v>1</v>
      </c>
      <c r="X92">
        <f t="shared" si="41"/>
        <v>0</v>
      </c>
      <c r="Y92">
        <f t="shared" si="42"/>
        <v>0</v>
      </c>
      <c r="Z92">
        <f t="shared" si="43"/>
        <v>0</v>
      </c>
      <c r="AA92">
        <f t="shared" si="44"/>
        <v>0</v>
      </c>
      <c r="AB92">
        <f t="shared" si="27"/>
        <v>0</v>
      </c>
      <c r="AC92">
        <f t="shared" si="28"/>
        <v>0</v>
      </c>
      <c r="AD92">
        <f t="shared" si="29"/>
        <v>1</v>
      </c>
      <c r="AE92">
        <f t="shared" si="30"/>
        <v>0</v>
      </c>
      <c r="AF92">
        <f t="shared" si="31"/>
        <v>1</v>
      </c>
      <c r="AG92">
        <f t="shared" si="32"/>
        <v>0</v>
      </c>
      <c r="AH92">
        <f t="shared" si="45"/>
        <v>1</v>
      </c>
      <c r="AI92">
        <f t="shared" si="50"/>
        <v>0</v>
      </c>
      <c r="AJ92">
        <f t="shared" si="50"/>
        <v>0</v>
      </c>
      <c r="AK92">
        <f t="shared" si="50"/>
        <v>0</v>
      </c>
      <c r="AL92">
        <f t="shared" si="50"/>
        <v>0</v>
      </c>
      <c r="AM92">
        <f t="shared" si="50"/>
        <v>0</v>
      </c>
      <c r="AN92">
        <f t="shared" si="50"/>
        <v>0</v>
      </c>
      <c r="AO92">
        <f t="shared" si="50"/>
        <v>0</v>
      </c>
      <c r="AP92">
        <f t="shared" si="50"/>
        <v>0</v>
      </c>
      <c r="AQ92">
        <f t="shared" si="50"/>
        <v>0</v>
      </c>
      <c r="AR92">
        <f t="shared" si="50"/>
        <v>0</v>
      </c>
      <c r="AS92">
        <f t="shared" si="50"/>
        <v>0</v>
      </c>
      <c r="AT92">
        <f t="shared" si="50"/>
        <v>0</v>
      </c>
      <c r="AU92">
        <f t="shared" si="50"/>
        <v>0</v>
      </c>
      <c r="AV92">
        <f t="shared" si="50"/>
        <v>0</v>
      </c>
      <c r="AW92">
        <f t="shared" si="50"/>
        <v>1</v>
      </c>
      <c r="AX92">
        <f t="shared" si="46"/>
        <v>0</v>
      </c>
      <c r="AY92">
        <f t="shared" si="46"/>
        <v>0</v>
      </c>
      <c r="AZ92">
        <f t="shared" si="46"/>
        <v>0</v>
      </c>
      <c r="BA92">
        <f t="shared" si="47"/>
        <v>0</v>
      </c>
      <c r="BB92">
        <f t="shared" si="48"/>
        <v>0</v>
      </c>
    </row>
    <row r="93" spans="1:54">
      <c r="A93">
        <v>90</v>
      </c>
      <c r="B93" t="s">
        <v>20</v>
      </c>
      <c r="C93" t="s">
        <v>21</v>
      </c>
      <c r="D93" t="s">
        <v>24</v>
      </c>
      <c r="E93" t="s">
        <v>30</v>
      </c>
      <c r="F93" t="s">
        <v>28</v>
      </c>
      <c r="G93" t="s">
        <v>22</v>
      </c>
      <c r="H93" s="3">
        <v>2.52471168513024E-2</v>
      </c>
      <c r="I93" s="3">
        <v>2.4801944270175201E-2</v>
      </c>
      <c r="J93" s="3">
        <v>2.1532732295041102E-2</v>
      </c>
      <c r="K93" s="3">
        <v>2.2879128613642701E-2</v>
      </c>
      <c r="L93" s="3">
        <v>1.6559209725940102E-2</v>
      </c>
      <c r="M93" s="3">
        <v>1.33200377671034E-2</v>
      </c>
      <c r="N93" s="3">
        <v>2.73544353262993E-2</v>
      </c>
      <c r="O93" s="3">
        <v>1.7734041045393199E-2</v>
      </c>
      <c r="P93">
        <f t="shared" si="33"/>
        <v>1</v>
      </c>
      <c r="Q93">
        <f t="shared" si="34"/>
        <v>0</v>
      </c>
      <c r="R93">
        <f t="shared" si="35"/>
        <v>0</v>
      </c>
      <c r="S93">
        <f t="shared" si="36"/>
        <v>0</v>
      </c>
      <c r="T93">
        <f t="shared" si="37"/>
        <v>0</v>
      </c>
      <c r="U93">
        <f t="shared" si="38"/>
        <v>0</v>
      </c>
      <c r="V93">
        <f t="shared" si="39"/>
        <v>1</v>
      </c>
      <c r="W93">
        <f t="shared" si="40"/>
        <v>0</v>
      </c>
      <c r="X93">
        <f t="shared" si="41"/>
        <v>0</v>
      </c>
      <c r="Y93">
        <f t="shared" si="42"/>
        <v>0</v>
      </c>
      <c r="Z93">
        <f t="shared" si="43"/>
        <v>0</v>
      </c>
      <c r="AA93">
        <f t="shared" si="44"/>
        <v>0</v>
      </c>
      <c r="AB93">
        <f t="shared" si="27"/>
        <v>0</v>
      </c>
      <c r="AC93">
        <f t="shared" si="28"/>
        <v>0</v>
      </c>
      <c r="AD93">
        <f t="shared" si="29"/>
        <v>0</v>
      </c>
      <c r="AE93">
        <f t="shared" si="30"/>
        <v>0</v>
      </c>
      <c r="AF93">
        <f t="shared" si="31"/>
        <v>0</v>
      </c>
      <c r="AG93">
        <f t="shared" si="32"/>
        <v>0</v>
      </c>
      <c r="AH93">
        <f t="shared" si="45"/>
        <v>0</v>
      </c>
      <c r="AI93">
        <f t="shared" si="50"/>
        <v>0</v>
      </c>
      <c r="AJ93">
        <f t="shared" si="50"/>
        <v>0</v>
      </c>
      <c r="AK93">
        <f t="shared" si="50"/>
        <v>0</v>
      </c>
      <c r="AL93">
        <f t="shared" si="50"/>
        <v>0</v>
      </c>
      <c r="AM93">
        <f t="shared" si="50"/>
        <v>0</v>
      </c>
      <c r="AN93">
        <f t="shared" si="50"/>
        <v>0</v>
      </c>
      <c r="AO93">
        <f t="shared" si="50"/>
        <v>0</v>
      </c>
      <c r="AP93">
        <f t="shared" si="50"/>
        <v>0</v>
      </c>
      <c r="AQ93">
        <f t="shared" si="50"/>
        <v>0</v>
      </c>
      <c r="AR93">
        <f t="shared" si="50"/>
        <v>0</v>
      </c>
      <c r="AS93">
        <f t="shared" si="50"/>
        <v>1</v>
      </c>
      <c r="AT93">
        <f t="shared" si="50"/>
        <v>0</v>
      </c>
      <c r="AU93">
        <f t="shared" si="50"/>
        <v>0</v>
      </c>
      <c r="AV93">
        <f t="shared" si="50"/>
        <v>0</v>
      </c>
      <c r="AW93">
        <f t="shared" si="50"/>
        <v>0</v>
      </c>
      <c r="AX93">
        <f t="shared" si="46"/>
        <v>1</v>
      </c>
      <c r="AY93">
        <f t="shared" si="46"/>
        <v>0</v>
      </c>
      <c r="AZ93">
        <f t="shared" si="46"/>
        <v>0</v>
      </c>
      <c r="BA93">
        <f t="shared" si="47"/>
        <v>0</v>
      </c>
      <c r="BB93">
        <f t="shared" si="48"/>
        <v>0</v>
      </c>
    </row>
    <row r="94" spans="1:54">
      <c r="A94">
        <v>91</v>
      </c>
      <c r="B94" t="s">
        <v>20</v>
      </c>
      <c r="C94" t="s">
        <v>21</v>
      </c>
      <c r="D94" t="s">
        <v>24</v>
      </c>
      <c r="E94" t="s">
        <v>30</v>
      </c>
      <c r="F94" t="s">
        <v>28</v>
      </c>
      <c r="G94" t="s">
        <v>23</v>
      </c>
      <c r="H94" s="3">
        <v>2.9757677711331899E-2</v>
      </c>
      <c r="I94" s="3">
        <v>2.8884494388566599E-2</v>
      </c>
      <c r="J94" s="3">
        <v>2.5155282025468802E-2</v>
      </c>
      <c r="K94" s="3">
        <v>2.6323455334291399E-2</v>
      </c>
      <c r="L94" s="3">
        <v>1.9362034897291099E-2</v>
      </c>
      <c r="M94" s="3">
        <v>1.53531205079472E-2</v>
      </c>
      <c r="N94" s="3">
        <v>3.2434544744040603E-2</v>
      </c>
      <c r="O94" s="3">
        <v>2.04793533393102E-2</v>
      </c>
      <c r="P94">
        <f t="shared" si="33"/>
        <v>0</v>
      </c>
      <c r="Q94">
        <f t="shared" si="34"/>
        <v>1</v>
      </c>
      <c r="R94">
        <f t="shared" si="35"/>
        <v>0</v>
      </c>
      <c r="S94">
        <f t="shared" si="36"/>
        <v>0</v>
      </c>
      <c r="T94">
        <f t="shared" si="37"/>
        <v>0</v>
      </c>
      <c r="U94">
        <f t="shared" si="38"/>
        <v>0</v>
      </c>
      <c r="V94">
        <f t="shared" si="39"/>
        <v>1</v>
      </c>
      <c r="W94">
        <f t="shared" si="40"/>
        <v>0</v>
      </c>
      <c r="X94">
        <f t="shared" si="41"/>
        <v>0</v>
      </c>
      <c r="Y94">
        <f t="shared" si="42"/>
        <v>0</v>
      </c>
      <c r="Z94">
        <f t="shared" si="43"/>
        <v>0</v>
      </c>
      <c r="AA94">
        <f t="shared" si="44"/>
        <v>0</v>
      </c>
      <c r="AB94">
        <f t="shared" si="27"/>
        <v>0</v>
      </c>
      <c r="AC94">
        <f t="shared" si="28"/>
        <v>0</v>
      </c>
      <c r="AD94">
        <f t="shared" si="29"/>
        <v>0</v>
      </c>
      <c r="AE94">
        <f t="shared" si="30"/>
        <v>0</v>
      </c>
      <c r="AF94">
        <f t="shared" si="31"/>
        <v>0</v>
      </c>
      <c r="AG94">
        <f t="shared" si="32"/>
        <v>0</v>
      </c>
      <c r="AH94">
        <f t="shared" si="45"/>
        <v>0</v>
      </c>
      <c r="AI94">
        <f t="shared" si="50"/>
        <v>0</v>
      </c>
      <c r="AJ94">
        <f t="shared" si="50"/>
        <v>0</v>
      </c>
      <c r="AK94">
        <f t="shared" si="50"/>
        <v>0</v>
      </c>
      <c r="AL94">
        <f t="shared" si="50"/>
        <v>0</v>
      </c>
      <c r="AM94">
        <f t="shared" si="50"/>
        <v>0</v>
      </c>
      <c r="AN94">
        <f t="shared" si="50"/>
        <v>0</v>
      </c>
      <c r="AO94">
        <f t="shared" si="50"/>
        <v>0</v>
      </c>
      <c r="AP94">
        <f t="shared" si="50"/>
        <v>0</v>
      </c>
      <c r="AQ94">
        <f t="shared" si="50"/>
        <v>0</v>
      </c>
      <c r="AR94">
        <f t="shared" si="50"/>
        <v>0</v>
      </c>
      <c r="AS94">
        <f t="shared" si="50"/>
        <v>0</v>
      </c>
      <c r="AT94">
        <f t="shared" si="50"/>
        <v>0</v>
      </c>
      <c r="AU94">
        <f t="shared" si="50"/>
        <v>1</v>
      </c>
      <c r="AV94">
        <f t="shared" si="50"/>
        <v>0</v>
      </c>
      <c r="AW94">
        <f t="shared" si="50"/>
        <v>0</v>
      </c>
      <c r="AX94">
        <f t="shared" si="46"/>
        <v>1</v>
      </c>
      <c r="AY94">
        <f t="shared" si="46"/>
        <v>0</v>
      </c>
      <c r="AZ94">
        <f t="shared" si="46"/>
        <v>0</v>
      </c>
      <c r="BA94">
        <f t="shared" si="47"/>
        <v>0</v>
      </c>
      <c r="BB94">
        <f t="shared" si="48"/>
        <v>0</v>
      </c>
    </row>
    <row r="95" spans="1:54">
      <c r="A95">
        <v>92</v>
      </c>
      <c r="B95" t="s">
        <v>20</v>
      </c>
      <c r="C95" t="s">
        <v>21</v>
      </c>
      <c r="D95" t="s">
        <v>24</v>
      </c>
      <c r="E95" t="s">
        <v>30</v>
      </c>
      <c r="F95" t="s">
        <v>28</v>
      </c>
      <c r="G95" t="s">
        <v>24</v>
      </c>
      <c r="H95" s="3">
        <v>0.79925624006717499</v>
      </c>
      <c r="I95" s="3">
        <v>0.85786603253612204</v>
      </c>
      <c r="J95" s="3">
        <v>0.60954757728573905</v>
      </c>
      <c r="K95" s="3">
        <v>0.78315550470272899</v>
      </c>
      <c r="L95" s="3">
        <v>0.53985954354015697</v>
      </c>
      <c r="M95" s="3">
        <v>0.41269880339916698</v>
      </c>
      <c r="N95" s="3">
        <v>0.98241500586166397</v>
      </c>
      <c r="O95" s="3">
        <v>0.50632090516804995</v>
      </c>
      <c r="P95">
        <f t="shared" si="33"/>
        <v>0</v>
      </c>
      <c r="Q95">
        <f t="shared" si="34"/>
        <v>0</v>
      </c>
      <c r="R95">
        <f t="shared" si="35"/>
        <v>1</v>
      </c>
      <c r="S95">
        <f t="shared" si="36"/>
        <v>0</v>
      </c>
      <c r="T95">
        <f t="shared" si="37"/>
        <v>0</v>
      </c>
      <c r="U95">
        <f t="shared" si="38"/>
        <v>0</v>
      </c>
      <c r="V95">
        <f t="shared" si="39"/>
        <v>1</v>
      </c>
      <c r="W95">
        <f t="shared" si="40"/>
        <v>0</v>
      </c>
      <c r="X95">
        <f t="shared" si="41"/>
        <v>0</v>
      </c>
      <c r="Y95">
        <f t="shared" si="42"/>
        <v>0</v>
      </c>
      <c r="Z95">
        <f t="shared" si="43"/>
        <v>0</v>
      </c>
      <c r="AA95">
        <f t="shared" si="44"/>
        <v>0</v>
      </c>
      <c r="AB95">
        <f t="shared" si="27"/>
        <v>0</v>
      </c>
      <c r="AC95">
        <f t="shared" si="28"/>
        <v>0</v>
      </c>
      <c r="AD95">
        <f t="shared" si="29"/>
        <v>1</v>
      </c>
      <c r="AE95">
        <f t="shared" si="30"/>
        <v>0</v>
      </c>
      <c r="AF95">
        <f t="shared" si="31"/>
        <v>0</v>
      </c>
      <c r="AG95">
        <f t="shared" si="32"/>
        <v>0</v>
      </c>
      <c r="AH95">
        <f t="shared" si="45"/>
        <v>1</v>
      </c>
      <c r="AI95">
        <f t="shared" si="50"/>
        <v>0</v>
      </c>
      <c r="AJ95">
        <f t="shared" si="50"/>
        <v>0</v>
      </c>
      <c r="AK95">
        <f t="shared" si="50"/>
        <v>0</v>
      </c>
      <c r="AL95">
        <f t="shared" si="50"/>
        <v>0</v>
      </c>
      <c r="AM95">
        <f t="shared" si="50"/>
        <v>0</v>
      </c>
      <c r="AN95">
        <f t="shared" si="50"/>
        <v>0</v>
      </c>
      <c r="AO95">
        <f t="shared" si="50"/>
        <v>0</v>
      </c>
      <c r="AP95">
        <f t="shared" si="50"/>
        <v>0</v>
      </c>
      <c r="AQ95">
        <f t="shared" si="50"/>
        <v>0</v>
      </c>
      <c r="AR95">
        <f t="shared" si="50"/>
        <v>0</v>
      </c>
      <c r="AS95">
        <f t="shared" si="50"/>
        <v>0</v>
      </c>
      <c r="AT95">
        <f t="shared" si="50"/>
        <v>0</v>
      </c>
      <c r="AU95">
        <f t="shared" si="50"/>
        <v>0</v>
      </c>
      <c r="AV95">
        <f t="shared" si="50"/>
        <v>0</v>
      </c>
      <c r="AW95">
        <f t="shared" si="50"/>
        <v>0</v>
      </c>
      <c r="AX95">
        <f t="shared" si="46"/>
        <v>1</v>
      </c>
      <c r="AY95">
        <f t="shared" si="46"/>
        <v>0</v>
      </c>
      <c r="AZ95">
        <f t="shared" si="46"/>
        <v>0</v>
      </c>
      <c r="BA95">
        <f t="shared" si="47"/>
        <v>0</v>
      </c>
      <c r="BB95">
        <f t="shared" si="48"/>
        <v>0</v>
      </c>
    </row>
    <row r="96" spans="1:54">
      <c r="A96">
        <v>93</v>
      </c>
      <c r="B96" t="s">
        <v>20</v>
      </c>
      <c r="C96" t="s">
        <v>21</v>
      </c>
      <c r="D96" t="s">
        <v>24</v>
      </c>
      <c r="E96" t="s">
        <v>30</v>
      </c>
      <c r="F96" t="s">
        <v>28</v>
      </c>
      <c r="G96" t="s">
        <v>25</v>
      </c>
      <c r="H96" s="3">
        <v>0.63896386644938097</v>
      </c>
      <c r="I96" s="3">
        <v>0.62457490966664497</v>
      </c>
      <c r="J96" s="3">
        <v>0.53086247938086495</v>
      </c>
      <c r="K96" s="3">
        <v>0.54060877002778995</v>
      </c>
      <c r="L96" s="3">
        <v>0.38982026153744598</v>
      </c>
      <c r="M96" s="3">
        <v>0.29214124933381302</v>
      </c>
      <c r="N96" s="3">
        <v>0.75663315592351599</v>
      </c>
      <c r="O96" s="3">
        <v>0.41149631475013398</v>
      </c>
      <c r="P96">
        <f t="shared" si="33"/>
        <v>0</v>
      </c>
      <c r="Q96">
        <f t="shared" si="34"/>
        <v>0</v>
      </c>
      <c r="R96">
        <f t="shared" si="35"/>
        <v>0</v>
      </c>
      <c r="S96">
        <f t="shared" si="36"/>
        <v>0</v>
      </c>
      <c r="T96">
        <f t="shared" si="37"/>
        <v>0</v>
      </c>
      <c r="U96">
        <f t="shared" si="38"/>
        <v>0</v>
      </c>
      <c r="V96">
        <f t="shared" si="39"/>
        <v>1</v>
      </c>
      <c r="W96">
        <f t="shared" si="40"/>
        <v>0</v>
      </c>
      <c r="X96">
        <f t="shared" si="41"/>
        <v>0</v>
      </c>
      <c r="Y96">
        <f t="shared" si="42"/>
        <v>0</v>
      </c>
      <c r="Z96">
        <f t="shared" si="43"/>
        <v>0</v>
      </c>
      <c r="AA96">
        <f t="shared" si="44"/>
        <v>0</v>
      </c>
      <c r="AB96">
        <f t="shared" si="27"/>
        <v>0</v>
      </c>
      <c r="AC96">
        <f t="shared" si="28"/>
        <v>0</v>
      </c>
      <c r="AD96">
        <f t="shared" si="29"/>
        <v>0</v>
      </c>
      <c r="AE96">
        <f t="shared" si="30"/>
        <v>0</v>
      </c>
      <c r="AF96">
        <f t="shared" si="31"/>
        <v>0</v>
      </c>
      <c r="AG96">
        <f t="shared" si="32"/>
        <v>0</v>
      </c>
      <c r="AH96">
        <f t="shared" si="45"/>
        <v>0</v>
      </c>
      <c r="AI96">
        <f t="shared" si="50"/>
        <v>0</v>
      </c>
      <c r="AJ96">
        <f t="shared" si="50"/>
        <v>0</v>
      </c>
      <c r="AK96">
        <f t="shared" si="50"/>
        <v>0</v>
      </c>
      <c r="AL96">
        <f t="shared" si="50"/>
        <v>0</v>
      </c>
      <c r="AM96">
        <f t="shared" si="50"/>
        <v>0</v>
      </c>
      <c r="AN96">
        <f t="shared" si="50"/>
        <v>0</v>
      </c>
      <c r="AO96">
        <f t="shared" si="50"/>
        <v>0</v>
      </c>
      <c r="AP96">
        <f t="shared" si="50"/>
        <v>1</v>
      </c>
      <c r="AQ96">
        <f t="shared" si="50"/>
        <v>0</v>
      </c>
      <c r="AR96">
        <f t="shared" si="50"/>
        <v>0</v>
      </c>
      <c r="AS96">
        <f t="shared" si="50"/>
        <v>0</v>
      </c>
      <c r="AT96">
        <f t="shared" si="50"/>
        <v>0</v>
      </c>
      <c r="AU96">
        <f t="shared" si="50"/>
        <v>0</v>
      </c>
      <c r="AV96">
        <f t="shared" si="50"/>
        <v>0</v>
      </c>
      <c r="AW96">
        <f t="shared" si="50"/>
        <v>0</v>
      </c>
      <c r="AX96">
        <f t="shared" si="46"/>
        <v>1</v>
      </c>
      <c r="AY96">
        <f t="shared" si="46"/>
        <v>0</v>
      </c>
      <c r="AZ96">
        <f t="shared" si="46"/>
        <v>0</v>
      </c>
      <c r="BA96">
        <f t="shared" si="47"/>
        <v>1</v>
      </c>
      <c r="BB96">
        <f t="shared" si="48"/>
        <v>0</v>
      </c>
    </row>
    <row r="97" spans="1:54">
      <c r="A97">
        <v>94</v>
      </c>
      <c r="B97" t="s">
        <v>20</v>
      </c>
      <c r="C97" t="s">
        <v>21</v>
      </c>
      <c r="D97" t="s">
        <v>24</v>
      </c>
      <c r="E97" t="s">
        <v>30</v>
      </c>
      <c r="F97" t="s">
        <v>28</v>
      </c>
      <c r="G97" t="s">
        <v>26</v>
      </c>
      <c r="H97" s="3">
        <v>0.64664749908997499</v>
      </c>
      <c r="I97" s="3">
        <v>0.63305363112217805</v>
      </c>
      <c r="J97" s="3">
        <v>0.53750509566426796</v>
      </c>
      <c r="K97" s="3">
        <v>0.54744690631442605</v>
      </c>
      <c r="L97" s="3">
        <v>0.39527519655316401</v>
      </c>
      <c r="M97" s="3">
        <v>0.29609879943614398</v>
      </c>
      <c r="N97" s="3">
        <v>0.76823776643650499</v>
      </c>
      <c r="O97" s="3">
        <v>0.41635033887693101</v>
      </c>
      <c r="P97">
        <f t="shared" si="33"/>
        <v>0</v>
      </c>
      <c r="Q97">
        <f t="shared" si="34"/>
        <v>0</v>
      </c>
      <c r="R97">
        <f t="shared" si="35"/>
        <v>0</v>
      </c>
      <c r="S97">
        <f t="shared" si="36"/>
        <v>0</v>
      </c>
      <c r="T97">
        <f t="shared" si="37"/>
        <v>0</v>
      </c>
      <c r="U97">
        <f t="shared" si="38"/>
        <v>0</v>
      </c>
      <c r="V97">
        <f t="shared" si="39"/>
        <v>1</v>
      </c>
      <c r="W97">
        <f t="shared" si="40"/>
        <v>0</v>
      </c>
      <c r="X97">
        <f t="shared" si="41"/>
        <v>0</v>
      </c>
      <c r="Y97">
        <f t="shared" si="42"/>
        <v>0</v>
      </c>
      <c r="Z97">
        <f t="shared" si="43"/>
        <v>0</v>
      </c>
      <c r="AA97">
        <f t="shared" si="44"/>
        <v>0</v>
      </c>
      <c r="AB97">
        <f t="shared" si="27"/>
        <v>0</v>
      </c>
      <c r="AC97">
        <f t="shared" si="28"/>
        <v>0</v>
      </c>
      <c r="AD97">
        <f t="shared" si="29"/>
        <v>0</v>
      </c>
      <c r="AE97">
        <f t="shared" si="30"/>
        <v>0</v>
      </c>
      <c r="AF97">
        <f t="shared" si="31"/>
        <v>0</v>
      </c>
      <c r="AG97">
        <f t="shared" si="32"/>
        <v>0</v>
      </c>
      <c r="AH97">
        <f t="shared" si="45"/>
        <v>0</v>
      </c>
      <c r="AI97">
        <f t="shared" si="50"/>
        <v>0</v>
      </c>
      <c r="AJ97">
        <f t="shared" si="50"/>
        <v>0</v>
      </c>
      <c r="AK97">
        <f t="shared" si="50"/>
        <v>0</v>
      </c>
      <c r="AL97">
        <f t="shared" si="50"/>
        <v>1</v>
      </c>
      <c r="AM97">
        <f t="shared" si="50"/>
        <v>0</v>
      </c>
      <c r="AN97">
        <f t="shared" si="50"/>
        <v>0</v>
      </c>
      <c r="AO97">
        <f t="shared" si="50"/>
        <v>0</v>
      </c>
      <c r="AP97">
        <f t="shared" si="50"/>
        <v>0</v>
      </c>
      <c r="AQ97">
        <f t="shared" si="50"/>
        <v>0</v>
      </c>
      <c r="AR97">
        <f t="shared" si="50"/>
        <v>0</v>
      </c>
      <c r="AS97">
        <f t="shared" si="50"/>
        <v>0</v>
      </c>
      <c r="AT97">
        <f t="shared" si="50"/>
        <v>0</v>
      </c>
      <c r="AU97">
        <f t="shared" si="50"/>
        <v>0</v>
      </c>
      <c r="AV97">
        <f t="shared" si="50"/>
        <v>0</v>
      </c>
      <c r="AW97">
        <f t="shared" si="50"/>
        <v>0</v>
      </c>
      <c r="AX97">
        <f t="shared" si="46"/>
        <v>1</v>
      </c>
      <c r="AY97">
        <f t="shared" si="46"/>
        <v>0</v>
      </c>
      <c r="AZ97">
        <f t="shared" si="46"/>
        <v>0</v>
      </c>
      <c r="BA97">
        <f t="shared" si="47"/>
        <v>1</v>
      </c>
      <c r="BB97">
        <f t="shared" si="48"/>
        <v>0</v>
      </c>
    </row>
    <row r="98" spans="1:54">
      <c r="A98">
        <v>95</v>
      </c>
      <c r="B98" t="s">
        <v>20</v>
      </c>
      <c r="C98" t="s">
        <v>21</v>
      </c>
      <c r="D98" t="s">
        <v>24</v>
      </c>
      <c r="E98" t="s">
        <v>30</v>
      </c>
      <c r="F98" t="s">
        <v>28</v>
      </c>
      <c r="G98" t="s">
        <v>27</v>
      </c>
      <c r="H98" s="3">
        <v>0.38682466752435601</v>
      </c>
      <c r="I98" s="3">
        <v>0.36107222538983103</v>
      </c>
      <c r="J98" s="3">
        <v>0.32353334535102801</v>
      </c>
      <c r="K98" s="3">
        <v>0.31553787258250399</v>
      </c>
      <c r="L98" s="3">
        <v>0.26282206157087301</v>
      </c>
      <c r="M98" s="3">
        <v>0.21238709139763501</v>
      </c>
      <c r="N98" s="3">
        <v>0.474013286440015</v>
      </c>
      <c r="O98" s="3">
        <v>0.26158958557218198</v>
      </c>
      <c r="P98">
        <f t="shared" si="33"/>
        <v>0</v>
      </c>
      <c r="Q98">
        <f t="shared" si="34"/>
        <v>0</v>
      </c>
      <c r="R98">
        <f t="shared" si="35"/>
        <v>0</v>
      </c>
      <c r="S98">
        <f t="shared" si="36"/>
        <v>1</v>
      </c>
      <c r="T98">
        <f t="shared" si="37"/>
        <v>0</v>
      </c>
      <c r="U98">
        <f t="shared" si="38"/>
        <v>0</v>
      </c>
      <c r="V98">
        <f t="shared" si="39"/>
        <v>1</v>
      </c>
      <c r="W98">
        <f t="shared" si="40"/>
        <v>0</v>
      </c>
      <c r="X98">
        <f t="shared" si="41"/>
        <v>0</v>
      </c>
      <c r="Y98">
        <f t="shared" si="42"/>
        <v>0</v>
      </c>
      <c r="Z98">
        <f t="shared" si="43"/>
        <v>0</v>
      </c>
      <c r="AA98">
        <f t="shared" si="44"/>
        <v>0</v>
      </c>
      <c r="AB98">
        <f t="shared" si="27"/>
        <v>0</v>
      </c>
      <c r="AC98">
        <f t="shared" si="28"/>
        <v>0</v>
      </c>
      <c r="AD98">
        <f t="shared" si="29"/>
        <v>1</v>
      </c>
      <c r="AE98">
        <f t="shared" si="30"/>
        <v>0</v>
      </c>
      <c r="AF98">
        <f t="shared" si="31"/>
        <v>0</v>
      </c>
      <c r="AG98">
        <f t="shared" si="32"/>
        <v>0</v>
      </c>
      <c r="AH98">
        <f t="shared" si="45"/>
        <v>1</v>
      </c>
      <c r="AI98">
        <f t="shared" si="50"/>
        <v>0</v>
      </c>
      <c r="AJ98">
        <f t="shared" si="50"/>
        <v>0</v>
      </c>
      <c r="AK98">
        <f t="shared" si="50"/>
        <v>0</v>
      </c>
      <c r="AL98">
        <f t="shared" si="50"/>
        <v>0</v>
      </c>
      <c r="AM98">
        <f t="shared" si="50"/>
        <v>0</v>
      </c>
      <c r="AN98">
        <f t="shared" si="50"/>
        <v>0</v>
      </c>
      <c r="AO98">
        <f t="shared" si="50"/>
        <v>0</v>
      </c>
      <c r="AP98">
        <f t="shared" si="50"/>
        <v>0</v>
      </c>
      <c r="AQ98">
        <f t="shared" si="50"/>
        <v>0</v>
      </c>
      <c r="AR98">
        <f t="shared" si="50"/>
        <v>0</v>
      </c>
      <c r="AS98">
        <f t="shared" si="50"/>
        <v>0</v>
      </c>
      <c r="AT98">
        <f t="shared" si="50"/>
        <v>0</v>
      </c>
      <c r="AU98">
        <f t="shared" si="50"/>
        <v>0</v>
      </c>
      <c r="AV98">
        <f t="shared" si="50"/>
        <v>0</v>
      </c>
      <c r="AW98">
        <f t="shared" si="50"/>
        <v>1</v>
      </c>
      <c r="AX98">
        <f t="shared" si="46"/>
        <v>1</v>
      </c>
      <c r="AY98">
        <f t="shared" si="46"/>
        <v>0</v>
      </c>
      <c r="AZ98">
        <f t="shared" si="46"/>
        <v>0</v>
      </c>
      <c r="BA98">
        <f t="shared" si="47"/>
        <v>0</v>
      </c>
      <c r="BB98">
        <f t="shared" si="48"/>
        <v>0</v>
      </c>
    </row>
    <row r="99" spans="1:54">
      <c r="A99">
        <v>96</v>
      </c>
      <c r="B99" t="s">
        <v>20</v>
      </c>
      <c r="C99" t="s">
        <v>21</v>
      </c>
      <c r="D99" t="s">
        <v>24</v>
      </c>
      <c r="E99" t="s">
        <v>30</v>
      </c>
      <c r="F99" t="s">
        <v>29</v>
      </c>
      <c r="G99" t="s">
        <v>22</v>
      </c>
      <c r="H99" s="3">
        <v>0.81305784025536698</v>
      </c>
      <c r="I99" s="3">
        <v>0.77179057985780797</v>
      </c>
      <c r="J99" s="3">
        <v>0.63246373301782599</v>
      </c>
      <c r="K99" s="3">
        <v>0.64929251422101197</v>
      </c>
      <c r="L99" s="3">
        <v>0.47212620476829098</v>
      </c>
      <c r="M99" s="3">
        <v>0.34521095119890499</v>
      </c>
      <c r="N99" s="3">
        <v>0.98432423547388903</v>
      </c>
      <c r="O99" s="3">
        <v>0.48750242329878402</v>
      </c>
      <c r="P99">
        <f t="shared" si="33"/>
        <v>0</v>
      </c>
      <c r="Q99">
        <f t="shared" si="34"/>
        <v>0</v>
      </c>
      <c r="R99">
        <f t="shared" si="35"/>
        <v>0</v>
      </c>
      <c r="S99">
        <f t="shared" si="36"/>
        <v>0</v>
      </c>
      <c r="T99">
        <f t="shared" si="37"/>
        <v>0</v>
      </c>
      <c r="U99">
        <f t="shared" si="38"/>
        <v>0</v>
      </c>
      <c r="V99">
        <f t="shared" si="39"/>
        <v>1</v>
      </c>
      <c r="W99">
        <f t="shared" si="40"/>
        <v>0</v>
      </c>
      <c r="X99">
        <f t="shared" si="41"/>
        <v>1</v>
      </c>
      <c r="Y99">
        <f t="shared" si="42"/>
        <v>0</v>
      </c>
      <c r="Z99">
        <f t="shared" si="43"/>
        <v>0</v>
      </c>
      <c r="AA99">
        <f t="shared" si="44"/>
        <v>0</v>
      </c>
      <c r="AB99">
        <f t="shared" si="27"/>
        <v>0</v>
      </c>
      <c r="AC99">
        <f t="shared" si="28"/>
        <v>0</v>
      </c>
      <c r="AD99">
        <f t="shared" si="29"/>
        <v>0</v>
      </c>
      <c r="AE99">
        <f t="shared" si="30"/>
        <v>0</v>
      </c>
      <c r="AF99">
        <f t="shared" si="31"/>
        <v>0</v>
      </c>
      <c r="AG99">
        <f t="shared" si="32"/>
        <v>0</v>
      </c>
      <c r="AH99">
        <f t="shared" si="45"/>
        <v>0</v>
      </c>
      <c r="AI99">
        <f t="shared" si="50"/>
        <v>0</v>
      </c>
      <c r="AJ99">
        <f t="shared" si="50"/>
        <v>0</v>
      </c>
      <c r="AK99">
        <f t="shared" si="50"/>
        <v>0</v>
      </c>
      <c r="AL99">
        <f t="shared" si="50"/>
        <v>0</v>
      </c>
      <c r="AM99">
        <f t="shared" si="50"/>
        <v>0</v>
      </c>
      <c r="AN99">
        <f t="shared" si="50"/>
        <v>0</v>
      </c>
      <c r="AO99">
        <f t="shared" si="50"/>
        <v>0</v>
      </c>
      <c r="AP99">
        <f t="shared" si="50"/>
        <v>0</v>
      </c>
      <c r="AQ99">
        <f t="shared" si="50"/>
        <v>0</v>
      </c>
      <c r="AR99">
        <f t="shared" si="50"/>
        <v>0</v>
      </c>
      <c r="AS99">
        <f t="shared" si="50"/>
        <v>1</v>
      </c>
      <c r="AT99">
        <f t="shared" si="50"/>
        <v>0</v>
      </c>
      <c r="AU99">
        <f t="shared" si="50"/>
        <v>0</v>
      </c>
      <c r="AV99">
        <f t="shared" si="50"/>
        <v>0</v>
      </c>
      <c r="AW99">
        <f t="shared" si="50"/>
        <v>0</v>
      </c>
      <c r="AX99">
        <f t="shared" si="46"/>
        <v>0</v>
      </c>
      <c r="AY99">
        <f t="shared" si="46"/>
        <v>0</v>
      </c>
      <c r="AZ99">
        <f t="shared" si="46"/>
        <v>1</v>
      </c>
      <c r="BA99">
        <f t="shared" si="47"/>
        <v>0</v>
      </c>
      <c r="BB99">
        <f t="shared" si="48"/>
        <v>1</v>
      </c>
    </row>
    <row r="100" spans="1:54">
      <c r="A100">
        <v>97</v>
      </c>
      <c r="B100" t="s">
        <v>20</v>
      </c>
      <c r="C100" t="s">
        <v>21</v>
      </c>
      <c r="D100" t="s">
        <v>24</v>
      </c>
      <c r="E100" t="s">
        <v>30</v>
      </c>
      <c r="F100" t="s">
        <v>29</v>
      </c>
      <c r="G100" t="s">
        <v>23</v>
      </c>
      <c r="H100" s="3">
        <v>3.8390639735456297E-2</v>
      </c>
      <c r="I100" s="3">
        <v>3.6838868082872199E-2</v>
      </c>
      <c r="J100" s="3">
        <v>3.2327705487261001E-2</v>
      </c>
      <c r="K100" s="3">
        <v>3.3298995501063501E-2</v>
      </c>
      <c r="L100" s="3">
        <v>2.45131721671485E-2</v>
      </c>
      <c r="M100" s="3">
        <v>1.9022411564656099E-2</v>
      </c>
      <c r="N100" s="3">
        <v>4.1813208284486099E-2</v>
      </c>
      <c r="O100" s="3">
        <v>2.6050944527402E-2</v>
      </c>
      <c r="P100">
        <f t="shared" si="33"/>
        <v>0</v>
      </c>
      <c r="Q100">
        <f t="shared" si="34"/>
        <v>0</v>
      </c>
      <c r="R100">
        <f t="shared" si="35"/>
        <v>0</v>
      </c>
      <c r="S100">
        <f t="shared" si="36"/>
        <v>0</v>
      </c>
      <c r="T100">
        <f t="shared" si="37"/>
        <v>0</v>
      </c>
      <c r="U100">
        <f t="shared" si="38"/>
        <v>0</v>
      </c>
      <c r="V100">
        <f t="shared" si="39"/>
        <v>1</v>
      </c>
      <c r="W100">
        <f t="shared" si="40"/>
        <v>0</v>
      </c>
      <c r="X100">
        <f t="shared" si="41"/>
        <v>0</v>
      </c>
      <c r="Y100">
        <f t="shared" si="42"/>
        <v>1</v>
      </c>
      <c r="Z100">
        <f t="shared" si="43"/>
        <v>0</v>
      </c>
      <c r="AA100">
        <f t="shared" si="44"/>
        <v>0</v>
      </c>
      <c r="AB100">
        <f t="shared" si="27"/>
        <v>0</v>
      </c>
      <c r="AC100">
        <f t="shared" si="28"/>
        <v>0</v>
      </c>
      <c r="AD100">
        <f t="shared" si="29"/>
        <v>0</v>
      </c>
      <c r="AE100">
        <f t="shared" si="30"/>
        <v>0</v>
      </c>
      <c r="AF100">
        <f t="shared" si="31"/>
        <v>0</v>
      </c>
      <c r="AG100">
        <f t="shared" si="32"/>
        <v>0</v>
      </c>
      <c r="AH100">
        <f t="shared" si="45"/>
        <v>0</v>
      </c>
      <c r="AI100">
        <f t="shared" si="50"/>
        <v>0</v>
      </c>
      <c r="AJ100">
        <f t="shared" si="50"/>
        <v>0</v>
      </c>
      <c r="AK100">
        <f t="shared" si="50"/>
        <v>0</v>
      </c>
      <c r="AL100">
        <f t="shared" si="50"/>
        <v>0</v>
      </c>
      <c r="AM100">
        <f t="shared" si="50"/>
        <v>0</v>
      </c>
      <c r="AN100">
        <f t="shared" si="50"/>
        <v>0</v>
      </c>
      <c r="AO100">
        <f t="shared" si="50"/>
        <v>0</v>
      </c>
      <c r="AP100">
        <f t="shared" si="50"/>
        <v>0</v>
      </c>
      <c r="AQ100">
        <f t="shared" si="50"/>
        <v>0</v>
      </c>
      <c r="AR100">
        <f t="shared" si="50"/>
        <v>0</v>
      </c>
      <c r="AS100">
        <f t="shared" si="50"/>
        <v>0</v>
      </c>
      <c r="AT100">
        <f t="shared" si="50"/>
        <v>0</v>
      </c>
      <c r="AU100">
        <f t="shared" si="50"/>
        <v>1</v>
      </c>
      <c r="AV100">
        <f t="shared" si="50"/>
        <v>0</v>
      </c>
      <c r="AW100">
        <f t="shared" si="50"/>
        <v>0</v>
      </c>
      <c r="AX100">
        <f t="shared" si="46"/>
        <v>0</v>
      </c>
      <c r="AY100">
        <f t="shared" si="46"/>
        <v>0</v>
      </c>
      <c r="AZ100">
        <f t="shared" si="46"/>
        <v>1</v>
      </c>
      <c r="BA100">
        <f t="shared" si="47"/>
        <v>0</v>
      </c>
      <c r="BB100">
        <f t="shared" si="48"/>
        <v>1</v>
      </c>
    </row>
    <row r="101" spans="1:54">
      <c r="A101">
        <v>98</v>
      </c>
      <c r="B101" t="s">
        <v>20</v>
      </c>
      <c r="C101" t="s">
        <v>21</v>
      </c>
      <c r="D101" t="s">
        <v>24</v>
      </c>
      <c r="E101" t="s">
        <v>30</v>
      </c>
      <c r="F101" t="s">
        <v>29</v>
      </c>
      <c r="G101" t="s">
        <v>24</v>
      </c>
      <c r="H101" s="3">
        <v>0.64180913866195299</v>
      </c>
      <c r="I101" s="3">
        <v>0.63597525418865197</v>
      </c>
      <c r="J101" s="3">
        <v>0.54456747487088597</v>
      </c>
      <c r="K101" s="3">
        <v>0.60082459903274399</v>
      </c>
      <c r="L101" s="3">
        <v>0.45355606581242902</v>
      </c>
      <c r="M101" s="3">
        <v>0.36622591473713401</v>
      </c>
      <c r="N101" s="3">
        <v>0.67956232903477898</v>
      </c>
      <c r="O101" s="3">
        <v>0.46185973895566601</v>
      </c>
      <c r="P101">
        <f t="shared" si="33"/>
        <v>0</v>
      </c>
      <c r="Q101">
        <f t="shared" si="34"/>
        <v>0</v>
      </c>
      <c r="R101">
        <f t="shared" si="35"/>
        <v>0</v>
      </c>
      <c r="S101">
        <f t="shared" si="36"/>
        <v>0</v>
      </c>
      <c r="T101">
        <f t="shared" si="37"/>
        <v>0</v>
      </c>
      <c r="U101">
        <f t="shared" si="38"/>
        <v>0</v>
      </c>
      <c r="V101">
        <f t="shared" si="39"/>
        <v>1</v>
      </c>
      <c r="W101">
        <f t="shared" si="40"/>
        <v>0</v>
      </c>
      <c r="X101">
        <f t="shared" si="41"/>
        <v>0</v>
      </c>
      <c r="Y101">
        <f t="shared" si="42"/>
        <v>0</v>
      </c>
      <c r="Z101">
        <f t="shared" si="43"/>
        <v>0</v>
      </c>
      <c r="AA101">
        <f t="shared" si="44"/>
        <v>1</v>
      </c>
      <c r="AB101">
        <f t="shared" si="27"/>
        <v>0</v>
      </c>
      <c r="AC101">
        <f t="shared" si="28"/>
        <v>0</v>
      </c>
      <c r="AD101">
        <f t="shared" si="29"/>
        <v>1</v>
      </c>
      <c r="AE101">
        <f t="shared" si="30"/>
        <v>0</v>
      </c>
      <c r="AF101">
        <f t="shared" si="31"/>
        <v>0</v>
      </c>
      <c r="AG101">
        <f t="shared" si="32"/>
        <v>0</v>
      </c>
      <c r="AH101">
        <f t="shared" si="45"/>
        <v>1</v>
      </c>
      <c r="AI101">
        <f t="shared" si="50"/>
        <v>0</v>
      </c>
      <c r="AJ101">
        <f t="shared" si="50"/>
        <v>0</v>
      </c>
      <c r="AK101">
        <f t="shared" si="50"/>
        <v>0</v>
      </c>
      <c r="AL101">
        <f t="shared" si="50"/>
        <v>0</v>
      </c>
      <c r="AM101">
        <f t="shared" si="50"/>
        <v>0</v>
      </c>
      <c r="AN101">
        <f t="shared" si="50"/>
        <v>0</v>
      </c>
      <c r="AO101">
        <f t="shared" si="50"/>
        <v>0</v>
      </c>
      <c r="AP101">
        <f t="shared" si="50"/>
        <v>0</v>
      </c>
      <c r="AQ101">
        <f t="shared" si="50"/>
        <v>0</v>
      </c>
      <c r="AR101">
        <f t="shared" si="50"/>
        <v>0</v>
      </c>
      <c r="AS101">
        <f t="shared" si="50"/>
        <v>0</v>
      </c>
      <c r="AT101">
        <f t="shared" si="50"/>
        <v>0</v>
      </c>
      <c r="AU101">
        <f t="shared" si="50"/>
        <v>0</v>
      </c>
      <c r="AV101">
        <f t="shared" si="50"/>
        <v>0</v>
      </c>
      <c r="AW101">
        <f t="shared" si="50"/>
        <v>0</v>
      </c>
      <c r="AX101">
        <f t="shared" si="46"/>
        <v>0</v>
      </c>
      <c r="AY101">
        <f t="shared" si="46"/>
        <v>0</v>
      </c>
      <c r="AZ101">
        <f t="shared" si="46"/>
        <v>1</v>
      </c>
      <c r="BA101">
        <f t="shared" si="47"/>
        <v>0</v>
      </c>
      <c r="BB101">
        <f t="shared" si="48"/>
        <v>1</v>
      </c>
    </row>
    <row r="102" spans="1:54">
      <c r="A102">
        <v>99</v>
      </c>
      <c r="B102" t="s">
        <v>20</v>
      </c>
      <c r="C102" t="s">
        <v>21</v>
      </c>
      <c r="D102" t="s">
        <v>24</v>
      </c>
      <c r="E102" t="s">
        <v>30</v>
      </c>
      <c r="F102" t="s">
        <v>29</v>
      </c>
      <c r="G102" t="s">
        <v>31</v>
      </c>
      <c r="H102" s="3">
        <v>4.6911263099883499E-2</v>
      </c>
      <c r="I102" s="3">
        <v>4.3576120106151701E-2</v>
      </c>
      <c r="J102" s="3">
        <v>4.0059988599364701E-2</v>
      </c>
      <c r="K102" s="3">
        <v>3.8766392226005003E-2</v>
      </c>
      <c r="L102" s="3">
        <v>3.1673771756212797E-2</v>
      </c>
      <c r="M102" s="3">
        <v>2.5122802302707099E-2</v>
      </c>
      <c r="N102" s="3">
        <v>5.0801094177412999E-2</v>
      </c>
      <c r="O102" s="3">
        <v>3.2416613319630999E-2</v>
      </c>
      <c r="P102">
        <f t="shared" si="33"/>
        <v>0</v>
      </c>
      <c r="Q102">
        <f t="shared" si="34"/>
        <v>0</v>
      </c>
      <c r="R102">
        <f t="shared" si="35"/>
        <v>0</v>
      </c>
      <c r="S102">
        <f t="shared" si="36"/>
        <v>0</v>
      </c>
      <c r="T102">
        <f t="shared" si="37"/>
        <v>0</v>
      </c>
      <c r="U102">
        <f t="shared" si="38"/>
        <v>0</v>
      </c>
      <c r="V102">
        <f t="shared" si="39"/>
        <v>1</v>
      </c>
      <c r="W102">
        <f t="shared" si="40"/>
        <v>0</v>
      </c>
      <c r="X102">
        <f t="shared" si="41"/>
        <v>0</v>
      </c>
      <c r="Y102">
        <f t="shared" si="42"/>
        <v>0</v>
      </c>
      <c r="Z102">
        <f t="shared" si="43"/>
        <v>1</v>
      </c>
      <c r="AA102">
        <f t="shared" si="44"/>
        <v>0</v>
      </c>
      <c r="AB102">
        <f t="shared" si="27"/>
        <v>0</v>
      </c>
      <c r="AC102">
        <f t="shared" si="28"/>
        <v>0</v>
      </c>
      <c r="AD102">
        <f t="shared" si="29"/>
        <v>0</v>
      </c>
      <c r="AE102">
        <f t="shared" si="30"/>
        <v>0</v>
      </c>
      <c r="AF102">
        <f t="shared" si="31"/>
        <v>0</v>
      </c>
      <c r="AG102">
        <f t="shared" si="32"/>
        <v>0</v>
      </c>
      <c r="AH102">
        <f t="shared" si="45"/>
        <v>0</v>
      </c>
      <c r="AI102">
        <f t="shared" si="50"/>
        <v>0</v>
      </c>
      <c r="AJ102">
        <f t="shared" si="50"/>
        <v>0</v>
      </c>
      <c r="AK102">
        <f t="shared" si="50"/>
        <v>0</v>
      </c>
      <c r="AL102">
        <f t="shared" si="50"/>
        <v>0</v>
      </c>
      <c r="AM102">
        <f t="shared" si="50"/>
        <v>0</v>
      </c>
      <c r="AN102">
        <f t="shared" si="50"/>
        <v>0</v>
      </c>
      <c r="AO102">
        <f t="shared" si="50"/>
        <v>0</v>
      </c>
      <c r="AP102">
        <f t="shared" si="50"/>
        <v>0</v>
      </c>
      <c r="AQ102">
        <f t="shared" si="50"/>
        <v>0</v>
      </c>
      <c r="AR102">
        <f t="shared" si="50"/>
        <v>0</v>
      </c>
      <c r="AS102">
        <f t="shared" si="50"/>
        <v>0</v>
      </c>
      <c r="AT102">
        <f t="shared" si="50"/>
        <v>0</v>
      </c>
      <c r="AU102">
        <f t="shared" si="50"/>
        <v>0</v>
      </c>
      <c r="AV102">
        <f t="shared" si="50"/>
        <v>0</v>
      </c>
      <c r="AW102">
        <f t="shared" si="50"/>
        <v>0</v>
      </c>
      <c r="AX102">
        <f t="shared" si="46"/>
        <v>0</v>
      </c>
      <c r="AY102">
        <f t="shared" si="46"/>
        <v>0</v>
      </c>
      <c r="AZ102">
        <f t="shared" si="46"/>
        <v>1</v>
      </c>
      <c r="BA102">
        <f t="shared" si="47"/>
        <v>0</v>
      </c>
      <c r="BB102">
        <f t="shared" si="48"/>
        <v>1</v>
      </c>
    </row>
    <row r="103" spans="1:54">
      <c r="A103">
        <v>100</v>
      </c>
      <c r="B103" t="s">
        <v>20</v>
      </c>
      <c r="C103" t="s">
        <v>21</v>
      </c>
      <c r="D103" t="s">
        <v>24</v>
      </c>
      <c r="E103" t="s">
        <v>30</v>
      </c>
      <c r="F103" t="s">
        <v>29</v>
      </c>
      <c r="G103" t="s">
        <v>25</v>
      </c>
      <c r="H103" s="3">
        <v>0.114797421876859</v>
      </c>
      <c r="I103" s="3">
        <v>0.112079892169691</v>
      </c>
      <c r="J103" s="3">
        <v>9.6897442346901203E-2</v>
      </c>
      <c r="K103" s="3">
        <v>0.100307206490861</v>
      </c>
      <c r="L103" s="3">
        <v>7.4454473936148402E-2</v>
      </c>
      <c r="M103" s="3">
        <v>5.9120288277203503E-2</v>
      </c>
      <c r="N103" s="3">
        <v>0.128454060204474</v>
      </c>
      <c r="O103" s="3">
        <v>7.6954036011004298E-2</v>
      </c>
      <c r="P103">
        <f t="shared" si="33"/>
        <v>0</v>
      </c>
      <c r="Q103">
        <f t="shared" si="34"/>
        <v>0</v>
      </c>
      <c r="R103">
        <f t="shared" si="35"/>
        <v>0</v>
      </c>
      <c r="S103">
        <f t="shared" si="36"/>
        <v>0</v>
      </c>
      <c r="T103">
        <f t="shared" si="37"/>
        <v>0</v>
      </c>
      <c r="U103">
        <f t="shared" si="38"/>
        <v>0</v>
      </c>
      <c r="V103">
        <f t="shared" si="39"/>
        <v>1</v>
      </c>
      <c r="W103">
        <f t="shared" si="40"/>
        <v>0</v>
      </c>
      <c r="X103">
        <f t="shared" si="41"/>
        <v>0</v>
      </c>
      <c r="Y103">
        <f t="shared" si="42"/>
        <v>0</v>
      </c>
      <c r="Z103">
        <f t="shared" si="43"/>
        <v>0</v>
      </c>
      <c r="AA103">
        <f t="shared" si="44"/>
        <v>0</v>
      </c>
      <c r="AB103">
        <f t="shared" si="27"/>
        <v>0</v>
      </c>
      <c r="AC103">
        <f t="shared" si="28"/>
        <v>0</v>
      </c>
      <c r="AD103">
        <f t="shared" si="29"/>
        <v>0</v>
      </c>
      <c r="AE103">
        <f t="shared" si="30"/>
        <v>0</v>
      </c>
      <c r="AF103">
        <f t="shared" si="31"/>
        <v>0</v>
      </c>
      <c r="AG103">
        <f t="shared" si="32"/>
        <v>0</v>
      </c>
      <c r="AH103">
        <f t="shared" si="45"/>
        <v>0</v>
      </c>
      <c r="AI103">
        <f t="shared" ref="AI103:AW119" si="51">IF(OR(AND($D103=AI$1,$G103=AI$2),AND($D103=AI$2,$G103=AI$1)),1,0)</f>
        <v>0</v>
      </c>
      <c r="AJ103">
        <f t="shared" si="51"/>
        <v>0</v>
      </c>
      <c r="AK103">
        <f t="shared" si="51"/>
        <v>0</v>
      </c>
      <c r="AL103">
        <f t="shared" si="51"/>
        <v>0</v>
      </c>
      <c r="AM103">
        <f t="shared" si="51"/>
        <v>0</v>
      </c>
      <c r="AN103">
        <f t="shared" si="51"/>
        <v>0</v>
      </c>
      <c r="AO103">
        <f t="shared" si="51"/>
        <v>0</v>
      </c>
      <c r="AP103">
        <f t="shared" si="51"/>
        <v>1</v>
      </c>
      <c r="AQ103">
        <f t="shared" si="51"/>
        <v>0</v>
      </c>
      <c r="AR103">
        <f t="shared" si="51"/>
        <v>0</v>
      </c>
      <c r="AS103">
        <f t="shared" si="51"/>
        <v>0</v>
      </c>
      <c r="AT103">
        <f t="shared" si="51"/>
        <v>0</v>
      </c>
      <c r="AU103">
        <f t="shared" si="51"/>
        <v>0</v>
      </c>
      <c r="AV103">
        <f t="shared" si="51"/>
        <v>0</v>
      </c>
      <c r="AW103">
        <f t="shared" si="51"/>
        <v>0</v>
      </c>
      <c r="AX103">
        <f t="shared" si="46"/>
        <v>0</v>
      </c>
      <c r="AY103">
        <f t="shared" si="46"/>
        <v>0</v>
      </c>
      <c r="AZ103">
        <f t="shared" si="46"/>
        <v>1</v>
      </c>
      <c r="BA103">
        <f t="shared" si="47"/>
        <v>1</v>
      </c>
      <c r="BB103">
        <f t="shared" si="48"/>
        <v>1</v>
      </c>
    </row>
    <row r="104" spans="1:54">
      <c r="A104">
        <v>101</v>
      </c>
      <c r="B104" t="s">
        <v>20</v>
      </c>
      <c r="C104" t="s">
        <v>21</v>
      </c>
      <c r="D104" t="s">
        <v>24</v>
      </c>
      <c r="E104" t="s">
        <v>30</v>
      </c>
      <c r="F104" t="s">
        <v>29</v>
      </c>
      <c r="G104" t="s">
        <v>26</v>
      </c>
      <c r="H104" s="3">
        <v>0.117359824407678</v>
      </c>
      <c r="I104" s="3">
        <v>0.114479924012737</v>
      </c>
      <c r="J104" s="3">
        <v>9.9120010938216693E-2</v>
      </c>
      <c r="K104" s="3">
        <v>0.10237184250679</v>
      </c>
      <c r="L104" s="3">
        <v>7.6178509126726204E-2</v>
      </c>
      <c r="M104" s="3">
        <v>6.0491107353127099E-2</v>
      </c>
      <c r="N104" s="3">
        <v>0.13136550308008199</v>
      </c>
      <c r="O104" s="3">
        <v>7.8702676553328396E-2</v>
      </c>
      <c r="P104">
        <f t="shared" si="33"/>
        <v>0</v>
      </c>
      <c r="Q104">
        <f t="shared" si="34"/>
        <v>0</v>
      </c>
      <c r="R104">
        <f t="shared" si="35"/>
        <v>0</v>
      </c>
      <c r="S104">
        <f t="shared" si="36"/>
        <v>0</v>
      </c>
      <c r="T104">
        <f t="shared" si="37"/>
        <v>0</v>
      </c>
      <c r="U104">
        <f t="shared" si="38"/>
        <v>0</v>
      </c>
      <c r="V104">
        <f t="shared" si="39"/>
        <v>1</v>
      </c>
      <c r="W104">
        <f t="shared" si="40"/>
        <v>0</v>
      </c>
      <c r="X104">
        <f t="shared" si="41"/>
        <v>0</v>
      </c>
      <c r="Y104">
        <f t="shared" si="42"/>
        <v>0</v>
      </c>
      <c r="Z104">
        <f t="shared" si="43"/>
        <v>0</v>
      </c>
      <c r="AA104">
        <f t="shared" si="44"/>
        <v>0</v>
      </c>
      <c r="AB104">
        <f t="shared" si="27"/>
        <v>0</v>
      </c>
      <c r="AC104">
        <f t="shared" si="28"/>
        <v>0</v>
      </c>
      <c r="AD104">
        <f t="shared" si="29"/>
        <v>0</v>
      </c>
      <c r="AE104">
        <f t="shared" si="30"/>
        <v>0</v>
      </c>
      <c r="AF104">
        <f t="shared" si="31"/>
        <v>0</v>
      </c>
      <c r="AG104">
        <f t="shared" si="32"/>
        <v>0</v>
      </c>
      <c r="AH104">
        <f t="shared" si="45"/>
        <v>0</v>
      </c>
      <c r="AI104">
        <f t="shared" si="51"/>
        <v>0</v>
      </c>
      <c r="AJ104">
        <f t="shared" si="51"/>
        <v>0</v>
      </c>
      <c r="AK104">
        <f t="shared" si="51"/>
        <v>0</v>
      </c>
      <c r="AL104">
        <f t="shared" si="51"/>
        <v>1</v>
      </c>
      <c r="AM104">
        <f t="shared" si="51"/>
        <v>0</v>
      </c>
      <c r="AN104">
        <f t="shared" si="51"/>
        <v>0</v>
      </c>
      <c r="AO104">
        <f t="shared" si="51"/>
        <v>0</v>
      </c>
      <c r="AP104">
        <f t="shared" si="51"/>
        <v>0</v>
      </c>
      <c r="AQ104">
        <f t="shared" si="51"/>
        <v>0</v>
      </c>
      <c r="AR104">
        <f t="shared" si="51"/>
        <v>0</v>
      </c>
      <c r="AS104">
        <f t="shared" si="51"/>
        <v>0</v>
      </c>
      <c r="AT104">
        <f t="shared" si="51"/>
        <v>0</v>
      </c>
      <c r="AU104">
        <f t="shared" si="51"/>
        <v>0</v>
      </c>
      <c r="AV104">
        <f t="shared" si="51"/>
        <v>0</v>
      </c>
      <c r="AW104">
        <f t="shared" si="51"/>
        <v>0</v>
      </c>
      <c r="AX104">
        <f t="shared" si="46"/>
        <v>0</v>
      </c>
      <c r="AY104">
        <f t="shared" si="46"/>
        <v>0</v>
      </c>
      <c r="AZ104">
        <f t="shared" si="46"/>
        <v>1</v>
      </c>
      <c r="BA104">
        <f t="shared" si="47"/>
        <v>1</v>
      </c>
      <c r="BB104">
        <f t="shared" si="48"/>
        <v>1</v>
      </c>
    </row>
    <row r="105" spans="1:54">
      <c r="A105">
        <v>102</v>
      </c>
      <c r="B105" t="s">
        <v>20</v>
      </c>
      <c r="C105" t="s">
        <v>21</v>
      </c>
      <c r="D105" t="s">
        <v>25</v>
      </c>
      <c r="E105" t="s">
        <v>20</v>
      </c>
      <c r="F105" t="s">
        <v>21</v>
      </c>
      <c r="G105" t="s">
        <v>26</v>
      </c>
      <c r="H105" s="3">
        <v>0.98468231390100802</v>
      </c>
      <c r="I105" s="3">
        <v>0.98323459569854799</v>
      </c>
      <c r="J105" s="3">
        <v>0.980351279603769</v>
      </c>
      <c r="K105" s="3">
        <v>0.98086802156956598</v>
      </c>
      <c r="L105" s="3">
        <v>0.97691201537501904</v>
      </c>
      <c r="M105" s="3">
        <v>0.97382592955138603</v>
      </c>
      <c r="N105" s="3">
        <v>0.98710811602695503</v>
      </c>
      <c r="O105" s="3">
        <v>0.97680861481260695</v>
      </c>
      <c r="P105">
        <f t="shared" si="33"/>
        <v>0</v>
      </c>
      <c r="Q105">
        <f t="shared" si="34"/>
        <v>0</v>
      </c>
      <c r="R105">
        <f t="shared" si="35"/>
        <v>0</v>
      </c>
      <c r="S105">
        <f t="shared" si="36"/>
        <v>0</v>
      </c>
      <c r="T105">
        <f t="shared" si="37"/>
        <v>0</v>
      </c>
      <c r="U105">
        <f t="shared" si="38"/>
        <v>0</v>
      </c>
      <c r="V105">
        <f t="shared" si="39"/>
        <v>0</v>
      </c>
      <c r="W105">
        <f t="shared" si="40"/>
        <v>0</v>
      </c>
      <c r="X105">
        <f t="shared" si="41"/>
        <v>0</v>
      </c>
      <c r="Y105">
        <f t="shared" si="42"/>
        <v>0</v>
      </c>
      <c r="Z105">
        <f t="shared" si="43"/>
        <v>0</v>
      </c>
      <c r="AA105">
        <f t="shared" si="44"/>
        <v>0</v>
      </c>
      <c r="AB105">
        <f t="shared" si="27"/>
        <v>0</v>
      </c>
      <c r="AC105">
        <f t="shared" si="28"/>
        <v>0</v>
      </c>
      <c r="AD105">
        <f t="shared" si="29"/>
        <v>0</v>
      </c>
      <c r="AE105">
        <f t="shared" si="30"/>
        <v>1</v>
      </c>
      <c r="AF105">
        <f t="shared" si="31"/>
        <v>1</v>
      </c>
      <c r="AG105">
        <f t="shared" si="32"/>
        <v>1</v>
      </c>
      <c r="AH105">
        <f t="shared" si="45"/>
        <v>1</v>
      </c>
      <c r="AI105">
        <f t="shared" si="51"/>
        <v>1</v>
      </c>
      <c r="AJ105">
        <f t="shared" si="51"/>
        <v>0</v>
      </c>
      <c r="AK105">
        <f t="shared" si="51"/>
        <v>0</v>
      </c>
      <c r="AL105">
        <f t="shared" si="51"/>
        <v>0</v>
      </c>
      <c r="AM105">
        <f t="shared" si="51"/>
        <v>0</v>
      </c>
      <c r="AN105">
        <f t="shared" si="51"/>
        <v>0</v>
      </c>
      <c r="AO105">
        <f t="shared" si="51"/>
        <v>0</v>
      </c>
      <c r="AP105">
        <f t="shared" si="51"/>
        <v>0</v>
      </c>
      <c r="AQ105">
        <f t="shared" si="51"/>
        <v>0</v>
      </c>
      <c r="AR105">
        <f t="shared" si="51"/>
        <v>0</v>
      </c>
      <c r="AS105">
        <f t="shared" si="51"/>
        <v>0</v>
      </c>
      <c r="AT105">
        <f t="shared" si="51"/>
        <v>0</v>
      </c>
      <c r="AU105">
        <f t="shared" si="51"/>
        <v>0</v>
      </c>
      <c r="AV105">
        <f t="shared" si="51"/>
        <v>0</v>
      </c>
      <c r="AW105">
        <f t="shared" si="51"/>
        <v>0</v>
      </c>
      <c r="AX105">
        <f t="shared" si="46"/>
        <v>0</v>
      </c>
      <c r="AY105">
        <f t="shared" si="46"/>
        <v>0</v>
      </c>
      <c r="AZ105">
        <f t="shared" si="46"/>
        <v>0</v>
      </c>
      <c r="BA105">
        <f t="shared" si="47"/>
        <v>1</v>
      </c>
      <c r="BB105">
        <f t="shared" si="48"/>
        <v>0</v>
      </c>
    </row>
    <row r="106" spans="1:54">
      <c r="A106">
        <v>103</v>
      </c>
      <c r="B106" t="s">
        <v>20</v>
      </c>
      <c r="C106" t="s">
        <v>21</v>
      </c>
      <c r="D106" t="s">
        <v>25</v>
      </c>
      <c r="E106" t="s">
        <v>20</v>
      </c>
      <c r="F106" t="s">
        <v>21</v>
      </c>
      <c r="G106" t="s">
        <v>27</v>
      </c>
      <c r="H106" s="3">
        <v>0.155087532379099</v>
      </c>
      <c r="I106" s="3">
        <v>0.151246390188574</v>
      </c>
      <c r="J106" s="3">
        <v>0.132469969455041</v>
      </c>
      <c r="K106" s="3">
        <v>0.138327195403734</v>
      </c>
      <c r="L106" s="3">
        <v>0.10072817129071999</v>
      </c>
      <c r="M106" s="3">
        <v>7.9327163486417399E-2</v>
      </c>
      <c r="N106" s="3">
        <v>0.16876648110167</v>
      </c>
      <c r="O106" s="3">
        <v>0.109589667038427</v>
      </c>
      <c r="P106">
        <f t="shared" si="33"/>
        <v>0</v>
      </c>
      <c r="Q106">
        <f t="shared" si="34"/>
        <v>0</v>
      </c>
      <c r="R106">
        <f t="shared" si="35"/>
        <v>0</v>
      </c>
      <c r="S106">
        <f t="shared" si="36"/>
        <v>0</v>
      </c>
      <c r="T106">
        <f t="shared" si="37"/>
        <v>0</v>
      </c>
      <c r="U106">
        <f t="shared" si="38"/>
        <v>0</v>
      </c>
      <c r="V106">
        <f t="shared" si="39"/>
        <v>0</v>
      </c>
      <c r="W106">
        <f t="shared" si="40"/>
        <v>1</v>
      </c>
      <c r="X106">
        <f t="shared" si="41"/>
        <v>0</v>
      </c>
      <c r="Y106">
        <f t="shared" si="42"/>
        <v>0</v>
      </c>
      <c r="Z106">
        <f t="shared" si="43"/>
        <v>0</v>
      </c>
      <c r="AA106">
        <f t="shared" si="44"/>
        <v>0</v>
      </c>
      <c r="AB106">
        <f t="shared" si="27"/>
        <v>0</v>
      </c>
      <c r="AC106">
        <f t="shared" si="28"/>
        <v>0</v>
      </c>
      <c r="AD106">
        <f t="shared" si="29"/>
        <v>0</v>
      </c>
      <c r="AE106">
        <f t="shared" si="30"/>
        <v>0</v>
      </c>
      <c r="AF106">
        <f t="shared" si="31"/>
        <v>1</v>
      </c>
      <c r="AG106">
        <f t="shared" si="32"/>
        <v>1</v>
      </c>
      <c r="AH106">
        <f t="shared" si="45"/>
        <v>0</v>
      </c>
      <c r="AI106">
        <f t="shared" si="51"/>
        <v>0</v>
      </c>
      <c r="AJ106">
        <f t="shared" si="51"/>
        <v>0</v>
      </c>
      <c r="AK106">
        <f t="shared" si="51"/>
        <v>0</v>
      </c>
      <c r="AL106">
        <f t="shared" si="51"/>
        <v>0</v>
      </c>
      <c r="AM106">
        <f t="shared" si="51"/>
        <v>0</v>
      </c>
      <c r="AN106">
        <f t="shared" si="51"/>
        <v>0</v>
      </c>
      <c r="AO106">
        <f t="shared" si="51"/>
        <v>0</v>
      </c>
      <c r="AP106">
        <f t="shared" si="51"/>
        <v>0</v>
      </c>
      <c r="AQ106">
        <f t="shared" si="51"/>
        <v>1</v>
      </c>
      <c r="AR106">
        <f t="shared" si="51"/>
        <v>0</v>
      </c>
      <c r="AS106">
        <f t="shared" si="51"/>
        <v>0</v>
      </c>
      <c r="AT106">
        <f t="shared" si="51"/>
        <v>0</v>
      </c>
      <c r="AU106">
        <f t="shared" si="51"/>
        <v>0</v>
      </c>
      <c r="AV106">
        <f t="shared" si="51"/>
        <v>0</v>
      </c>
      <c r="AW106">
        <f t="shared" si="51"/>
        <v>0</v>
      </c>
      <c r="AX106">
        <f t="shared" si="46"/>
        <v>0</v>
      </c>
      <c r="AY106">
        <f t="shared" si="46"/>
        <v>0</v>
      </c>
      <c r="AZ106">
        <f t="shared" si="46"/>
        <v>0</v>
      </c>
      <c r="BA106">
        <f t="shared" si="47"/>
        <v>1</v>
      </c>
      <c r="BB106">
        <f t="shared" si="48"/>
        <v>0</v>
      </c>
    </row>
    <row r="107" spans="1:54">
      <c r="A107">
        <v>104</v>
      </c>
      <c r="B107" t="s">
        <v>20</v>
      </c>
      <c r="C107" t="s">
        <v>21</v>
      </c>
      <c r="D107" t="s">
        <v>25</v>
      </c>
      <c r="E107" t="s">
        <v>20</v>
      </c>
      <c r="F107" t="s">
        <v>28</v>
      </c>
      <c r="G107" t="s">
        <v>22</v>
      </c>
      <c r="H107" s="3">
        <v>1.8472789974494301E-2</v>
      </c>
      <c r="I107" s="3">
        <v>1.7914762852641399E-2</v>
      </c>
      <c r="J107" s="3">
        <v>1.5739208434711299E-2</v>
      </c>
      <c r="K107" s="3">
        <v>1.64346926563993E-2</v>
      </c>
      <c r="L107" s="3">
        <v>1.1999348848416301E-2</v>
      </c>
      <c r="M107" s="3">
        <v>9.5727484806943392E-3</v>
      </c>
      <c r="N107" s="3">
        <v>1.99238206856138E-2</v>
      </c>
      <c r="O107" s="3">
        <v>1.2988091861796501E-2</v>
      </c>
      <c r="P107">
        <f t="shared" si="33"/>
        <v>1</v>
      </c>
      <c r="Q107">
        <f t="shared" si="34"/>
        <v>0</v>
      </c>
      <c r="R107">
        <f t="shared" si="35"/>
        <v>0</v>
      </c>
      <c r="S107">
        <f t="shared" si="36"/>
        <v>0</v>
      </c>
      <c r="T107">
        <f t="shared" si="37"/>
        <v>0</v>
      </c>
      <c r="U107">
        <f t="shared" si="38"/>
        <v>0</v>
      </c>
      <c r="V107">
        <f t="shared" si="39"/>
        <v>0</v>
      </c>
      <c r="W107">
        <f t="shared" si="40"/>
        <v>0</v>
      </c>
      <c r="X107">
        <f t="shared" si="41"/>
        <v>0</v>
      </c>
      <c r="Y107">
        <f t="shared" si="42"/>
        <v>0</v>
      </c>
      <c r="Z107">
        <f t="shared" si="43"/>
        <v>0</v>
      </c>
      <c r="AA107">
        <f t="shared" si="44"/>
        <v>0</v>
      </c>
      <c r="AB107">
        <f t="shared" si="27"/>
        <v>0</v>
      </c>
      <c r="AC107">
        <f t="shared" si="28"/>
        <v>0</v>
      </c>
      <c r="AD107">
        <f t="shared" si="29"/>
        <v>0</v>
      </c>
      <c r="AE107">
        <f t="shared" si="30"/>
        <v>0</v>
      </c>
      <c r="AF107">
        <f t="shared" si="31"/>
        <v>0</v>
      </c>
      <c r="AG107">
        <f t="shared" si="32"/>
        <v>1</v>
      </c>
      <c r="AH107">
        <f t="shared" si="45"/>
        <v>0</v>
      </c>
      <c r="AI107">
        <f t="shared" si="51"/>
        <v>0</v>
      </c>
      <c r="AJ107">
        <f t="shared" si="51"/>
        <v>0</v>
      </c>
      <c r="AK107">
        <f t="shared" si="51"/>
        <v>0</v>
      </c>
      <c r="AL107">
        <f t="shared" si="51"/>
        <v>0</v>
      </c>
      <c r="AM107">
        <f t="shared" si="51"/>
        <v>0</v>
      </c>
      <c r="AN107">
        <f t="shared" si="51"/>
        <v>1</v>
      </c>
      <c r="AO107">
        <f t="shared" si="51"/>
        <v>0</v>
      </c>
      <c r="AP107">
        <f t="shared" si="51"/>
        <v>0</v>
      </c>
      <c r="AQ107">
        <f t="shared" si="51"/>
        <v>0</v>
      </c>
      <c r="AR107">
        <f t="shared" si="51"/>
        <v>0</v>
      </c>
      <c r="AS107">
        <f t="shared" si="51"/>
        <v>0</v>
      </c>
      <c r="AT107">
        <f t="shared" si="51"/>
        <v>0</v>
      </c>
      <c r="AU107">
        <f t="shared" si="51"/>
        <v>0</v>
      </c>
      <c r="AV107">
        <f t="shared" si="51"/>
        <v>0</v>
      </c>
      <c r="AW107">
        <f t="shared" si="51"/>
        <v>0</v>
      </c>
      <c r="AX107">
        <f t="shared" si="46"/>
        <v>1</v>
      </c>
      <c r="AY107">
        <f t="shared" si="46"/>
        <v>0</v>
      </c>
      <c r="AZ107">
        <f t="shared" si="46"/>
        <v>0</v>
      </c>
      <c r="BA107">
        <f t="shared" si="47"/>
        <v>1</v>
      </c>
      <c r="BB107">
        <f t="shared" si="48"/>
        <v>0</v>
      </c>
    </row>
    <row r="108" spans="1:54">
      <c r="A108">
        <v>105</v>
      </c>
      <c r="B108" t="s">
        <v>20</v>
      </c>
      <c r="C108" t="s">
        <v>21</v>
      </c>
      <c r="D108" t="s">
        <v>25</v>
      </c>
      <c r="E108" t="s">
        <v>20</v>
      </c>
      <c r="F108" t="s">
        <v>28</v>
      </c>
      <c r="G108" t="s">
        <v>23</v>
      </c>
      <c r="H108" s="3">
        <v>2.03743307700547E-2</v>
      </c>
      <c r="I108" s="3">
        <v>1.9586510607417899E-2</v>
      </c>
      <c r="J108" s="3">
        <v>1.7546938389847399E-2</v>
      </c>
      <c r="K108" s="3">
        <v>1.7831927799087901E-2</v>
      </c>
      <c r="L108" s="3">
        <v>1.2952239690679899E-2</v>
      </c>
      <c r="M108" s="3">
        <v>1.01444480154493E-2</v>
      </c>
      <c r="N108" s="3">
        <v>2.1974802226779899E-2</v>
      </c>
      <c r="O108" s="3">
        <v>1.44047688106445E-2</v>
      </c>
      <c r="P108">
        <f t="shared" si="33"/>
        <v>0</v>
      </c>
      <c r="Q108">
        <f t="shared" si="34"/>
        <v>1</v>
      </c>
      <c r="R108">
        <f t="shared" si="35"/>
        <v>0</v>
      </c>
      <c r="S108">
        <f t="shared" si="36"/>
        <v>0</v>
      </c>
      <c r="T108">
        <f t="shared" si="37"/>
        <v>0</v>
      </c>
      <c r="U108">
        <f t="shared" si="38"/>
        <v>0</v>
      </c>
      <c r="V108">
        <f t="shared" si="39"/>
        <v>0</v>
      </c>
      <c r="W108">
        <f t="shared" si="40"/>
        <v>0</v>
      </c>
      <c r="X108">
        <f t="shared" si="41"/>
        <v>0</v>
      </c>
      <c r="Y108">
        <f t="shared" si="42"/>
        <v>0</v>
      </c>
      <c r="Z108">
        <f t="shared" si="43"/>
        <v>0</v>
      </c>
      <c r="AA108">
        <f t="shared" si="44"/>
        <v>0</v>
      </c>
      <c r="AB108">
        <f t="shared" si="27"/>
        <v>0</v>
      </c>
      <c r="AC108">
        <f t="shared" si="28"/>
        <v>0</v>
      </c>
      <c r="AD108">
        <f t="shared" si="29"/>
        <v>0</v>
      </c>
      <c r="AE108">
        <f t="shared" si="30"/>
        <v>0</v>
      </c>
      <c r="AF108">
        <f t="shared" si="31"/>
        <v>0</v>
      </c>
      <c r="AG108">
        <f t="shared" si="32"/>
        <v>1</v>
      </c>
      <c r="AH108">
        <f t="shared" si="45"/>
        <v>0</v>
      </c>
      <c r="AI108">
        <f t="shared" si="51"/>
        <v>0</v>
      </c>
      <c r="AJ108">
        <f t="shared" si="51"/>
        <v>0</v>
      </c>
      <c r="AK108">
        <f t="shared" si="51"/>
        <v>0</v>
      </c>
      <c r="AL108">
        <f t="shared" si="51"/>
        <v>0</v>
      </c>
      <c r="AM108">
        <f t="shared" si="51"/>
        <v>0</v>
      </c>
      <c r="AN108">
        <f t="shared" si="51"/>
        <v>0</v>
      </c>
      <c r="AO108">
        <f t="shared" si="51"/>
        <v>1</v>
      </c>
      <c r="AP108">
        <f t="shared" si="51"/>
        <v>0</v>
      </c>
      <c r="AQ108">
        <f t="shared" si="51"/>
        <v>0</v>
      </c>
      <c r="AR108">
        <f t="shared" si="51"/>
        <v>0</v>
      </c>
      <c r="AS108">
        <f t="shared" si="51"/>
        <v>0</v>
      </c>
      <c r="AT108">
        <f t="shared" si="51"/>
        <v>0</v>
      </c>
      <c r="AU108">
        <f t="shared" si="51"/>
        <v>0</v>
      </c>
      <c r="AV108">
        <f t="shared" si="51"/>
        <v>0</v>
      </c>
      <c r="AW108">
        <f t="shared" si="51"/>
        <v>0</v>
      </c>
      <c r="AX108">
        <f t="shared" si="46"/>
        <v>1</v>
      </c>
      <c r="AY108">
        <f t="shared" si="46"/>
        <v>0</v>
      </c>
      <c r="AZ108">
        <f t="shared" si="46"/>
        <v>0</v>
      </c>
      <c r="BA108">
        <f t="shared" si="47"/>
        <v>1</v>
      </c>
      <c r="BB108">
        <f t="shared" si="48"/>
        <v>0</v>
      </c>
    </row>
    <row r="109" spans="1:54">
      <c r="A109">
        <v>106</v>
      </c>
      <c r="B109" t="s">
        <v>20</v>
      </c>
      <c r="C109" t="s">
        <v>21</v>
      </c>
      <c r="D109" t="s">
        <v>25</v>
      </c>
      <c r="E109" t="s">
        <v>20</v>
      </c>
      <c r="F109" t="s">
        <v>28</v>
      </c>
      <c r="G109" t="s">
        <v>24</v>
      </c>
      <c r="H109" s="3">
        <v>0.65643013164613395</v>
      </c>
      <c r="I109" s="3">
        <v>0.62324971257332595</v>
      </c>
      <c r="J109" s="3">
        <v>0.53956163851785999</v>
      </c>
      <c r="K109" s="3">
        <v>0.53926776887379502</v>
      </c>
      <c r="L109" s="3">
        <v>0.396636106424405</v>
      </c>
      <c r="M109" s="3">
        <v>0.29606204161813199</v>
      </c>
      <c r="N109" s="3">
        <v>0.75357198255803903</v>
      </c>
      <c r="O109" s="3">
        <v>0.41869060708283101</v>
      </c>
      <c r="P109">
        <f t="shared" si="33"/>
        <v>0</v>
      </c>
      <c r="Q109">
        <f t="shared" si="34"/>
        <v>0</v>
      </c>
      <c r="R109">
        <f t="shared" si="35"/>
        <v>1</v>
      </c>
      <c r="S109">
        <f t="shared" si="36"/>
        <v>0</v>
      </c>
      <c r="T109">
        <f t="shared" si="37"/>
        <v>0</v>
      </c>
      <c r="U109">
        <f t="shared" si="38"/>
        <v>0</v>
      </c>
      <c r="V109">
        <f t="shared" si="39"/>
        <v>0</v>
      </c>
      <c r="W109">
        <f t="shared" si="40"/>
        <v>0</v>
      </c>
      <c r="X109">
        <f t="shared" si="41"/>
        <v>0</v>
      </c>
      <c r="Y109">
        <f t="shared" si="42"/>
        <v>0</v>
      </c>
      <c r="Z109">
        <f t="shared" si="43"/>
        <v>0</v>
      </c>
      <c r="AA109">
        <f t="shared" si="44"/>
        <v>0</v>
      </c>
      <c r="AB109">
        <f t="shared" si="27"/>
        <v>0</v>
      </c>
      <c r="AC109">
        <f t="shared" si="28"/>
        <v>0</v>
      </c>
      <c r="AD109">
        <f t="shared" si="29"/>
        <v>0</v>
      </c>
      <c r="AE109">
        <f t="shared" si="30"/>
        <v>0</v>
      </c>
      <c r="AF109">
        <f t="shared" si="31"/>
        <v>0</v>
      </c>
      <c r="AG109">
        <f t="shared" si="32"/>
        <v>1</v>
      </c>
      <c r="AH109">
        <f t="shared" si="45"/>
        <v>0</v>
      </c>
      <c r="AI109">
        <f t="shared" si="51"/>
        <v>0</v>
      </c>
      <c r="AJ109">
        <f t="shared" si="51"/>
        <v>0</v>
      </c>
      <c r="AK109">
        <f t="shared" si="51"/>
        <v>0</v>
      </c>
      <c r="AL109">
        <f t="shared" si="51"/>
        <v>0</v>
      </c>
      <c r="AM109">
        <f t="shared" si="51"/>
        <v>0</v>
      </c>
      <c r="AN109">
        <f t="shared" si="51"/>
        <v>0</v>
      </c>
      <c r="AO109">
        <f t="shared" si="51"/>
        <v>0</v>
      </c>
      <c r="AP109">
        <f t="shared" si="51"/>
        <v>1</v>
      </c>
      <c r="AQ109">
        <f t="shared" si="51"/>
        <v>0</v>
      </c>
      <c r="AR109">
        <f t="shared" si="51"/>
        <v>0</v>
      </c>
      <c r="AS109">
        <f t="shared" si="51"/>
        <v>0</v>
      </c>
      <c r="AT109">
        <f t="shared" si="51"/>
        <v>0</v>
      </c>
      <c r="AU109">
        <f t="shared" si="51"/>
        <v>0</v>
      </c>
      <c r="AV109">
        <f t="shared" si="51"/>
        <v>0</v>
      </c>
      <c r="AW109">
        <f t="shared" si="51"/>
        <v>0</v>
      </c>
      <c r="AX109">
        <f t="shared" si="46"/>
        <v>1</v>
      </c>
      <c r="AY109">
        <f t="shared" si="46"/>
        <v>0</v>
      </c>
      <c r="AZ109">
        <f t="shared" si="46"/>
        <v>0</v>
      </c>
      <c r="BA109">
        <f t="shared" si="47"/>
        <v>1</v>
      </c>
      <c r="BB109">
        <f t="shared" si="48"/>
        <v>0</v>
      </c>
    </row>
    <row r="110" spans="1:54">
      <c r="A110">
        <v>107</v>
      </c>
      <c r="B110" t="s">
        <v>20</v>
      </c>
      <c r="C110" t="s">
        <v>21</v>
      </c>
      <c r="D110" t="s">
        <v>25</v>
      </c>
      <c r="E110" t="s">
        <v>20</v>
      </c>
      <c r="F110" t="s">
        <v>28</v>
      </c>
      <c r="G110" t="s">
        <v>25</v>
      </c>
      <c r="H110" s="3">
        <v>0.82340748494048999</v>
      </c>
      <c r="I110" s="3">
        <v>0.848179057970329</v>
      </c>
      <c r="J110" s="3">
        <v>0.69929327708208799</v>
      </c>
      <c r="K110" s="3">
        <v>0.76271048475279302</v>
      </c>
      <c r="L110" s="3">
        <v>0.69034960173194204</v>
      </c>
      <c r="M110" s="3">
        <v>0.58727463665455504</v>
      </c>
      <c r="N110" s="3">
        <v>0.96821265182641303</v>
      </c>
      <c r="O110" s="3">
        <v>0.61929892801431596</v>
      </c>
      <c r="P110">
        <f t="shared" si="33"/>
        <v>0</v>
      </c>
      <c r="Q110">
        <f t="shared" si="34"/>
        <v>0</v>
      </c>
      <c r="R110">
        <f t="shared" si="35"/>
        <v>0</v>
      </c>
      <c r="S110">
        <f t="shared" si="36"/>
        <v>0</v>
      </c>
      <c r="T110">
        <f t="shared" si="37"/>
        <v>0</v>
      </c>
      <c r="U110">
        <f t="shared" si="38"/>
        <v>0</v>
      </c>
      <c r="V110">
        <f t="shared" si="39"/>
        <v>0</v>
      </c>
      <c r="W110">
        <f t="shared" si="40"/>
        <v>0</v>
      </c>
      <c r="X110">
        <f t="shared" si="41"/>
        <v>0</v>
      </c>
      <c r="Y110">
        <f t="shared" si="42"/>
        <v>0</v>
      </c>
      <c r="Z110">
        <f t="shared" si="43"/>
        <v>0</v>
      </c>
      <c r="AA110">
        <f t="shared" si="44"/>
        <v>0</v>
      </c>
      <c r="AB110">
        <f t="shared" si="27"/>
        <v>0</v>
      </c>
      <c r="AC110">
        <f t="shared" si="28"/>
        <v>0</v>
      </c>
      <c r="AD110">
        <f t="shared" si="29"/>
        <v>0</v>
      </c>
      <c r="AE110">
        <f t="shared" si="30"/>
        <v>1</v>
      </c>
      <c r="AF110">
        <f t="shared" si="31"/>
        <v>0</v>
      </c>
      <c r="AG110">
        <f t="shared" si="32"/>
        <v>1</v>
      </c>
      <c r="AH110">
        <f t="shared" si="45"/>
        <v>1</v>
      </c>
      <c r="AI110">
        <f t="shared" si="51"/>
        <v>0</v>
      </c>
      <c r="AJ110">
        <f t="shared" si="51"/>
        <v>0</v>
      </c>
      <c r="AK110">
        <f t="shared" si="51"/>
        <v>0</v>
      </c>
      <c r="AL110">
        <f t="shared" si="51"/>
        <v>0</v>
      </c>
      <c r="AM110">
        <f t="shared" si="51"/>
        <v>0</v>
      </c>
      <c r="AN110">
        <f t="shared" si="51"/>
        <v>0</v>
      </c>
      <c r="AO110">
        <f t="shared" si="51"/>
        <v>0</v>
      </c>
      <c r="AP110">
        <f t="shared" si="51"/>
        <v>0</v>
      </c>
      <c r="AQ110">
        <f t="shared" si="51"/>
        <v>0</v>
      </c>
      <c r="AR110">
        <f t="shared" si="51"/>
        <v>0</v>
      </c>
      <c r="AS110">
        <f t="shared" si="51"/>
        <v>0</v>
      </c>
      <c r="AT110">
        <f t="shared" si="51"/>
        <v>0</v>
      </c>
      <c r="AU110">
        <f t="shared" si="51"/>
        <v>0</v>
      </c>
      <c r="AV110">
        <f t="shared" si="51"/>
        <v>0</v>
      </c>
      <c r="AW110">
        <f t="shared" si="51"/>
        <v>0</v>
      </c>
      <c r="AX110">
        <f t="shared" si="46"/>
        <v>1</v>
      </c>
      <c r="AY110">
        <f t="shared" si="46"/>
        <v>0</v>
      </c>
      <c r="AZ110">
        <f t="shared" si="46"/>
        <v>0</v>
      </c>
      <c r="BA110">
        <f t="shared" si="47"/>
        <v>0</v>
      </c>
      <c r="BB110">
        <f t="shared" si="48"/>
        <v>0</v>
      </c>
    </row>
    <row r="111" spans="1:54">
      <c r="A111">
        <v>108</v>
      </c>
      <c r="B111" t="s">
        <v>20</v>
      </c>
      <c r="C111" t="s">
        <v>21</v>
      </c>
      <c r="D111" t="s">
        <v>25</v>
      </c>
      <c r="E111" t="s">
        <v>20</v>
      </c>
      <c r="F111" t="s">
        <v>28</v>
      </c>
      <c r="G111" t="s">
        <v>26</v>
      </c>
      <c r="H111" s="3">
        <v>0.81498955559905095</v>
      </c>
      <c r="I111" s="3">
        <v>0.84021541277468004</v>
      </c>
      <c r="J111" s="3">
        <v>0.69089306322878596</v>
      </c>
      <c r="K111" s="3">
        <v>0.75474660187249598</v>
      </c>
      <c r="L111" s="3">
        <v>0.67715421942694498</v>
      </c>
      <c r="M111" s="3">
        <v>0.57419277799645596</v>
      </c>
      <c r="N111" s="3">
        <v>0.95366487818303403</v>
      </c>
      <c r="O111" s="3">
        <v>0.60898143095044199</v>
      </c>
      <c r="P111">
        <f t="shared" si="33"/>
        <v>0</v>
      </c>
      <c r="Q111">
        <f t="shared" si="34"/>
        <v>0</v>
      </c>
      <c r="R111">
        <f t="shared" si="35"/>
        <v>0</v>
      </c>
      <c r="S111">
        <f t="shared" si="36"/>
        <v>0</v>
      </c>
      <c r="T111">
        <f t="shared" si="37"/>
        <v>0</v>
      </c>
      <c r="U111">
        <f t="shared" si="38"/>
        <v>0</v>
      </c>
      <c r="V111">
        <f t="shared" si="39"/>
        <v>0</v>
      </c>
      <c r="W111">
        <f t="shared" si="40"/>
        <v>0</v>
      </c>
      <c r="X111">
        <f t="shared" si="41"/>
        <v>0</v>
      </c>
      <c r="Y111">
        <f t="shared" si="42"/>
        <v>0</v>
      </c>
      <c r="Z111">
        <f t="shared" si="43"/>
        <v>0</v>
      </c>
      <c r="AA111">
        <f t="shared" si="44"/>
        <v>0</v>
      </c>
      <c r="AB111">
        <f t="shared" si="27"/>
        <v>0</v>
      </c>
      <c r="AC111">
        <f t="shared" si="28"/>
        <v>0</v>
      </c>
      <c r="AD111">
        <f t="shared" si="29"/>
        <v>0</v>
      </c>
      <c r="AE111">
        <f t="shared" si="30"/>
        <v>1</v>
      </c>
      <c r="AF111">
        <f t="shared" si="31"/>
        <v>0</v>
      </c>
      <c r="AG111">
        <f t="shared" si="32"/>
        <v>1</v>
      </c>
      <c r="AH111">
        <f t="shared" si="45"/>
        <v>1</v>
      </c>
      <c r="AI111">
        <f t="shared" si="51"/>
        <v>1</v>
      </c>
      <c r="AJ111">
        <f t="shared" si="51"/>
        <v>0</v>
      </c>
      <c r="AK111">
        <f t="shared" si="51"/>
        <v>0</v>
      </c>
      <c r="AL111">
        <f t="shared" si="51"/>
        <v>0</v>
      </c>
      <c r="AM111">
        <f t="shared" si="51"/>
        <v>0</v>
      </c>
      <c r="AN111">
        <f t="shared" si="51"/>
        <v>0</v>
      </c>
      <c r="AO111">
        <f t="shared" si="51"/>
        <v>0</v>
      </c>
      <c r="AP111">
        <f t="shared" si="51"/>
        <v>0</v>
      </c>
      <c r="AQ111">
        <f t="shared" si="51"/>
        <v>0</v>
      </c>
      <c r="AR111">
        <f t="shared" si="51"/>
        <v>0</v>
      </c>
      <c r="AS111">
        <f t="shared" si="51"/>
        <v>0</v>
      </c>
      <c r="AT111">
        <f t="shared" si="51"/>
        <v>0</v>
      </c>
      <c r="AU111">
        <f t="shared" si="51"/>
        <v>0</v>
      </c>
      <c r="AV111">
        <f t="shared" si="51"/>
        <v>0</v>
      </c>
      <c r="AW111">
        <f t="shared" si="51"/>
        <v>0</v>
      </c>
      <c r="AX111">
        <f t="shared" si="46"/>
        <v>1</v>
      </c>
      <c r="AY111">
        <f t="shared" si="46"/>
        <v>0</v>
      </c>
      <c r="AZ111">
        <f t="shared" si="46"/>
        <v>0</v>
      </c>
      <c r="BA111">
        <f t="shared" si="47"/>
        <v>1</v>
      </c>
      <c r="BB111">
        <f t="shared" si="48"/>
        <v>0</v>
      </c>
    </row>
    <row r="112" spans="1:54">
      <c r="A112">
        <v>109</v>
      </c>
      <c r="B112" t="s">
        <v>20</v>
      </c>
      <c r="C112" t="s">
        <v>21</v>
      </c>
      <c r="D112" t="s">
        <v>25</v>
      </c>
      <c r="E112" t="s">
        <v>20</v>
      </c>
      <c r="F112" t="s">
        <v>28</v>
      </c>
      <c r="G112" t="s">
        <v>27</v>
      </c>
      <c r="H112" s="3">
        <v>0.18185630330991401</v>
      </c>
      <c r="I112" s="3">
        <v>0.17958376774041801</v>
      </c>
      <c r="J112" s="3">
        <v>0.15237208639782701</v>
      </c>
      <c r="K112" s="3">
        <v>0.161504663721356</v>
      </c>
      <c r="L112" s="3">
        <v>0.115781327861675</v>
      </c>
      <c r="M112" s="3">
        <v>8.9975224986014707E-2</v>
      </c>
      <c r="N112" s="3">
        <v>0.20539115147963599</v>
      </c>
      <c r="O112" s="3">
        <v>0.12302319499509901</v>
      </c>
      <c r="P112">
        <f t="shared" si="33"/>
        <v>0</v>
      </c>
      <c r="Q112">
        <f t="shared" si="34"/>
        <v>0</v>
      </c>
      <c r="R112">
        <f t="shared" si="35"/>
        <v>0</v>
      </c>
      <c r="S112">
        <f t="shared" si="36"/>
        <v>1</v>
      </c>
      <c r="T112">
        <f t="shared" si="37"/>
        <v>0</v>
      </c>
      <c r="U112">
        <f t="shared" si="38"/>
        <v>0</v>
      </c>
      <c r="V112">
        <f t="shared" si="39"/>
        <v>0</v>
      </c>
      <c r="W112">
        <f t="shared" si="40"/>
        <v>0</v>
      </c>
      <c r="X112">
        <f t="shared" si="41"/>
        <v>0</v>
      </c>
      <c r="Y112">
        <f t="shared" si="42"/>
        <v>0</v>
      </c>
      <c r="Z112">
        <f t="shared" si="43"/>
        <v>0</v>
      </c>
      <c r="AA112">
        <f t="shared" si="44"/>
        <v>0</v>
      </c>
      <c r="AB112">
        <f t="shared" si="27"/>
        <v>0</v>
      </c>
      <c r="AC112">
        <f t="shared" si="28"/>
        <v>0</v>
      </c>
      <c r="AD112">
        <f t="shared" si="29"/>
        <v>0</v>
      </c>
      <c r="AE112">
        <f t="shared" si="30"/>
        <v>0</v>
      </c>
      <c r="AF112">
        <f t="shared" si="31"/>
        <v>0</v>
      </c>
      <c r="AG112">
        <f t="shared" si="32"/>
        <v>1</v>
      </c>
      <c r="AH112">
        <f t="shared" si="45"/>
        <v>0</v>
      </c>
      <c r="AI112">
        <f t="shared" si="51"/>
        <v>0</v>
      </c>
      <c r="AJ112">
        <f t="shared" si="51"/>
        <v>0</v>
      </c>
      <c r="AK112">
        <f t="shared" si="51"/>
        <v>0</v>
      </c>
      <c r="AL112">
        <f t="shared" si="51"/>
        <v>0</v>
      </c>
      <c r="AM112">
        <f t="shared" si="51"/>
        <v>0</v>
      </c>
      <c r="AN112">
        <f t="shared" si="51"/>
        <v>0</v>
      </c>
      <c r="AO112">
        <f t="shared" si="51"/>
        <v>0</v>
      </c>
      <c r="AP112">
        <f t="shared" si="51"/>
        <v>0</v>
      </c>
      <c r="AQ112">
        <f t="shared" si="51"/>
        <v>1</v>
      </c>
      <c r="AR112">
        <f t="shared" si="51"/>
        <v>0</v>
      </c>
      <c r="AS112">
        <f t="shared" si="51"/>
        <v>0</v>
      </c>
      <c r="AT112">
        <f t="shared" si="51"/>
        <v>0</v>
      </c>
      <c r="AU112">
        <f t="shared" si="51"/>
        <v>0</v>
      </c>
      <c r="AV112">
        <f t="shared" si="51"/>
        <v>0</v>
      </c>
      <c r="AW112">
        <f t="shared" si="51"/>
        <v>0</v>
      </c>
      <c r="AX112">
        <f t="shared" si="46"/>
        <v>1</v>
      </c>
      <c r="AY112">
        <f t="shared" si="46"/>
        <v>0</v>
      </c>
      <c r="AZ112">
        <f t="shared" si="46"/>
        <v>0</v>
      </c>
      <c r="BA112">
        <f t="shared" si="47"/>
        <v>1</v>
      </c>
      <c r="BB112">
        <f t="shared" si="48"/>
        <v>0</v>
      </c>
    </row>
    <row r="113" spans="1:54">
      <c r="A113">
        <v>110</v>
      </c>
      <c r="B113" t="s">
        <v>20</v>
      </c>
      <c r="C113" t="s">
        <v>21</v>
      </c>
      <c r="D113" t="s">
        <v>25</v>
      </c>
      <c r="E113" t="s">
        <v>20</v>
      </c>
      <c r="F113" t="s">
        <v>29</v>
      </c>
      <c r="G113" t="s">
        <v>22</v>
      </c>
      <c r="H113" s="3">
        <v>0.55487681482811002</v>
      </c>
      <c r="I113" s="3">
        <v>0.53668101119990597</v>
      </c>
      <c r="J113" s="3">
        <v>0.46194778313011903</v>
      </c>
      <c r="K113" s="3">
        <v>0.48173429587037497</v>
      </c>
      <c r="L113" s="3">
        <v>0.35082661618476202</v>
      </c>
      <c r="M113" s="3">
        <v>0.26874616202030199</v>
      </c>
      <c r="N113" s="3">
        <v>0.61470846762379105</v>
      </c>
      <c r="O113" s="3">
        <v>0.37360447683228898</v>
      </c>
      <c r="P113">
        <f t="shared" si="33"/>
        <v>0</v>
      </c>
      <c r="Q113">
        <f t="shared" si="34"/>
        <v>0</v>
      </c>
      <c r="R113">
        <f t="shared" si="35"/>
        <v>0</v>
      </c>
      <c r="S113">
        <f t="shared" si="36"/>
        <v>0</v>
      </c>
      <c r="T113">
        <f t="shared" si="37"/>
        <v>0</v>
      </c>
      <c r="U113">
        <f t="shared" si="38"/>
        <v>0</v>
      </c>
      <c r="V113">
        <f t="shared" si="39"/>
        <v>0</v>
      </c>
      <c r="W113">
        <f t="shared" si="40"/>
        <v>0</v>
      </c>
      <c r="X113">
        <f t="shared" si="41"/>
        <v>1</v>
      </c>
      <c r="Y113">
        <f t="shared" si="42"/>
        <v>0</v>
      </c>
      <c r="Z113">
        <f t="shared" si="43"/>
        <v>0</v>
      </c>
      <c r="AA113">
        <f t="shared" si="44"/>
        <v>0</v>
      </c>
      <c r="AB113">
        <f t="shared" si="27"/>
        <v>0</v>
      </c>
      <c r="AC113">
        <f t="shared" si="28"/>
        <v>0</v>
      </c>
      <c r="AD113">
        <f t="shared" si="29"/>
        <v>0</v>
      </c>
      <c r="AE113">
        <f t="shared" si="30"/>
        <v>0</v>
      </c>
      <c r="AF113">
        <f t="shared" si="31"/>
        <v>0</v>
      </c>
      <c r="AG113">
        <f t="shared" si="32"/>
        <v>1</v>
      </c>
      <c r="AH113">
        <f t="shared" si="45"/>
        <v>0</v>
      </c>
      <c r="AI113">
        <f t="shared" si="51"/>
        <v>0</v>
      </c>
      <c r="AJ113">
        <f t="shared" si="51"/>
        <v>0</v>
      </c>
      <c r="AK113">
        <f t="shared" si="51"/>
        <v>0</v>
      </c>
      <c r="AL113">
        <f t="shared" si="51"/>
        <v>0</v>
      </c>
      <c r="AM113">
        <f t="shared" si="51"/>
        <v>0</v>
      </c>
      <c r="AN113">
        <f t="shared" si="51"/>
        <v>1</v>
      </c>
      <c r="AO113">
        <f t="shared" si="51"/>
        <v>0</v>
      </c>
      <c r="AP113">
        <f t="shared" si="51"/>
        <v>0</v>
      </c>
      <c r="AQ113">
        <f t="shared" si="51"/>
        <v>0</v>
      </c>
      <c r="AR113">
        <f t="shared" si="51"/>
        <v>0</v>
      </c>
      <c r="AS113">
        <f t="shared" si="51"/>
        <v>0</v>
      </c>
      <c r="AT113">
        <f t="shared" si="51"/>
        <v>0</v>
      </c>
      <c r="AU113">
        <f t="shared" si="51"/>
        <v>0</v>
      </c>
      <c r="AV113">
        <f t="shared" si="51"/>
        <v>0</v>
      </c>
      <c r="AW113">
        <f t="shared" si="51"/>
        <v>0</v>
      </c>
      <c r="AX113">
        <f t="shared" si="46"/>
        <v>0</v>
      </c>
      <c r="AY113">
        <f t="shared" si="46"/>
        <v>0</v>
      </c>
      <c r="AZ113">
        <f t="shared" si="46"/>
        <v>1</v>
      </c>
      <c r="BA113">
        <f t="shared" si="47"/>
        <v>1</v>
      </c>
      <c r="BB113">
        <f t="shared" si="48"/>
        <v>1</v>
      </c>
    </row>
    <row r="114" spans="1:54">
      <c r="A114">
        <v>111</v>
      </c>
      <c r="B114" t="s">
        <v>20</v>
      </c>
      <c r="C114" t="s">
        <v>21</v>
      </c>
      <c r="D114" t="s">
        <v>25</v>
      </c>
      <c r="E114" t="s">
        <v>20</v>
      </c>
      <c r="F114" t="s">
        <v>29</v>
      </c>
      <c r="G114" t="s">
        <v>23</v>
      </c>
      <c r="H114" s="3">
        <v>2.9927990075483E-2</v>
      </c>
      <c r="I114" s="3">
        <v>2.8930207056121302E-2</v>
      </c>
      <c r="J114" s="3">
        <v>2.5530273509662998E-2</v>
      </c>
      <c r="K114" s="3">
        <v>2.6271387253048301E-2</v>
      </c>
      <c r="L114" s="3">
        <v>1.9315330394399699E-2</v>
      </c>
      <c r="M114" s="3">
        <v>1.5035888362539499E-2</v>
      </c>
      <c r="N114" s="3">
        <v>3.25227072956343E-2</v>
      </c>
      <c r="O114" s="3">
        <v>2.1031742488560799E-2</v>
      </c>
      <c r="P114">
        <f t="shared" si="33"/>
        <v>0</v>
      </c>
      <c r="Q114">
        <f t="shared" si="34"/>
        <v>0</v>
      </c>
      <c r="R114">
        <f t="shared" si="35"/>
        <v>0</v>
      </c>
      <c r="S114">
        <f t="shared" si="36"/>
        <v>0</v>
      </c>
      <c r="T114">
        <f t="shared" si="37"/>
        <v>0</v>
      </c>
      <c r="U114">
        <f t="shared" si="38"/>
        <v>0</v>
      </c>
      <c r="V114">
        <f t="shared" si="39"/>
        <v>0</v>
      </c>
      <c r="W114">
        <f t="shared" si="40"/>
        <v>0</v>
      </c>
      <c r="X114">
        <f t="shared" si="41"/>
        <v>0</v>
      </c>
      <c r="Y114">
        <f t="shared" si="42"/>
        <v>1</v>
      </c>
      <c r="Z114">
        <f t="shared" si="43"/>
        <v>0</v>
      </c>
      <c r="AA114">
        <f t="shared" si="44"/>
        <v>0</v>
      </c>
      <c r="AB114">
        <f t="shared" si="27"/>
        <v>0</v>
      </c>
      <c r="AC114">
        <f t="shared" si="28"/>
        <v>0</v>
      </c>
      <c r="AD114">
        <f t="shared" si="29"/>
        <v>0</v>
      </c>
      <c r="AE114">
        <f t="shared" si="30"/>
        <v>0</v>
      </c>
      <c r="AF114">
        <f t="shared" si="31"/>
        <v>0</v>
      </c>
      <c r="AG114">
        <f t="shared" si="32"/>
        <v>1</v>
      </c>
      <c r="AH114">
        <f t="shared" si="45"/>
        <v>0</v>
      </c>
      <c r="AI114">
        <f t="shared" si="51"/>
        <v>0</v>
      </c>
      <c r="AJ114">
        <f t="shared" si="51"/>
        <v>0</v>
      </c>
      <c r="AK114">
        <f t="shared" si="51"/>
        <v>0</v>
      </c>
      <c r="AL114">
        <f t="shared" si="51"/>
        <v>0</v>
      </c>
      <c r="AM114">
        <f t="shared" si="51"/>
        <v>0</v>
      </c>
      <c r="AN114">
        <f t="shared" si="51"/>
        <v>0</v>
      </c>
      <c r="AO114">
        <f t="shared" si="51"/>
        <v>1</v>
      </c>
      <c r="AP114">
        <f t="shared" si="51"/>
        <v>0</v>
      </c>
      <c r="AQ114">
        <f t="shared" si="51"/>
        <v>0</v>
      </c>
      <c r="AR114">
        <f t="shared" si="51"/>
        <v>0</v>
      </c>
      <c r="AS114">
        <f t="shared" si="51"/>
        <v>0</v>
      </c>
      <c r="AT114">
        <f t="shared" si="51"/>
        <v>0</v>
      </c>
      <c r="AU114">
        <f t="shared" si="51"/>
        <v>0</v>
      </c>
      <c r="AV114">
        <f t="shared" si="51"/>
        <v>0</v>
      </c>
      <c r="AW114">
        <f t="shared" si="51"/>
        <v>0</v>
      </c>
      <c r="AX114">
        <f t="shared" si="46"/>
        <v>0</v>
      </c>
      <c r="AY114">
        <f t="shared" si="46"/>
        <v>0</v>
      </c>
      <c r="AZ114">
        <f t="shared" si="46"/>
        <v>1</v>
      </c>
      <c r="BA114">
        <f t="shared" si="47"/>
        <v>1</v>
      </c>
      <c r="BB114">
        <f t="shared" si="48"/>
        <v>1</v>
      </c>
    </row>
    <row r="115" spans="1:54">
      <c r="A115">
        <v>112</v>
      </c>
      <c r="B115" t="s">
        <v>20</v>
      </c>
      <c r="C115" t="s">
        <v>21</v>
      </c>
      <c r="D115" t="s">
        <v>25</v>
      </c>
      <c r="E115" t="s">
        <v>20</v>
      </c>
      <c r="F115" t="s">
        <v>29</v>
      </c>
      <c r="G115" t="s">
        <v>24</v>
      </c>
      <c r="H115" s="3">
        <v>0.59924431961884805</v>
      </c>
      <c r="I115" s="3">
        <v>0.56922809829605603</v>
      </c>
      <c r="J115" s="3">
        <v>0.49112070086833698</v>
      </c>
      <c r="K115" s="3">
        <v>0.49420682746732802</v>
      </c>
      <c r="L115" s="3">
        <v>0.35556877296967498</v>
      </c>
      <c r="M115" s="3">
        <v>0.26160665284248602</v>
      </c>
      <c r="N115" s="3">
        <v>0.68149854833124601</v>
      </c>
      <c r="O115" s="3">
        <v>0.38042881016912899</v>
      </c>
      <c r="P115">
        <f t="shared" si="33"/>
        <v>0</v>
      </c>
      <c r="Q115">
        <f t="shared" si="34"/>
        <v>0</v>
      </c>
      <c r="R115">
        <f t="shared" si="35"/>
        <v>0</v>
      </c>
      <c r="S115">
        <f t="shared" si="36"/>
        <v>0</v>
      </c>
      <c r="T115">
        <f t="shared" si="37"/>
        <v>0</v>
      </c>
      <c r="U115">
        <f t="shared" si="38"/>
        <v>0</v>
      </c>
      <c r="V115">
        <f t="shared" si="39"/>
        <v>0</v>
      </c>
      <c r="W115">
        <f t="shared" si="40"/>
        <v>0</v>
      </c>
      <c r="X115">
        <f t="shared" si="41"/>
        <v>0</v>
      </c>
      <c r="Y115">
        <f t="shared" si="42"/>
        <v>0</v>
      </c>
      <c r="Z115">
        <f t="shared" si="43"/>
        <v>0</v>
      </c>
      <c r="AA115">
        <f t="shared" si="44"/>
        <v>1</v>
      </c>
      <c r="AB115">
        <f t="shared" si="27"/>
        <v>0</v>
      </c>
      <c r="AC115">
        <f t="shared" si="28"/>
        <v>0</v>
      </c>
      <c r="AD115">
        <f t="shared" si="29"/>
        <v>0</v>
      </c>
      <c r="AE115">
        <f t="shared" si="30"/>
        <v>0</v>
      </c>
      <c r="AF115">
        <f t="shared" si="31"/>
        <v>0</v>
      </c>
      <c r="AG115">
        <f t="shared" si="32"/>
        <v>1</v>
      </c>
      <c r="AH115">
        <f t="shared" si="45"/>
        <v>0</v>
      </c>
      <c r="AI115">
        <f t="shared" si="51"/>
        <v>0</v>
      </c>
      <c r="AJ115">
        <f t="shared" si="51"/>
        <v>0</v>
      </c>
      <c r="AK115">
        <f t="shared" si="51"/>
        <v>0</v>
      </c>
      <c r="AL115">
        <f t="shared" si="51"/>
        <v>0</v>
      </c>
      <c r="AM115">
        <f t="shared" si="51"/>
        <v>0</v>
      </c>
      <c r="AN115">
        <f t="shared" si="51"/>
        <v>0</v>
      </c>
      <c r="AO115">
        <f t="shared" si="51"/>
        <v>0</v>
      </c>
      <c r="AP115">
        <f t="shared" si="51"/>
        <v>1</v>
      </c>
      <c r="AQ115">
        <f t="shared" si="51"/>
        <v>0</v>
      </c>
      <c r="AR115">
        <f t="shared" si="51"/>
        <v>0</v>
      </c>
      <c r="AS115">
        <f t="shared" si="51"/>
        <v>0</v>
      </c>
      <c r="AT115">
        <f t="shared" si="51"/>
        <v>0</v>
      </c>
      <c r="AU115">
        <f t="shared" si="51"/>
        <v>0</v>
      </c>
      <c r="AV115">
        <f t="shared" si="51"/>
        <v>0</v>
      </c>
      <c r="AW115">
        <f t="shared" si="51"/>
        <v>0</v>
      </c>
      <c r="AX115">
        <f t="shared" si="46"/>
        <v>0</v>
      </c>
      <c r="AY115">
        <f t="shared" si="46"/>
        <v>0</v>
      </c>
      <c r="AZ115">
        <f t="shared" si="46"/>
        <v>1</v>
      </c>
      <c r="BA115">
        <f t="shared" si="47"/>
        <v>1</v>
      </c>
      <c r="BB115">
        <f t="shared" si="48"/>
        <v>1</v>
      </c>
    </row>
    <row r="116" spans="1:54">
      <c r="A116">
        <v>113</v>
      </c>
      <c r="B116" t="s">
        <v>20</v>
      </c>
      <c r="C116" t="s">
        <v>21</v>
      </c>
      <c r="D116" t="s">
        <v>25</v>
      </c>
      <c r="E116" t="s">
        <v>20</v>
      </c>
      <c r="F116" t="s">
        <v>29</v>
      </c>
      <c r="G116" t="s">
        <v>31</v>
      </c>
      <c r="H116" s="3">
        <v>3.6448547253451903E-2</v>
      </c>
      <c r="I116" s="3">
        <v>3.5238940003826102E-2</v>
      </c>
      <c r="J116" s="3">
        <v>3.12263890649268E-2</v>
      </c>
      <c r="K116" s="3">
        <v>3.2304053649204398E-2</v>
      </c>
      <c r="L116" s="3">
        <v>2.42807006858487E-2</v>
      </c>
      <c r="M116" s="3">
        <v>1.9406712401824601E-2</v>
      </c>
      <c r="N116" s="3">
        <v>3.9261646645180101E-2</v>
      </c>
      <c r="O116" s="3">
        <v>2.6184162002862801E-2</v>
      </c>
      <c r="P116">
        <f t="shared" si="33"/>
        <v>0</v>
      </c>
      <c r="Q116">
        <f t="shared" si="34"/>
        <v>0</v>
      </c>
      <c r="R116">
        <f t="shared" si="35"/>
        <v>0</v>
      </c>
      <c r="S116">
        <f t="shared" si="36"/>
        <v>0</v>
      </c>
      <c r="T116">
        <f t="shared" si="37"/>
        <v>0</v>
      </c>
      <c r="U116">
        <f t="shared" si="38"/>
        <v>0</v>
      </c>
      <c r="V116">
        <f t="shared" si="39"/>
        <v>0</v>
      </c>
      <c r="W116">
        <f t="shared" si="40"/>
        <v>0</v>
      </c>
      <c r="X116">
        <f t="shared" si="41"/>
        <v>0</v>
      </c>
      <c r="Y116">
        <f t="shared" si="42"/>
        <v>0</v>
      </c>
      <c r="Z116">
        <f t="shared" si="43"/>
        <v>1</v>
      </c>
      <c r="AA116">
        <f t="shared" si="44"/>
        <v>0</v>
      </c>
      <c r="AB116">
        <f t="shared" si="27"/>
        <v>0</v>
      </c>
      <c r="AC116">
        <f t="shared" si="28"/>
        <v>0</v>
      </c>
      <c r="AD116">
        <f t="shared" si="29"/>
        <v>0</v>
      </c>
      <c r="AE116">
        <f t="shared" si="30"/>
        <v>0</v>
      </c>
      <c r="AF116">
        <f t="shared" si="31"/>
        <v>0</v>
      </c>
      <c r="AG116">
        <f t="shared" si="32"/>
        <v>1</v>
      </c>
      <c r="AH116">
        <f t="shared" si="45"/>
        <v>0</v>
      </c>
      <c r="AI116">
        <f t="shared" si="51"/>
        <v>0</v>
      </c>
      <c r="AJ116">
        <f t="shared" si="51"/>
        <v>0</v>
      </c>
      <c r="AK116">
        <f t="shared" si="51"/>
        <v>0</v>
      </c>
      <c r="AL116">
        <f t="shared" si="51"/>
        <v>0</v>
      </c>
      <c r="AM116">
        <f t="shared" si="51"/>
        <v>0</v>
      </c>
      <c r="AN116">
        <f t="shared" si="51"/>
        <v>0</v>
      </c>
      <c r="AO116">
        <f t="shared" si="51"/>
        <v>0</v>
      </c>
      <c r="AP116">
        <f t="shared" si="51"/>
        <v>0</v>
      </c>
      <c r="AQ116">
        <f t="shared" si="51"/>
        <v>0</v>
      </c>
      <c r="AR116">
        <f t="shared" si="51"/>
        <v>0</v>
      </c>
      <c r="AS116">
        <f t="shared" si="51"/>
        <v>0</v>
      </c>
      <c r="AT116">
        <f t="shared" si="51"/>
        <v>0</v>
      </c>
      <c r="AU116">
        <f t="shared" si="51"/>
        <v>0</v>
      </c>
      <c r="AV116">
        <f t="shared" si="51"/>
        <v>0</v>
      </c>
      <c r="AW116">
        <f t="shared" si="51"/>
        <v>0</v>
      </c>
      <c r="AX116">
        <f t="shared" si="46"/>
        <v>0</v>
      </c>
      <c r="AY116">
        <f t="shared" si="46"/>
        <v>0</v>
      </c>
      <c r="AZ116">
        <f t="shared" si="46"/>
        <v>1</v>
      </c>
      <c r="BA116">
        <f t="shared" si="47"/>
        <v>0</v>
      </c>
      <c r="BB116">
        <f t="shared" si="48"/>
        <v>1</v>
      </c>
    </row>
    <row r="117" spans="1:54">
      <c r="A117">
        <v>114</v>
      </c>
      <c r="B117" t="s">
        <v>20</v>
      </c>
      <c r="C117" t="s">
        <v>21</v>
      </c>
      <c r="D117" t="s">
        <v>25</v>
      </c>
      <c r="E117" t="s">
        <v>20</v>
      </c>
      <c r="F117" t="s">
        <v>29</v>
      </c>
      <c r="G117" t="s">
        <v>25</v>
      </c>
      <c r="H117" s="3">
        <v>0.13731563674823799</v>
      </c>
      <c r="I117" s="3">
        <v>0.13528372714138401</v>
      </c>
      <c r="J117" s="3">
        <v>0.114873755018776</v>
      </c>
      <c r="K117" s="3">
        <v>0.124616235214476</v>
      </c>
      <c r="L117" s="3">
        <v>9.6344067893725696E-2</v>
      </c>
      <c r="M117" s="3">
        <v>8.0228436688752403E-2</v>
      </c>
      <c r="N117" s="3">
        <v>0.14990995739447399</v>
      </c>
      <c r="O117" s="3">
        <v>9.5430328208285606E-2</v>
      </c>
      <c r="P117">
        <f t="shared" si="33"/>
        <v>0</v>
      </c>
      <c r="Q117">
        <f t="shared" si="34"/>
        <v>0</v>
      </c>
      <c r="R117">
        <f t="shared" si="35"/>
        <v>0</v>
      </c>
      <c r="S117">
        <f t="shared" si="36"/>
        <v>0</v>
      </c>
      <c r="T117">
        <f t="shared" si="37"/>
        <v>0</v>
      </c>
      <c r="U117">
        <f t="shared" si="38"/>
        <v>0</v>
      </c>
      <c r="V117">
        <f t="shared" si="39"/>
        <v>0</v>
      </c>
      <c r="W117">
        <f t="shared" si="40"/>
        <v>0</v>
      </c>
      <c r="X117">
        <f t="shared" si="41"/>
        <v>0</v>
      </c>
      <c r="Y117">
        <f t="shared" si="42"/>
        <v>0</v>
      </c>
      <c r="Z117">
        <f t="shared" si="43"/>
        <v>0</v>
      </c>
      <c r="AA117">
        <f t="shared" si="44"/>
        <v>0</v>
      </c>
      <c r="AB117">
        <f t="shared" si="27"/>
        <v>0</v>
      </c>
      <c r="AC117">
        <f t="shared" si="28"/>
        <v>0</v>
      </c>
      <c r="AD117">
        <f t="shared" si="29"/>
        <v>0</v>
      </c>
      <c r="AE117">
        <f t="shared" si="30"/>
        <v>1</v>
      </c>
      <c r="AF117">
        <f t="shared" si="31"/>
        <v>0</v>
      </c>
      <c r="AG117">
        <f t="shared" si="32"/>
        <v>1</v>
      </c>
      <c r="AH117">
        <f t="shared" si="45"/>
        <v>1</v>
      </c>
      <c r="AI117">
        <f t="shared" si="51"/>
        <v>0</v>
      </c>
      <c r="AJ117">
        <f t="shared" si="51"/>
        <v>0</v>
      </c>
      <c r="AK117">
        <f t="shared" si="51"/>
        <v>0</v>
      </c>
      <c r="AL117">
        <f t="shared" si="51"/>
        <v>0</v>
      </c>
      <c r="AM117">
        <f t="shared" si="51"/>
        <v>0</v>
      </c>
      <c r="AN117">
        <f t="shared" si="51"/>
        <v>0</v>
      </c>
      <c r="AO117">
        <f t="shared" si="51"/>
        <v>0</v>
      </c>
      <c r="AP117">
        <f t="shared" si="51"/>
        <v>0</v>
      </c>
      <c r="AQ117">
        <f t="shared" si="51"/>
        <v>0</v>
      </c>
      <c r="AR117">
        <f t="shared" si="51"/>
        <v>0</v>
      </c>
      <c r="AS117">
        <f t="shared" si="51"/>
        <v>0</v>
      </c>
      <c r="AT117">
        <f t="shared" si="51"/>
        <v>0</v>
      </c>
      <c r="AU117">
        <f t="shared" si="51"/>
        <v>0</v>
      </c>
      <c r="AV117">
        <f t="shared" si="51"/>
        <v>0</v>
      </c>
      <c r="AW117">
        <f t="shared" si="51"/>
        <v>0</v>
      </c>
      <c r="AX117">
        <f t="shared" si="46"/>
        <v>0</v>
      </c>
      <c r="AY117">
        <f t="shared" si="46"/>
        <v>0</v>
      </c>
      <c r="AZ117">
        <f t="shared" si="46"/>
        <v>1</v>
      </c>
      <c r="BA117">
        <f t="shared" si="47"/>
        <v>0</v>
      </c>
      <c r="BB117">
        <f t="shared" si="48"/>
        <v>1</v>
      </c>
    </row>
    <row r="118" spans="1:54">
      <c r="A118">
        <v>115</v>
      </c>
      <c r="B118" t="s">
        <v>20</v>
      </c>
      <c r="C118" t="s">
        <v>21</v>
      </c>
      <c r="D118" t="s">
        <v>25</v>
      </c>
      <c r="E118" t="s">
        <v>20</v>
      </c>
      <c r="F118" t="s">
        <v>29</v>
      </c>
      <c r="G118" t="s">
        <v>26</v>
      </c>
      <c r="H118" s="3">
        <v>0.14061777688250099</v>
      </c>
      <c r="I118" s="3">
        <v>0.138396225334117</v>
      </c>
      <c r="J118" s="3">
        <v>0.117671280752952</v>
      </c>
      <c r="K118" s="3">
        <v>0.12740362538203501</v>
      </c>
      <c r="L118" s="3">
        <v>9.8673766159218704E-2</v>
      </c>
      <c r="M118" s="3">
        <v>8.2145161669243003E-2</v>
      </c>
      <c r="N118" s="3">
        <v>0.15351745232097799</v>
      </c>
      <c r="O118" s="3">
        <v>9.7700386878856793E-2</v>
      </c>
      <c r="P118">
        <f t="shared" si="33"/>
        <v>0</v>
      </c>
      <c r="Q118">
        <f t="shared" si="34"/>
        <v>0</v>
      </c>
      <c r="R118">
        <f t="shared" si="35"/>
        <v>0</v>
      </c>
      <c r="S118">
        <f t="shared" si="36"/>
        <v>0</v>
      </c>
      <c r="T118">
        <f t="shared" si="37"/>
        <v>0</v>
      </c>
      <c r="U118">
        <f t="shared" si="38"/>
        <v>0</v>
      </c>
      <c r="V118">
        <f t="shared" si="39"/>
        <v>0</v>
      </c>
      <c r="W118">
        <f t="shared" si="40"/>
        <v>0</v>
      </c>
      <c r="X118">
        <f t="shared" si="41"/>
        <v>0</v>
      </c>
      <c r="Y118">
        <f t="shared" si="42"/>
        <v>0</v>
      </c>
      <c r="Z118">
        <f t="shared" si="43"/>
        <v>0</v>
      </c>
      <c r="AA118">
        <f t="shared" si="44"/>
        <v>0</v>
      </c>
      <c r="AB118">
        <f t="shared" si="27"/>
        <v>0</v>
      </c>
      <c r="AC118">
        <f t="shared" si="28"/>
        <v>0</v>
      </c>
      <c r="AD118">
        <f t="shared" si="29"/>
        <v>0</v>
      </c>
      <c r="AE118">
        <f t="shared" si="30"/>
        <v>1</v>
      </c>
      <c r="AF118">
        <f t="shared" si="31"/>
        <v>0</v>
      </c>
      <c r="AG118">
        <f t="shared" si="32"/>
        <v>1</v>
      </c>
      <c r="AH118">
        <f t="shared" si="45"/>
        <v>1</v>
      </c>
      <c r="AI118">
        <f t="shared" si="51"/>
        <v>1</v>
      </c>
      <c r="AJ118">
        <f t="shared" si="51"/>
        <v>0</v>
      </c>
      <c r="AK118">
        <f t="shared" si="51"/>
        <v>0</v>
      </c>
      <c r="AL118">
        <f t="shared" si="51"/>
        <v>0</v>
      </c>
      <c r="AM118">
        <f t="shared" si="51"/>
        <v>0</v>
      </c>
      <c r="AN118">
        <f t="shared" si="51"/>
        <v>0</v>
      </c>
      <c r="AO118">
        <f t="shared" si="51"/>
        <v>0</v>
      </c>
      <c r="AP118">
        <f t="shared" si="51"/>
        <v>0</v>
      </c>
      <c r="AQ118">
        <f t="shared" si="51"/>
        <v>0</v>
      </c>
      <c r="AR118">
        <f t="shared" si="51"/>
        <v>0</v>
      </c>
      <c r="AS118">
        <f t="shared" si="51"/>
        <v>0</v>
      </c>
      <c r="AT118">
        <f t="shared" si="51"/>
        <v>0</v>
      </c>
      <c r="AU118">
        <f t="shared" si="51"/>
        <v>0</v>
      </c>
      <c r="AV118">
        <f t="shared" si="51"/>
        <v>0</v>
      </c>
      <c r="AW118">
        <f t="shared" si="51"/>
        <v>0</v>
      </c>
      <c r="AX118">
        <f t="shared" si="46"/>
        <v>0</v>
      </c>
      <c r="AY118">
        <f t="shared" si="46"/>
        <v>0</v>
      </c>
      <c r="AZ118">
        <f t="shared" si="46"/>
        <v>1</v>
      </c>
      <c r="BA118">
        <f t="shared" si="47"/>
        <v>1</v>
      </c>
      <c r="BB118">
        <f t="shared" si="48"/>
        <v>1</v>
      </c>
    </row>
    <row r="119" spans="1:54">
      <c r="A119">
        <v>116</v>
      </c>
      <c r="B119" t="s">
        <v>20</v>
      </c>
      <c r="C119" t="s">
        <v>21</v>
      </c>
      <c r="D119" t="s">
        <v>25</v>
      </c>
      <c r="E119" t="s">
        <v>30</v>
      </c>
      <c r="F119" t="s">
        <v>21</v>
      </c>
      <c r="G119" t="s">
        <v>22</v>
      </c>
      <c r="H119" s="3">
        <v>1.75258574060079E-2</v>
      </c>
      <c r="I119" s="3">
        <v>1.69877416467413E-2</v>
      </c>
      <c r="J119" s="3">
        <v>1.4964333125253601E-2</v>
      </c>
      <c r="K119" s="3">
        <v>1.56144132911022E-2</v>
      </c>
      <c r="L119" s="3">
        <v>1.13511506671493E-2</v>
      </c>
      <c r="M119" s="3">
        <v>8.9696953722194599E-3</v>
      </c>
      <c r="N119" s="3">
        <v>1.8751831233518899E-2</v>
      </c>
      <c r="O119" s="3">
        <v>1.22451426027665E-2</v>
      </c>
      <c r="P119">
        <f t="shared" si="33"/>
        <v>0</v>
      </c>
      <c r="Q119">
        <f t="shared" si="34"/>
        <v>0</v>
      </c>
      <c r="R119">
        <f t="shared" si="35"/>
        <v>0</v>
      </c>
      <c r="S119">
        <f t="shared" si="36"/>
        <v>0</v>
      </c>
      <c r="T119">
        <f t="shared" si="37"/>
        <v>1</v>
      </c>
      <c r="U119">
        <f t="shared" si="38"/>
        <v>0</v>
      </c>
      <c r="V119">
        <f t="shared" si="39"/>
        <v>0</v>
      </c>
      <c r="W119">
        <f t="shared" si="40"/>
        <v>0</v>
      </c>
      <c r="X119">
        <f t="shared" si="41"/>
        <v>0</v>
      </c>
      <c r="Y119">
        <f t="shared" si="42"/>
        <v>0</v>
      </c>
      <c r="Z119">
        <f t="shared" si="43"/>
        <v>0</v>
      </c>
      <c r="AA119">
        <f t="shared" si="44"/>
        <v>0</v>
      </c>
      <c r="AB119">
        <f t="shared" si="27"/>
        <v>0</v>
      </c>
      <c r="AC119">
        <f t="shared" si="28"/>
        <v>0</v>
      </c>
      <c r="AD119">
        <f t="shared" si="29"/>
        <v>0</v>
      </c>
      <c r="AE119">
        <f t="shared" si="30"/>
        <v>0</v>
      </c>
      <c r="AF119">
        <f t="shared" si="31"/>
        <v>1</v>
      </c>
      <c r="AG119">
        <f t="shared" si="32"/>
        <v>0</v>
      </c>
      <c r="AH119">
        <f t="shared" si="45"/>
        <v>0</v>
      </c>
      <c r="AI119">
        <f t="shared" si="51"/>
        <v>0</v>
      </c>
      <c r="AJ119">
        <f t="shared" si="51"/>
        <v>0</v>
      </c>
      <c r="AK119">
        <f t="shared" si="51"/>
        <v>0</v>
      </c>
      <c r="AL119">
        <f t="shared" si="51"/>
        <v>0</v>
      </c>
      <c r="AM119">
        <f t="shared" si="51"/>
        <v>0</v>
      </c>
      <c r="AN119">
        <f t="shared" si="51"/>
        <v>1</v>
      </c>
      <c r="AO119">
        <f t="shared" si="51"/>
        <v>0</v>
      </c>
      <c r="AP119">
        <f t="shared" si="51"/>
        <v>0</v>
      </c>
      <c r="AQ119">
        <f t="shared" si="51"/>
        <v>0</v>
      </c>
      <c r="AR119">
        <f t="shared" si="51"/>
        <v>0</v>
      </c>
      <c r="AS119">
        <f t="shared" si="51"/>
        <v>0</v>
      </c>
      <c r="AT119">
        <f t="shared" si="51"/>
        <v>0</v>
      </c>
      <c r="AU119">
        <f t="shared" si="51"/>
        <v>0</v>
      </c>
      <c r="AV119">
        <f t="shared" si="51"/>
        <v>0</v>
      </c>
      <c r="AW119">
        <f t="shared" si="51"/>
        <v>0</v>
      </c>
      <c r="AX119">
        <f t="shared" si="46"/>
        <v>0</v>
      </c>
      <c r="AY119">
        <f t="shared" si="46"/>
        <v>0</v>
      </c>
      <c r="AZ119">
        <f t="shared" si="46"/>
        <v>0</v>
      </c>
      <c r="BA119">
        <f t="shared" si="47"/>
        <v>1</v>
      </c>
      <c r="BB119">
        <f t="shared" si="48"/>
        <v>0</v>
      </c>
    </row>
    <row r="120" spans="1:54">
      <c r="A120">
        <v>117</v>
      </c>
      <c r="B120" t="s">
        <v>20</v>
      </c>
      <c r="C120" t="s">
        <v>21</v>
      </c>
      <c r="D120" t="s">
        <v>25</v>
      </c>
      <c r="E120" t="s">
        <v>30</v>
      </c>
      <c r="F120" t="s">
        <v>21</v>
      </c>
      <c r="G120" t="s">
        <v>23</v>
      </c>
      <c r="H120" s="3">
        <v>1.8828060754909198E-2</v>
      </c>
      <c r="I120" s="3">
        <v>1.8068744286181999E-2</v>
      </c>
      <c r="J120" s="3">
        <v>1.5932367464281099E-2</v>
      </c>
      <c r="K120" s="3">
        <v>1.6423178968236401E-2</v>
      </c>
      <c r="L120" s="3">
        <v>1.1606634170236101E-2</v>
      </c>
      <c r="M120" s="3">
        <v>8.8814595945953794E-3</v>
      </c>
      <c r="N120" s="3">
        <v>2.0216818048637501E-2</v>
      </c>
      <c r="O120" s="3">
        <v>1.27027679341939E-2</v>
      </c>
      <c r="P120">
        <f t="shared" si="33"/>
        <v>0</v>
      </c>
      <c r="Q120">
        <f t="shared" si="34"/>
        <v>0</v>
      </c>
      <c r="R120">
        <f t="shared" si="35"/>
        <v>0</v>
      </c>
      <c r="S120">
        <f t="shared" si="36"/>
        <v>0</v>
      </c>
      <c r="T120">
        <f t="shared" si="37"/>
        <v>0</v>
      </c>
      <c r="U120">
        <f t="shared" si="38"/>
        <v>1</v>
      </c>
      <c r="V120">
        <f t="shared" si="39"/>
        <v>0</v>
      </c>
      <c r="W120">
        <f t="shared" si="40"/>
        <v>0</v>
      </c>
      <c r="X120">
        <f t="shared" si="41"/>
        <v>0</v>
      </c>
      <c r="Y120">
        <f t="shared" si="42"/>
        <v>0</v>
      </c>
      <c r="Z120">
        <f t="shared" si="43"/>
        <v>0</v>
      </c>
      <c r="AA120">
        <f t="shared" si="44"/>
        <v>0</v>
      </c>
      <c r="AB120">
        <f t="shared" si="27"/>
        <v>0</v>
      </c>
      <c r="AC120">
        <f t="shared" si="28"/>
        <v>0</v>
      </c>
      <c r="AD120">
        <f t="shared" si="29"/>
        <v>0</v>
      </c>
      <c r="AE120">
        <f t="shared" si="30"/>
        <v>0</v>
      </c>
      <c r="AF120">
        <f t="shared" si="31"/>
        <v>1</v>
      </c>
      <c r="AG120">
        <f t="shared" si="32"/>
        <v>0</v>
      </c>
      <c r="AH120">
        <f t="shared" si="45"/>
        <v>0</v>
      </c>
      <c r="AI120">
        <f t="shared" ref="AI120:AW136" si="52">IF(OR(AND($D120=AI$1,$G120=AI$2),AND($D120=AI$2,$G120=AI$1)),1,0)</f>
        <v>0</v>
      </c>
      <c r="AJ120">
        <f t="shared" si="52"/>
        <v>0</v>
      </c>
      <c r="AK120">
        <f t="shared" si="52"/>
        <v>0</v>
      </c>
      <c r="AL120">
        <f t="shared" si="52"/>
        <v>0</v>
      </c>
      <c r="AM120">
        <f t="shared" si="52"/>
        <v>0</v>
      </c>
      <c r="AN120">
        <f t="shared" si="52"/>
        <v>0</v>
      </c>
      <c r="AO120">
        <f t="shared" si="52"/>
        <v>1</v>
      </c>
      <c r="AP120">
        <f t="shared" si="52"/>
        <v>0</v>
      </c>
      <c r="AQ120">
        <f t="shared" si="52"/>
        <v>0</v>
      </c>
      <c r="AR120">
        <f t="shared" si="52"/>
        <v>0</v>
      </c>
      <c r="AS120">
        <f t="shared" si="52"/>
        <v>0</v>
      </c>
      <c r="AT120">
        <f t="shared" si="52"/>
        <v>0</v>
      </c>
      <c r="AU120">
        <f t="shared" si="52"/>
        <v>0</v>
      </c>
      <c r="AV120">
        <f t="shared" si="52"/>
        <v>0</v>
      </c>
      <c r="AW120">
        <f t="shared" si="52"/>
        <v>0</v>
      </c>
      <c r="AX120">
        <f t="shared" si="46"/>
        <v>0</v>
      </c>
      <c r="AY120">
        <f t="shared" si="46"/>
        <v>0</v>
      </c>
      <c r="AZ120">
        <f t="shared" si="46"/>
        <v>0</v>
      </c>
      <c r="BA120">
        <f t="shared" si="47"/>
        <v>1</v>
      </c>
      <c r="BB120">
        <f t="shared" si="48"/>
        <v>0</v>
      </c>
    </row>
    <row r="121" spans="1:54">
      <c r="A121">
        <v>118</v>
      </c>
      <c r="B121" t="s">
        <v>20</v>
      </c>
      <c r="C121" t="s">
        <v>21</v>
      </c>
      <c r="D121" t="s">
        <v>25</v>
      </c>
      <c r="E121" t="s">
        <v>30</v>
      </c>
      <c r="F121" t="s">
        <v>21</v>
      </c>
      <c r="G121" t="s">
        <v>24</v>
      </c>
      <c r="H121" s="3">
        <v>0.58414601041605896</v>
      </c>
      <c r="I121" s="3">
        <v>0.60462838983450196</v>
      </c>
      <c r="J121" s="3">
        <v>0.44157448296429203</v>
      </c>
      <c r="K121" s="3">
        <v>0.52126027053110002</v>
      </c>
      <c r="L121" s="3">
        <v>0.32301680853529702</v>
      </c>
      <c r="M121" s="3">
        <v>0.234465926619702</v>
      </c>
      <c r="N121" s="3">
        <v>0.73775462107797496</v>
      </c>
      <c r="O121" s="3">
        <v>0.34112092459125998</v>
      </c>
      <c r="P121">
        <f t="shared" si="33"/>
        <v>0</v>
      </c>
      <c r="Q121">
        <f t="shared" si="34"/>
        <v>0</v>
      </c>
      <c r="R121">
        <f t="shared" si="35"/>
        <v>0</v>
      </c>
      <c r="S121">
        <f t="shared" si="36"/>
        <v>0</v>
      </c>
      <c r="T121">
        <f t="shared" si="37"/>
        <v>0</v>
      </c>
      <c r="U121">
        <f t="shared" si="38"/>
        <v>0</v>
      </c>
      <c r="V121">
        <f t="shared" si="39"/>
        <v>1</v>
      </c>
      <c r="W121">
        <f t="shared" si="40"/>
        <v>0</v>
      </c>
      <c r="X121">
        <f t="shared" si="41"/>
        <v>0</v>
      </c>
      <c r="Y121">
        <f t="shared" si="42"/>
        <v>0</v>
      </c>
      <c r="Z121">
        <f t="shared" si="43"/>
        <v>0</v>
      </c>
      <c r="AA121">
        <f t="shared" si="44"/>
        <v>0</v>
      </c>
      <c r="AB121">
        <f t="shared" si="27"/>
        <v>0</v>
      </c>
      <c r="AC121">
        <f t="shared" si="28"/>
        <v>0</v>
      </c>
      <c r="AD121">
        <f t="shared" si="29"/>
        <v>0</v>
      </c>
      <c r="AE121">
        <f t="shared" si="30"/>
        <v>0</v>
      </c>
      <c r="AF121">
        <f t="shared" si="31"/>
        <v>1</v>
      </c>
      <c r="AG121">
        <f t="shared" si="32"/>
        <v>0</v>
      </c>
      <c r="AH121">
        <f t="shared" si="45"/>
        <v>0</v>
      </c>
      <c r="AI121">
        <f t="shared" si="52"/>
        <v>0</v>
      </c>
      <c r="AJ121">
        <f t="shared" si="52"/>
        <v>0</v>
      </c>
      <c r="AK121">
        <f t="shared" si="52"/>
        <v>0</v>
      </c>
      <c r="AL121">
        <f t="shared" si="52"/>
        <v>0</v>
      </c>
      <c r="AM121">
        <f t="shared" si="52"/>
        <v>0</v>
      </c>
      <c r="AN121">
        <f t="shared" si="52"/>
        <v>0</v>
      </c>
      <c r="AO121">
        <f t="shared" si="52"/>
        <v>0</v>
      </c>
      <c r="AP121">
        <f t="shared" si="52"/>
        <v>1</v>
      </c>
      <c r="AQ121">
        <f t="shared" si="52"/>
        <v>0</v>
      </c>
      <c r="AR121">
        <f t="shared" si="52"/>
        <v>0</v>
      </c>
      <c r="AS121">
        <f t="shared" si="52"/>
        <v>0</v>
      </c>
      <c r="AT121">
        <f t="shared" si="52"/>
        <v>0</v>
      </c>
      <c r="AU121">
        <f t="shared" si="52"/>
        <v>0</v>
      </c>
      <c r="AV121">
        <f t="shared" si="52"/>
        <v>0</v>
      </c>
      <c r="AW121">
        <f t="shared" si="52"/>
        <v>0</v>
      </c>
      <c r="AX121">
        <f t="shared" si="46"/>
        <v>0</v>
      </c>
      <c r="AY121">
        <f t="shared" si="46"/>
        <v>0</v>
      </c>
      <c r="AZ121">
        <f t="shared" si="46"/>
        <v>0</v>
      </c>
      <c r="BA121">
        <f t="shared" si="47"/>
        <v>1</v>
      </c>
      <c r="BB121">
        <f t="shared" si="48"/>
        <v>0</v>
      </c>
    </row>
    <row r="122" spans="1:54">
      <c r="A122">
        <v>119</v>
      </c>
      <c r="B122" t="s">
        <v>20</v>
      </c>
      <c r="C122" t="s">
        <v>21</v>
      </c>
      <c r="D122" t="s">
        <v>25</v>
      </c>
      <c r="E122" t="s">
        <v>30</v>
      </c>
      <c r="F122" t="s">
        <v>21</v>
      </c>
      <c r="G122" t="s">
        <v>25</v>
      </c>
      <c r="H122" s="3">
        <v>0.93878339495447405</v>
      </c>
      <c r="I122" s="3">
        <v>0.92938004517151196</v>
      </c>
      <c r="J122" s="3">
        <v>0.86048426076116402</v>
      </c>
      <c r="K122" s="3">
        <v>0.89333379556304304</v>
      </c>
      <c r="L122" s="3">
        <v>0.78861960762140304</v>
      </c>
      <c r="M122" s="3">
        <v>0.69875088276223896</v>
      </c>
      <c r="N122" s="3">
        <v>0.97743920304717202</v>
      </c>
      <c r="O122" s="3">
        <v>0.81547483086662997</v>
      </c>
      <c r="P122">
        <f t="shared" si="33"/>
        <v>0</v>
      </c>
      <c r="Q122">
        <f t="shared" si="34"/>
        <v>0</v>
      </c>
      <c r="R122">
        <f t="shared" si="35"/>
        <v>0</v>
      </c>
      <c r="S122">
        <f t="shared" si="36"/>
        <v>0</v>
      </c>
      <c r="T122">
        <f t="shared" si="37"/>
        <v>0</v>
      </c>
      <c r="U122">
        <f t="shared" si="38"/>
        <v>0</v>
      </c>
      <c r="V122">
        <f t="shared" si="39"/>
        <v>0</v>
      </c>
      <c r="W122">
        <f t="shared" si="40"/>
        <v>0</v>
      </c>
      <c r="X122">
        <f t="shared" si="41"/>
        <v>0</v>
      </c>
      <c r="Y122">
        <f t="shared" si="42"/>
        <v>0</v>
      </c>
      <c r="Z122">
        <f t="shared" si="43"/>
        <v>0</v>
      </c>
      <c r="AA122">
        <f t="shared" si="44"/>
        <v>0</v>
      </c>
      <c r="AB122">
        <f t="shared" si="27"/>
        <v>0</v>
      </c>
      <c r="AC122">
        <f t="shared" si="28"/>
        <v>0</v>
      </c>
      <c r="AD122">
        <f t="shared" si="29"/>
        <v>0</v>
      </c>
      <c r="AE122">
        <f t="shared" si="30"/>
        <v>1</v>
      </c>
      <c r="AF122">
        <f t="shared" si="31"/>
        <v>1</v>
      </c>
      <c r="AG122">
        <f t="shared" si="32"/>
        <v>0</v>
      </c>
      <c r="AH122">
        <f t="shared" si="45"/>
        <v>1</v>
      </c>
      <c r="AI122">
        <f t="shared" si="52"/>
        <v>0</v>
      </c>
      <c r="AJ122">
        <f t="shared" si="52"/>
        <v>0</v>
      </c>
      <c r="AK122">
        <f t="shared" si="52"/>
        <v>0</v>
      </c>
      <c r="AL122">
        <f t="shared" si="52"/>
        <v>0</v>
      </c>
      <c r="AM122">
        <f t="shared" si="52"/>
        <v>0</v>
      </c>
      <c r="AN122">
        <f t="shared" si="52"/>
        <v>0</v>
      </c>
      <c r="AO122">
        <f t="shared" si="52"/>
        <v>0</v>
      </c>
      <c r="AP122">
        <f t="shared" si="52"/>
        <v>0</v>
      </c>
      <c r="AQ122">
        <f t="shared" si="52"/>
        <v>0</v>
      </c>
      <c r="AR122">
        <f t="shared" si="52"/>
        <v>0</v>
      </c>
      <c r="AS122">
        <f t="shared" si="52"/>
        <v>0</v>
      </c>
      <c r="AT122">
        <f t="shared" si="52"/>
        <v>0</v>
      </c>
      <c r="AU122">
        <f t="shared" si="52"/>
        <v>0</v>
      </c>
      <c r="AV122">
        <f t="shared" si="52"/>
        <v>0</v>
      </c>
      <c r="AW122">
        <f t="shared" si="52"/>
        <v>0</v>
      </c>
      <c r="AX122">
        <f t="shared" si="46"/>
        <v>0</v>
      </c>
      <c r="AY122">
        <f t="shared" si="46"/>
        <v>0</v>
      </c>
      <c r="AZ122">
        <f t="shared" si="46"/>
        <v>0</v>
      </c>
      <c r="BA122">
        <f t="shared" si="47"/>
        <v>0</v>
      </c>
      <c r="BB122">
        <f t="shared" si="48"/>
        <v>0</v>
      </c>
    </row>
    <row r="123" spans="1:54">
      <c r="A123">
        <v>120</v>
      </c>
      <c r="B123" t="s">
        <v>20</v>
      </c>
      <c r="C123" t="s">
        <v>21</v>
      </c>
      <c r="D123" t="s">
        <v>25</v>
      </c>
      <c r="E123" t="s">
        <v>30</v>
      </c>
      <c r="F123" t="s">
        <v>21</v>
      </c>
      <c r="G123" t="s">
        <v>26</v>
      </c>
      <c r="H123" s="3">
        <v>0.92732452939179</v>
      </c>
      <c r="I123" s="3">
        <v>0.91752120115263802</v>
      </c>
      <c r="J123" s="3">
        <v>0.84929088364824801</v>
      </c>
      <c r="K123" s="3">
        <v>0.88155512453158003</v>
      </c>
      <c r="L123" s="3">
        <v>0.77543155767090199</v>
      </c>
      <c r="M123" s="3">
        <v>0.68624976842112695</v>
      </c>
      <c r="N123" s="3">
        <v>0.96542631116319899</v>
      </c>
      <c r="O123" s="3">
        <v>0.80275218757787603</v>
      </c>
      <c r="P123">
        <f t="shared" si="33"/>
        <v>0</v>
      </c>
      <c r="Q123">
        <f t="shared" si="34"/>
        <v>0</v>
      </c>
      <c r="R123">
        <f t="shared" si="35"/>
        <v>0</v>
      </c>
      <c r="S123">
        <f t="shared" si="36"/>
        <v>0</v>
      </c>
      <c r="T123">
        <f t="shared" si="37"/>
        <v>0</v>
      </c>
      <c r="U123">
        <f t="shared" si="38"/>
        <v>0</v>
      </c>
      <c r="V123">
        <f t="shared" si="39"/>
        <v>0</v>
      </c>
      <c r="W123">
        <f t="shared" si="40"/>
        <v>0</v>
      </c>
      <c r="X123">
        <f t="shared" si="41"/>
        <v>0</v>
      </c>
      <c r="Y123">
        <f t="shared" si="42"/>
        <v>0</v>
      </c>
      <c r="Z123">
        <f t="shared" si="43"/>
        <v>0</v>
      </c>
      <c r="AA123">
        <f t="shared" si="44"/>
        <v>0</v>
      </c>
      <c r="AB123">
        <f t="shared" si="27"/>
        <v>0</v>
      </c>
      <c r="AC123">
        <f t="shared" si="28"/>
        <v>0</v>
      </c>
      <c r="AD123">
        <f t="shared" si="29"/>
        <v>0</v>
      </c>
      <c r="AE123">
        <f t="shared" si="30"/>
        <v>1</v>
      </c>
      <c r="AF123">
        <f t="shared" si="31"/>
        <v>1</v>
      </c>
      <c r="AG123">
        <f t="shared" si="32"/>
        <v>0</v>
      </c>
      <c r="AH123">
        <f t="shared" si="45"/>
        <v>1</v>
      </c>
      <c r="AI123">
        <f t="shared" si="52"/>
        <v>1</v>
      </c>
      <c r="AJ123">
        <f t="shared" si="52"/>
        <v>0</v>
      </c>
      <c r="AK123">
        <f t="shared" si="52"/>
        <v>0</v>
      </c>
      <c r="AL123">
        <f t="shared" si="52"/>
        <v>0</v>
      </c>
      <c r="AM123">
        <f t="shared" si="52"/>
        <v>0</v>
      </c>
      <c r="AN123">
        <f t="shared" si="52"/>
        <v>0</v>
      </c>
      <c r="AO123">
        <f t="shared" si="52"/>
        <v>0</v>
      </c>
      <c r="AP123">
        <f t="shared" si="52"/>
        <v>0</v>
      </c>
      <c r="AQ123">
        <f t="shared" si="52"/>
        <v>0</v>
      </c>
      <c r="AR123">
        <f t="shared" si="52"/>
        <v>0</v>
      </c>
      <c r="AS123">
        <f t="shared" si="52"/>
        <v>0</v>
      </c>
      <c r="AT123">
        <f t="shared" si="52"/>
        <v>0</v>
      </c>
      <c r="AU123">
        <f t="shared" si="52"/>
        <v>0</v>
      </c>
      <c r="AV123">
        <f t="shared" si="52"/>
        <v>0</v>
      </c>
      <c r="AW123">
        <f t="shared" si="52"/>
        <v>0</v>
      </c>
      <c r="AX123">
        <f t="shared" si="46"/>
        <v>0</v>
      </c>
      <c r="AY123">
        <f t="shared" si="46"/>
        <v>0</v>
      </c>
      <c r="AZ123">
        <f t="shared" si="46"/>
        <v>0</v>
      </c>
      <c r="BA123">
        <f t="shared" si="47"/>
        <v>1</v>
      </c>
      <c r="BB123">
        <f t="shared" si="48"/>
        <v>0</v>
      </c>
    </row>
    <row r="124" spans="1:54">
      <c r="A124">
        <v>121</v>
      </c>
      <c r="B124" t="s">
        <v>20</v>
      </c>
      <c r="C124" t="s">
        <v>21</v>
      </c>
      <c r="D124" t="s">
        <v>25</v>
      </c>
      <c r="E124" t="s">
        <v>30</v>
      </c>
      <c r="F124" t="s">
        <v>21</v>
      </c>
      <c r="G124" t="s">
        <v>27</v>
      </c>
      <c r="H124" s="3">
        <v>0.24331227445540901</v>
      </c>
      <c r="I124" s="3">
        <v>0.22913330493862499</v>
      </c>
      <c r="J124" s="3">
        <v>0.203985180529728</v>
      </c>
      <c r="K124" s="3">
        <v>0.20227753975860699</v>
      </c>
      <c r="L124" s="3">
        <v>0.17425153137225399</v>
      </c>
      <c r="M124" s="3">
        <v>0.139710585808383</v>
      </c>
      <c r="N124" s="3">
        <v>0.28977439203047101</v>
      </c>
      <c r="O124" s="3">
        <v>0.16916622358282399</v>
      </c>
      <c r="P124">
        <f t="shared" si="33"/>
        <v>0</v>
      </c>
      <c r="Q124">
        <f t="shared" si="34"/>
        <v>0</v>
      </c>
      <c r="R124">
        <f t="shared" si="35"/>
        <v>0</v>
      </c>
      <c r="S124">
        <f t="shared" si="36"/>
        <v>0</v>
      </c>
      <c r="T124">
        <f t="shared" si="37"/>
        <v>0</v>
      </c>
      <c r="U124">
        <f t="shared" si="38"/>
        <v>0</v>
      </c>
      <c r="V124">
        <f t="shared" si="39"/>
        <v>0</v>
      </c>
      <c r="W124">
        <f t="shared" si="40"/>
        <v>1</v>
      </c>
      <c r="X124">
        <f t="shared" si="41"/>
        <v>0</v>
      </c>
      <c r="Y124">
        <f t="shared" si="42"/>
        <v>0</v>
      </c>
      <c r="Z124">
        <f t="shared" si="43"/>
        <v>0</v>
      </c>
      <c r="AA124">
        <f t="shared" si="44"/>
        <v>0</v>
      </c>
      <c r="AB124">
        <f t="shared" si="27"/>
        <v>0</v>
      </c>
      <c r="AC124">
        <f t="shared" si="28"/>
        <v>0</v>
      </c>
      <c r="AD124">
        <f t="shared" si="29"/>
        <v>0</v>
      </c>
      <c r="AE124">
        <f t="shared" si="30"/>
        <v>0</v>
      </c>
      <c r="AF124">
        <f t="shared" si="31"/>
        <v>1</v>
      </c>
      <c r="AG124">
        <f t="shared" si="32"/>
        <v>0</v>
      </c>
      <c r="AH124">
        <f t="shared" si="45"/>
        <v>0</v>
      </c>
      <c r="AI124">
        <f t="shared" si="52"/>
        <v>0</v>
      </c>
      <c r="AJ124">
        <f t="shared" si="52"/>
        <v>0</v>
      </c>
      <c r="AK124">
        <f t="shared" si="52"/>
        <v>0</v>
      </c>
      <c r="AL124">
        <f t="shared" si="52"/>
        <v>0</v>
      </c>
      <c r="AM124">
        <f t="shared" si="52"/>
        <v>0</v>
      </c>
      <c r="AN124">
        <f t="shared" si="52"/>
        <v>0</v>
      </c>
      <c r="AO124">
        <f t="shared" si="52"/>
        <v>0</v>
      </c>
      <c r="AP124">
        <f t="shared" si="52"/>
        <v>0</v>
      </c>
      <c r="AQ124">
        <f t="shared" si="52"/>
        <v>1</v>
      </c>
      <c r="AR124">
        <f t="shared" si="52"/>
        <v>0</v>
      </c>
      <c r="AS124">
        <f t="shared" si="52"/>
        <v>0</v>
      </c>
      <c r="AT124">
        <f t="shared" si="52"/>
        <v>0</v>
      </c>
      <c r="AU124">
        <f t="shared" si="52"/>
        <v>0</v>
      </c>
      <c r="AV124">
        <f t="shared" si="52"/>
        <v>0</v>
      </c>
      <c r="AW124">
        <f t="shared" si="52"/>
        <v>0</v>
      </c>
      <c r="AX124">
        <f t="shared" si="46"/>
        <v>0</v>
      </c>
      <c r="AY124">
        <f t="shared" si="46"/>
        <v>0</v>
      </c>
      <c r="AZ124">
        <f t="shared" si="46"/>
        <v>0</v>
      </c>
      <c r="BA124">
        <f t="shared" si="47"/>
        <v>1</v>
      </c>
      <c r="BB124">
        <f t="shared" si="48"/>
        <v>0</v>
      </c>
    </row>
    <row r="125" spans="1:54">
      <c r="A125">
        <v>122</v>
      </c>
      <c r="B125" t="s">
        <v>20</v>
      </c>
      <c r="C125" t="s">
        <v>21</v>
      </c>
      <c r="D125" t="s">
        <v>25</v>
      </c>
      <c r="E125" t="s">
        <v>30</v>
      </c>
      <c r="F125" t="s">
        <v>28</v>
      </c>
      <c r="G125" t="s">
        <v>22</v>
      </c>
      <c r="H125" s="3">
        <v>1.9029247208497298E-2</v>
      </c>
      <c r="I125" s="3">
        <v>1.8660063648199301E-2</v>
      </c>
      <c r="J125" s="3">
        <v>1.62998410232809E-2</v>
      </c>
      <c r="K125" s="3">
        <v>1.7243023249084902E-2</v>
      </c>
      <c r="L125" s="3">
        <v>1.2500715985738301E-2</v>
      </c>
      <c r="M125" s="3">
        <v>9.9237825466560008E-3</v>
      </c>
      <c r="N125" s="3">
        <v>2.0509815411661199E-2</v>
      </c>
      <c r="O125" s="3">
        <v>1.3519491643771E-2</v>
      </c>
      <c r="P125">
        <f t="shared" si="33"/>
        <v>1</v>
      </c>
      <c r="Q125">
        <f t="shared" si="34"/>
        <v>0</v>
      </c>
      <c r="R125">
        <f t="shared" si="35"/>
        <v>0</v>
      </c>
      <c r="S125">
        <f t="shared" si="36"/>
        <v>0</v>
      </c>
      <c r="T125">
        <f t="shared" si="37"/>
        <v>0</v>
      </c>
      <c r="U125">
        <f t="shared" si="38"/>
        <v>0</v>
      </c>
      <c r="V125">
        <f t="shared" si="39"/>
        <v>0</v>
      </c>
      <c r="W125">
        <f t="shared" si="40"/>
        <v>0</v>
      </c>
      <c r="X125">
        <f t="shared" si="41"/>
        <v>0</v>
      </c>
      <c r="Y125">
        <f t="shared" si="42"/>
        <v>0</v>
      </c>
      <c r="Z125">
        <f t="shared" si="43"/>
        <v>0</v>
      </c>
      <c r="AA125">
        <f t="shared" si="44"/>
        <v>0</v>
      </c>
      <c r="AB125">
        <f t="shared" si="27"/>
        <v>0</v>
      </c>
      <c r="AC125">
        <f t="shared" si="28"/>
        <v>0</v>
      </c>
      <c r="AD125">
        <f t="shared" si="29"/>
        <v>0</v>
      </c>
      <c r="AE125">
        <f t="shared" si="30"/>
        <v>0</v>
      </c>
      <c r="AF125">
        <f t="shared" si="31"/>
        <v>0</v>
      </c>
      <c r="AG125">
        <f t="shared" si="32"/>
        <v>0</v>
      </c>
      <c r="AH125">
        <f t="shared" si="45"/>
        <v>0</v>
      </c>
      <c r="AI125">
        <f t="shared" si="52"/>
        <v>0</v>
      </c>
      <c r="AJ125">
        <f t="shared" si="52"/>
        <v>0</v>
      </c>
      <c r="AK125">
        <f t="shared" si="52"/>
        <v>0</v>
      </c>
      <c r="AL125">
        <f t="shared" si="52"/>
        <v>0</v>
      </c>
      <c r="AM125">
        <f t="shared" si="52"/>
        <v>0</v>
      </c>
      <c r="AN125">
        <f t="shared" si="52"/>
        <v>1</v>
      </c>
      <c r="AO125">
        <f t="shared" si="52"/>
        <v>0</v>
      </c>
      <c r="AP125">
        <f t="shared" si="52"/>
        <v>0</v>
      </c>
      <c r="AQ125">
        <f t="shared" si="52"/>
        <v>0</v>
      </c>
      <c r="AR125">
        <f t="shared" si="52"/>
        <v>0</v>
      </c>
      <c r="AS125">
        <f t="shared" si="52"/>
        <v>0</v>
      </c>
      <c r="AT125">
        <f t="shared" si="52"/>
        <v>0</v>
      </c>
      <c r="AU125">
        <f t="shared" si="52"/>
        <v>0</v>
      </c>
      <c r="AV125">
        <f t="shared" si="52"/>
        <v>0</v>
      </c>
      <c r="AW125">
        <f t="shared" si="52"/>
        <v>0</v>
      </c>
      <c r="AX125">
        <f t="shared" si="46"/>
        <v>1</v>
      </c>
      <c r="AY125">
        <f t="shared" si="46"/>
        <v>0</v>
      </c>
      <c r="AZ125">
        <f t="shared" si="46"/>
        <v>0</v>
      </c>
      <c r="BA125">
        <f t="shared" si="47"/>
        <v>1</v>
      </c>
      <c r="BB125">
        <f t="shared" si="48"/>
        <v>0</v>
      </c>
    </row>
    <row r="126" spans="1:54">
      <c r="A126">
        <v>123</v>
      </c>
      <c r="B126" t="s">
        <v>20</v>
      </c>
      <c r="C126" t="s">
        <v>21</v>
      </c>
      <c r="D126" t="s">
        <v>25</v>
      </c>
      <c r="E126" t="s">
        <v>30</v>
      </c>
      <c r="F126" t="s">
        <v>28</v>
      </c>
      <c r="G126" t="s">
        <v>23</v>
      </c>
      <c r="H126" s="3">
        <v>2.2580084573520998E-2</v>
      </c>
      <c r="I126" s="3">
        <v>2.16531936940609E-2</v>
      </c>
      <c r="J126" s="3">
        <v>1.9150199946867199E-2</v>
      </c>
      <c r="K126" s="3">
        <v>1.9684439777245401E-2</v>
      </c>
      <c r="L126" s="3">
        <v>1.4432706090855001E-2</v>
      </c>
      <c r="M126" s="3">
        <v>1.13787613548088E-2</v>
      </c>
      <c r="N126" s="3">
        <v>2.4318781130969799E-2</v>
      </c>
      <c r="O126" s="3">
        <v>1.5591859152584601E-2</v>
      </c>
      <c r="P126">
        <f t="shared" si="33"/>
        <v>0</v>
      </c>
      <c r="Q126">
        <f t="shared" si="34"/>
        <v>1</v>
      </c>
      <c r="R126">
        <f t="shared" si="35"/>
        <v>0</v>
      </c>
      <c r="S126">
        <f t="shared" si="36"/>
        <v>0</v>
      </c>
      <c r="T126">
        <f t="shared" si="37"/>
        <v>0</v>
      </c>
      <c r="U126">
        <f t="shared" si="38"/>
        <v>0</v>
      </c>
      <c r="V126">
        <f t="shared" si="39"/>
        <v>0</v>
      </c>
      <c r="W126">
        <f t="shared" si="40"/>
        <v>0</v>
      </c>
      <c r="X126">
        <f t="shared" si="41"/>
        <v>0</v>
      </c>
      <c r="Y126">
        <f t="shared" si="42"/>
        <v>0</v>
      </c>
      <c r="Z126">
        <f t="shared" si="43"/>
        <v>0</v>
      </c>
      <c r="AA126">
        <f t="shared" si="44"/>
        <v>0</v>
      </c>
      <c r="AB126">
        <f t="shared" si="27"/>
        <v>0</v>
      </c>
      <c r="AC126">
        <f t="shared" si="28"/>
        <v>0</v>
      </c>
      <c r="AD126">
        <f t="shared" si="29"/>
        <v>0</v>
      </c>
      <c r="AE126">
        <f t="shared" si="30"/>
        <v>0</v>
      </c>
      <c r="AF126">
        <f t="shared" si="31"/>
        <v>0</v>
      </c>
      <c r="AG126">
        <f t="shared" si="32"/>
        <v>0</v>
      </c>
      <c r="AH126">
        <f t="shared" si="45"/>
        <v>0</v>
      </c>
      <c r="AI126">
        <f t="shared" si="52"/>
        <v>0</v>
      </c>
      <c r="AJ126">
        <f t="shared" si="52"/>
        <v>0</v>
      </c>
      <c r="AK126">
        <f t="shared" si="52"/>
        <v>0</v>
      </c>
      <c r="AL126">
        <f t="shared" si="52"/>
        <v>0</v>
      </c>
      <c r="AM126">
        <f t="shared" si="52"/>
        <v>0</v>
      </c>
      <c r="AN126">
        <f t="shared" si="52"/>
        <v>0</v>
      </c>
      <c r="AO126">
        <f t="shared" si="52"/>
        <v>1</v>
      </c>
      <c r="AP126">
        <f t="shared" si="52"/>
        <v>0</v>
      </c>
      <c r="AQ126">
        <f t="shared" si="52"/>
        <v>0</v>
      </c>
      <c r="AR126">
        <f t="shared" si="52"/>
        <v>0</v>
      </c>
      <c r="AS126">
        <f t="shared" si="52"/>
        <v>0</v>
      </c>
      <c r="AT126">
        <f t="shared" si="52"/>
        <v>0</v>
      </c>
      <c r="AU126">
        <f t="shared" si="52"/>
        <v>0</v>
      </c>
      <c r="AV126">
        <f t="shared" si="52"/>
        <v>0</v>
      </c>
      <c r="AW126">
        <f t="shared" si="52"/>
        <v>0</v>
      </c>
      <c r="AX126">
        <f t="shared" si="46"/>
        <v>1</v>
      </c>
      <c r="AY126">
        <f t="shared" si="46"/>
        <v>0</v>
      </c>
      <c r="AZ126">
        <f t="shared" si="46"/>
        <v>0</v>
      </c>
      <c r="BA126">
        <f t="shared" si="47"/>
        <v>1</v>
      </c>
      <c r="BB126">
        <f t="shared" si="48"/>
        <v>0</v>
      </c>
    </row>
    <row r="127" spans="1:54">
      <c r="A127">
        <v>124</v>
      </c>
      <c r="B127" t="s">
        <v>20</v>
      </c>
      <c r="C127" t="s">
        <v>21</v>
      </c>
      <c r="D127" t="s">
        <v>25</v>
      </c>
      <c r="E127" t="s">
        <v>30</v>
      </c>
      <c r="F127" t="s">
        <v>28</v>
      </c>
      <c r="G127" t="s">
        <v>24</v>
      </c>
      <c r="H127" s="3">
        <v>0.57827152621120603</v>
      </c>
      <c r="I127" s="3">
        <v>0.60487312169187801</v>
      </c>
      <c r="J127" s="3">
        <v>0.43541434793674999</v>
      </c>
      <c r="K127" s="3">
        <v>0.52104762743837996</v>
      </c>
      <c r="L127" s="3">
        <v>0.316507670805805</v>
      </c>
      <c r="M127" s="3">
        <v>0.228837256492294</v>
      </c>
      <c r="N127" s="3">
        <v>0.73658410151231701</v>
      </c>
      <c r="O127" s="3">
        <v>0.33584422421670002</v>
      </c>
      <c r="P127">
        <f t="shared" si="33"/>
        <v>0</v>
      </c>
      <c r="Q127">
        <f t="shared" si="34"/>
        <v>0</v>
      </c>
      <c r="R127">
        <f t="shared" si="35"/>
        <v>1</v>
      </c>
      <c r="S127">
        <f t="shared" si="36"/>
        <v>0</v>
      </c>
      <c r="T127">
        <f t="shared" si="37"/>
        <v>0</v>
      </c>
      <c r="U127">
        <f t="shared" si="38"/>
        <v>0</v>
      </c>
      <c r="V127">
        <f t="shared" si="39"/>
        <v>0</v>
      </c>
      <c r="W127">
        <f t="shared" si="40"/>
        <v>0</v>
      </c>
      <c r="X127">
        <f t="shared" si="41"/>
        <v>0</v>
      </c>
      <c r="Y127">
        <f t="shared" si="42"/>
        <v>0</v>
      </c>
      <c r="Z127">
        <f t="shared" si="43"/>
        <v>0</v>
      </c>
      <c r="AA127">
        <f t="shared" si="44"/>
        <v>0</v>
      </c>
      <c r="AB127">
        <f t="shared" si="27"/>
        <v>0</v>
      </c>
      <c r="AC127">
        <f t="shared" si="28"/>
        <v>0</v>
      </c>
      <c r="AD127">
        <f t="shared" si="29"/>
        <v>0</v>
      </c>
      <c r="AE127">
        <f t="shared" si="30"/>
        <v>0</v>
      </c>
      <c r="AF127">
        <f t="shared" si="31"/>
        <v>0</v>
      </c>
      <c r="AG127">
        <f t="shared" si="32"/>
        <v>0</v>
      </c>
      <c r="AH127">
        <f t="shared" si="45"/>
        <v>0</v>
      </c>
      <c r="AI127">
        <f t="shared" si="52"/>
        <v>0</v>
      </c>
      <c r="AJ127">
        <f t="shared" si="52"/>
        <v>0</v>
      </c>
      <c r="AK127">
        <f t="shared" si="52"/>
        <v>0</v>
      </c>
      <c r="AL127">
        <f t="shared" si="52"/>
        <v>0</v>
      </c>
      <c r="AM127">
        <f t="shared" si="52"/>
        <v>0</v>
      </c>
      <c r="AN127">
        <f t="shared" si="52"/>
        <v>0</v>
      </c>
      <c r="AO127">
        <f t="shared" si="52"/>
        <v>0</v>
      </c>
      <c r="AP127">
        <f t="shared" si="52"/>
        <v>1</v>
      </c>
      <c r="AQ127">
        <f t="shared" si="52"/>
        <v>0</v>
      </c>
      <c r="AR127">
        <f t="shared" si="52"/>
        <v>0</v>
      </c>
      <c r="AS127">
        <f t="shared" si="52"/>
        <v>0</v>
      </c>
      <c r="AT127">
        <f t="shared" si="52"/>
        <v>0</v>
      </c>
      <c r="AU127">
        <f t="shared" si="52"/>
        <v>0</v>
      </c>
      <c r="AV127">
        <f t="shared" si="52"/>
        <v>0</v>
      </c>
      <c r="AW127">
        <f t="shared" si="52"/>
        <v>0</v>
      </c>
      <c r="AX127">
        <f t="shared" si="46"/>
        <v>1</v>
      </c>
      <c r="AY127">
        <f t="shared" si="46"/>
        <v>0</v>
      </c>
      <c r="AZ127">
        <f t="shared" si="46"/>
        <v>0</v>
      </c>
      <c r="BA127">
        <f t="shared" si="47"/>
        <v>1</v>
      </c>
      <c r="BB127">
        <f t="shared" si="48"/>
        <v>0</v>
      </c>
    </row>
    <row r="128" spans="1:54">
      <c r="A128">
        <v>125</v>
      </c>
      <c r="B128" t="s">
        <v>20</v>
      </c>
      <c r="C128" t="s">
        <v>21</v>
      </c>
      <c r="D128" t="s">
        <v>25</v>
      </c>
      <c r="E128" t="s">
        <v>30</v>
      </c>
      <c r="F128" t="s">
        <v>28</v>
      </c>
      <c r="G128" t="s">
        <v>25</v>
      </c>
      <c r="H128" s="3">
        <v>0.93467133893555099</v>
      </c>
      <c r="I128" s="3">
        <v>0.92397218608440901</v>
      </c>
      <c r="J128" s="3">
        <v>0.83316394300011798</v>
      </c>
      <c r="K128" s="3">
        <v>0.87368181062411898</v>
      </c>
      <c r="L128" s="3">
        <v>0.75330711305801701</v>
      </c>
      <c r="M128" s="3">
        <v>0.64830178475836997</v>
      </c>
      <c r="N128" s="3">
        <v>0.99091708174626403</v>
      </c>
      <c r="O128" s="3">
        <v>0.77410089647324798</v>
      </c>
      <c r="P128">
        <f t="shared" si="33"/>
        <v>0</v>
      </c>
      <c r="Q128">
        <f t="shared" si="34"/>
        <v>0</v>
      </c>
      <c r="R128">
        <f t="shared" si="35"/>
        <v>0</v>
      </c>
      <c r="S128">
        <f t="shared" si="36"/>
        <v>0</v>
      </c>
      <c r="T128">
        <f t="shared" si="37"/>
        <v>0</v>
      </c>
      <c r="U128">
        <f t="shared" si="38"/>
        <v>0</v>
      </c>
      <c r="V128">
        <f t="shared" si="39"/>
        <v>0</v>
      </c>
      <c r="W128">
        <f t="shared" si="40"/>
        <v>0</v>
      </c>
      <c r="X128">
        <f t="shared" si="41"/>
        <v>0</v>
      </c>
      <c r="Y128">
        <f t="shared" si="42"/>
        <v>0</v>
      </c>
      <c r="Z128">
        <f t="shared" si="43"/>
        <v>0</v>
      </c>
      <c r="AA128">
        <f t="shared" si="44"/>
        <v>0</v>
      </c>
      <c r="AB128">
        <f t="shared" si="27"/>
        <v>0</v>
      </c>
      <c r="AC128">
        <f t="shared" si="28"/>
        <v>0</v>
      </c>
      <c r="AD128">
        <f t="shared" si="29"/>
        <v>0</v>
      </c>
      <c r="AE128">
        <f t="shared" si="30"/>
        <v>1</v>
      </c>
      <c r="AF128">
        <f t="shared" si="31"/>
        <v>0</v>
      </c>
      <c r="AG128">
        <f t="shared" si="32"/>
        <v>0</v>
      </c>
      <c r="AH128">
        <f t="shared" si="45"/>
        <v>1</v>
      </c>
      <c r="AI128">
        <f t="shared" si="52"/>
        <v>0</v>
      </c>
      <c r="AJ128">
        <f t="shared" si="52"/>
        <v>0</v>
      </c>
      <c r="AK128">
        <f t="shared" si="52"/>
        <v>0</v>
      </c>
      <c r="AL128">
        <f t="shared" si="52"/>
        <v>0</v>
      </c>
      <c r="AM128">
        <f t="shared" si="52"/>
        <v>0</v>
      </c>
      <c r="AN128">
        <f t="shared" si="52"/>
        <v>0</v>
      </c>
      <c r="AO128">
        <f t="shared" si="52"/>
        <v>0</v>
      </c>
      <c r="AP128">
        <f t="shared" si="52"/>
        <v>0</v>
      </c>
      <c r="AQ128">
        <f t="shared" si="52"/>
        <v>0</v>
      </c>
      <c r="AR128">
        <f t="shared" si="52"/>
        <v>0</v>
      </c>
      <c r="AS128">
        <f t="shared" si="52"/>
        <v>0</v>
      </c>
      <c r="AT128">
        <f t="shared" si="52"/>
        <v>0</v>
      </c>
      <c r="AU128">
        <f t="shared" si="52"/>
        <v>0</v>
      </c>
      <c r="AV128">
        <f t="shared" si="52"/>
        <v>0</v>
      </c>
      <c r="AW128">
        <f t="shared" si="52"/>
        <v>0</v>
      </c>
      <c r="AX128">
        <f t="shared" si="46"/>
        <v>1</v>
      </c>
      <c r="AY128">
        <f t="shared" si="46"/>
        <v>0</v>
      </c>
      <c r="AZ128">
        <f t="shared" si="46"/>
        <v>0</v>
      </c>
      <c r="BA128">
        <f t="shared" si="47"/>
        <v>0</v>
      </c>
      <c r="BB128">
        <f t="shared" si="48"/>
        <v>0</v>
      </c>
    </row>
    <row r="129" spans="1:54">
      <c r="A129">
        <v>126</v>
      </c>
      <c r="B129" t="s">
        <v>20</v>
      </c>
      <c r="C129" t="s">
        <v>21</v>
      </c>
      <c r="D129" t="s">
        <v>25</v>
      </c>
      <c r="E129" t="s">
        <v>30</v>
      </c>
      <c r="F129" t="s">
        <v>28</v>
      </c>
      <c r="G129" t="s">
        <v>26</v>
      </c>
      <c r="H129" s="3">
        <v>0.92097702729386799</v>
      </c>
      <c r="I129" s="3">
        <v>0.91013614245237395</v>
      </c>
      <c r="J129" s="3">
        <v>0.820667739271146</v>
      </c>
      <c r="K129" s="3">
        <v>0.86042811643470596</v>
      </c>
      <c r="L129" s="3">
        <v>0.74001456455894499</v>
      </c>
      <c r="M129" s="3">
        <v>0.63658054833422995</v>
      </c>
      <c r="N129" s="3">
        <v>0.97597421623205305</v>
      </c>
      <c r="O129" s="3">
        <v>0.76124667646158195</v>
      </c>
      <c r="P129">
        <f t="shared" si="33"/>
        <v>0</v>
      </c>
      <c r="Q129">
        <f t="shared" si="34"/>
        <v>0</v>
      </c>
      <c r="R129">
        <f t="shared" si="35"/>
        <v>0</v>
      </c>
      <c r="S129">
        <f t="shared" si="36"/>
        <v>0</v>
      </c>
      <c r="T129">
        <f t="shared" si="37"/>
        <v>0</v>
      </c>
      <c r="U129">
        <f t="shared" si="38"/>
        <v>0</v>
      </c>
      <c r="V129">
        <f t="shared" si="39"/>
        <v>0</v>
      </c>
      <c r="W129">
        <f t="shared" si="40"/>
        <v>0</v>
      </c>
      <c r="X129">
        <f t="shared" si="41"/>
        <v>0</v>
      </c>
      <c r="Y129">
        <f t="shared" si="42"/>
        <v>0</v>
      </c>
      <c r="Z129">
        <f t="shared" si="43"/>
        <v>0</v>
      </c>
      <c r="AA129">
        <f t="shared" si="44"/>
        <v>0</v>
      </c>
      <c r="AB129">
        <f t="shared" si="27"/>
        <v>0</v>
      </c>
      <c r="AC129">
        <f t="shared" si="28"/>
        <v>0</v>
      </c>
      <c r="AD129">
        <f t="shared" si="29"/>
        <v>0</v>
      </c>
      <c r="AE129">
        <f t="shared" si="30"/>
        <v>1</v>
      </c>
      <c r="AF129">
        <f t="shared" si="31"/>
        <v>0</v>
      </c>
      <c r="AG129">
        <f t="shared" si="32"/>
        <v>0</v>
      </c>
      <c r="AH129">
        <f t="shared" si="45"/>
        <v>1</v>
      </c>
      <c r="AI129">
        <f t="shared" si="52"/>
        <v>1</v>
      </c>
      <c r="AJ129">
        <f t="shared" si="52"/>
        <v>0</v>
      </c>
      <c r="AK129">
        <f t="shared" si="52"/>
        <v>0</v>
      </c>
      <c r="AL129">
        <f t="shared" si="52"/>
        <v>0</v>
      </c>
      <c r="AM129">
        <f t="shared" si="52"/>
        <v>0</v>
      </c>
      <c r="AN129">
        <f t="shared" si="52"/>
        <v>0</v>
      </c>
      <c r="AO129">
        <f t="shared" si="52"/>
        <v>0</v>
      </c>
      <c r="AP129">
        <f t="shared" si="52"/>
        <v>0</v>
      </c>
      <c r="AQ129">
        <f t="shared" si="52"/>
        <v>0</v>
      </c>
      <c r="AR129">
        <f t="shared" si="52"/>
        <v>0</v>
      </c>
      <c r="AS129">
        <f t="shared" si="52"/>
        <v>0</v>
      </c>
      <c r="AT129">
        <f t="shared" si="52"/>
        <v>0</v>
      </c>
      <c r="AU129">
        <f t="shared" si="52"/>
        <v>0</v>
      </c>
      <c r="AV129">
        <f t="shared" si="52"/>
        <v>0</v>
      </c>
      <c r="AW129">
        <f t="shared" si="52"/>
        <v>0</v>
      </c>
      <c r="AX129">
        <f t="shared" si="46"/>
        <v>1</v>
      </c>
      <c r="AY129">
        <f t="shared" si="46"/>
        <v>0</v>
      </c>
      <c r="AZ129">
        <f t="shared" si="46"/>
        <v>0</v>
      </c>
      <c r="BA129">
        <f t="shared" si="47"/>
        <v>1</v>
      </c>
      <c r="BB129">
        <f t="shared" si="48"/>
        <v>0</v>
      </c>
    </row>
    <row r="130" spans="1:54">
      <c r="A130">
        <v>127</v>
      </c>
      <c r="B130" t="s">
        <v>20</v>
      </c>
      <c r="C130" t="s">
        <v>21</v>
      </c>
      <c r="D130" t="s">
        <v>25</v>
      </c>
      <c r="E130" t="s">
        <v>30</v>
      </c>
      <c r="F130" t="s">
        <v>28</v>
      </c>
      <c r="G130" t="s">
        <v>27</v>
      </c>
      <c r="H130" s="3">
        <v>0.29104608643402502</v>
      </c>
      <c r="I130" s="3">
        <v>0.27328550947160701</v>
      </c>
      <c r="J130" s="3">
        <v>0.24038647402023999</v>
      </c>
      <c r="K130" s="3">
        <v>0.23742361548291899</v>
      </c>
      <c r="L130" s="3">
        <v>0.19972493094560001</v>
      </c>
      <c r="M130" s="3">
        <v>0.157087761229255</v>
      </c>
      <c r="N130" s="3">
        <v>0.35540580134778699</v>
      </c>
      <c r="O130" s="3">
        <v>0.192403406273957</v>
      </c>
      <c r="P130">
        <f t="shared" si="33"/>
        <v>0</v>
      </c>
      <c r="Q130">
        <f t="shared" si="34"/>
        <v>0</v>
      </c>
      <c r="R130">
        <f t="shared" si="35"/>
        <v>0</v>
      </c>
      <c r="S130">
        <f t="shared" si="36"/>
        <v>1</v>
      </c>
      <c r="T130">
        <f t="shared" si="37"/>
        <v>0</v>
      </c>
      <c r="U130">
        <f t="shared" si="38"/>
        <v>0</v>
      </c>
      <c r="V130">
        <f t="shared" si="39"/>
        <v>0</v>
      </c>
      <c r="W130">
        <f t="shared" si="40"/>
        <v>0</v>
      </c>
      <c r="X130">
        <f t="shared" si="41"/>
        <v>0</v>
      </c>
      <c r="Y130">
        <f t="shared" si="42"/>
        <v>0</v>
      </c>
      <c r="Z130">
        <f t="shared" si="43"/>
        <v>0</v>
      </c>
      <c r="AA130">
        <f t="shared" si="44"/>
        <v>0</v>
      </c>
      <c r="AB130">
        <f t="shared" si="27"/>
        <v>0</v>
      </c>
      <c r="AC130">
        <f t="shared" si="28"/>
        <v>0</v>
      </c>
      <c r="AD130">
        <f t="shared" si="29"/>
        <v>0</v>
      </c>
      <c r="AE130">
        <f t="shared" si="30"/>
        <v>0</v>
      </c>
      <c r="AF130">
        <f t="shared" si="31"/>
        <v>0</v>
      </c>
      <c r="AG130">
        <f t="shared" si="32"/>
        <v>0</v>
      </c>
      <c r="AH130">
        <f t="shared" si="45"/>
        <v>0</v>
      </c>
      <c r="AI130">
        <f t="shared" si="52"/>
        <v>0</v>
      </c>
      <c r="AJ130">
        <f t="shared" si="52"/>
        <v>0</v>
      </c>
      <c r="AK130">
        <f t="shared" si="52"/>
        <v>0</v>
      </c>
      <c r="AL130">
        <f t="shared" si="52"/>
        <v>0</v>
      </c>
      <c r="AM130">
        <f t="shared" si="52"/>
        <v>0</v>
      </c>
      <c r="AN130">
        <f t="shared" si="52"/>
        <v>0</v>
      </c>
      <c r="AO130">
        <f t="shared" si="52"/>
        <v>0</v>
      </c>
      <c r="AP130">
        <f t="shared" si="52"/>
        <v>0</v>
      </c>
      <c r="AQ130">
        <f t="shared" si="52"/>
        <v>1</v>
      </c>
      <c r="AR130">
        <f t="shared" si="52"/>
        <v>0</v>
      </c>
      <c r="AS130">
        <f t="shared" si="52"/>
        <v>0</v>
      </c>
      <c r="AT130">
        <f t="shared" si="52"/>
        <v>0</v>
      </c>
      <c r="AU130">
        <f t="shared" si="52"/>
        <v>0</v>
      </c>
      <c r="AV130">
        <f t="shared" si="52"/>
        <v>0</v>
      </c>
      <c r="AW130">
        <f t="shared" si="52"/>
        <v>0</v>
      </c>
      <c r="AX130">
        <f t="shared" si="46"/>
        <v>1</v>
      </c>
      <c r="AY130">
        <f t="shared" si="46"/>
        <v>0</v>
      </c>
      <c r="AZ130">
        <f t="shared" si="46"/>
        <v>0</v>
      </c>
      <c r="BA130">
        <f t="shared" si="47"/>
        <v>1</v>
      </c>
      <c r="BB130">
        <f t="shared" si="48"/>
        <v>0</v>
      </c>
    </row>
    <row r="131" spans="1:54">
      <c r="A131">
        <v>128</v>
      </c>
      <c r="B131" t="s">
        <v>20</v>
      </c>
      <c r="C131" t="s">
        <v>21</v>
      </c>
      <c r="D131" t="s">
        <v>25</v>
      </c>
      <c r="E131" t="s">
        <v>30</v>
      </c>
      <c r="F131" t="s">
        <v>29</v>
      </c>
      <c r="G131" t="s">
        <v>22</v>
      </c>
      <c r="H131" s="3">
        <v>0.66823947483895696</v>
      </c>
      <c r="I131" s="3">
        <v>0.64171347741649898</v>
      </c>
      <c r="J131" s="3">
        <v>0.54743398620990502</v>
      </c>
      <c r="K131" s="3">
        <v>0.56325630965874296</v>
      </c>
      <c r="L131" s="3">
        <v>0.42267381375148699</v>
      </c>
      <c r="M131" s="3">
        <v>0.32182719860387099</v>
      </c>
      <c r="N131" s="3">
        <v>0.760914151772634</v>
      </c>
      <c r="O131" s="3">
        <v>0.43429038388510399</v>
      </c>
      <c r="P131">
        <f t="shared" si="33"/>
        <v>0</v>
      </c>
      <c r="Q131">
        <f t="shared" si="34"/>
        <v>0</v>
      </c>
      <c r="R131">
        <f t="shared" si="35"/>
        <v>0</v>
      </c>
      <c r="S131">
        <f t="shared" si="36"/>
        <v>0</v>
      </c>
      <c r="T131">
        <f t="shared" si="37"/>
        <v>0</v>
      </c>
      <c r="U131">
        <f t="shared" si="38"/>
        <v>0</v>
      </c>
      <c r="V131">
        <f t="shared" si="39"/>
        <v>0</v>
      </c>
      <c r="W131">
        <f t="shared" si="40"/>
        <v>0</v>
      </c>
      <c r="X131">
        <f t="shared" si="41"/>
        <v>1</v>
      </c>
      <c r="Y131">
        <f t="shared" si="42"/>
        <v>0</v>
      </c>
      <c r="Z131">
        <f t="shared" si="43"/>
        <v>0</v>
      </c>
      <c r="AA131">
        <f t="shared" si="44"/>
        <v>0</v>
      </c>
      <c r="AB131">
        <f t="shared" ref="AB131:AB194" si="53">IF(AND(AND(C131="windows",D131="clang"),AND(F131="windows",G131="clang")),1,0)</f>
        <v>0</v>
      </c>
      <c r="AC131">
        <f t="shared" ref="AC131:AC194" si="54">IF(AND(OR(D131="clang",D131="gcc",D131="msvc"),OR(G131="gcc",G131="clang",G131="msvc")),1,0)</f>
        <v>0</v>
      </c>
      <c r="AD131">
        <f t="shared" ref="AD131:AD194" si="55">IF(AND(OR(D131="go",D131="tgo"),OR(G131="go",G131="tgo")),1,0)</f>
        <v>0</v>
      </c>
      <c r="AE131">
        <f t="shared" ref="AE131:AE194" si="56">IF(AND(OR(D131="rs-pure",D131="rs-sys"),OR(G131="rs-pure",G131="rs-sys")),1,0)</f>
        <v>0</v>
      </c>
      <c r="AF131">
        <f t="shared" ref="AF131:AF194" si="57">IF(C131=F131,1,0)</f>
        <v>0</v>
      </c>
      <c r="AG131">
        <f t="shared" ref="AG131:AG194" si="58">IF(B131=E131,1,0)</f>
        <v>0</v>
      </c>
      <c r="AH131">
        <f t="shared" si="45"/>
        <v>0</v>
      </c>
      <c r="AI131">
        <f t="shared" si="52"/>
        <v>0</v>
      </c>
      <c r="AJ131">
        <f t="shared" si="52"/>
        <v>0</v>
      </c>
      <c r="AK131">
        <f t="shared" si="52"/>
        <v>0</v>
      </c>
      <c r="AL131">
        <f t="shared" si="52"/>
        <v>0</v>
      </c>
      <c r="AM131">
        <f t="shared" si="52"/>
        <v>0</v>
      </c>
      <c r="AN131">
        <f t="shared" si="52"/>
        <v>1</v>
      </c>
      <c r="AO131">
        <f t="shared" si="52"/>
        <v>0</v>
      </c>
      <c r="AP131">
        <f t="shared" si="52"/>
        <v>0</v>
      </c>
      <c r="AQ131">
        <f t="shared" si="52"/>
        <v>0</v>
      </c>
      <c r="AR131">
        <f t="shared" si="52"/>
        <v>0</v>
      </c>
      <c r="AS131">
        <f t="shared" si="52"/>
        <v>0</v>
      </c>
      <c r="AT131">
        <f t="shared" si="52"/>
        <v>0</v>
      </c>
      <c r="AU131">
        <f t="shared" si="52"/>
        <v>0</v>
      </c>
      <c r="AV131">
        <f t="shared" si="52"/>
        <v>0</v>
      </c>
      <c r="AW131">
        <f t="shared" si="52"/>
        <v>0</v>
      </c>
      <c r="AX131">
        <f t="shared" si="46"/>
        <v>0</v>
      </c>
      <c r="AY131">
        <f t="shared" si="46"/>
        <v>0</v>
      </c>
      <c r="AZ131">
        <f t="shared" si="46"/>
        <v>1</v>
      </c>
      <c r="BA131">
        <f t="shared" si="47"/>
        <v>1</v>
      </c>
      <c r="BB131">
        <f t="shared" si="48"/>
        <v>1</v>
      </c>
    </row>
    <row r="132" spans="1:54">
      <c r="A132">
        <v>129</v>
      </c>
      <c r="B132" t="s">
        <v>20</v>
      </c>
      <c r="C132" t="s">
        <v>21</v>
      </c>
      <c r="D132" t="s">
        <v>25</v>
      </c>
      <c r="E132" t="s">
        <v>30</v>
      </c>
      <c r="F132" t="s">
        <v>29</v>
      </c>
      <c r="G132" t="s">
        <v>23</v>
      </c>
      <c r="H132" s="3">
        <v>2.8935640966221698E-2</v>
      </c>
      <c r="I132" s="3">
        <v>2.7819467408145501E-2</v>
      </c>
      <c r="J132" s="3">
        <v>2.4679011829935801E-2</v>
      </c>
      <c r="K132" s="3">
        <v>2.5198184850427401E-2</v>
      </c>
      <c r="L132" s="3">
        <v>1.8459822675873299E-2</v>
      </c>
      <c r="M132" s="3">
        <v>1.4426603111843799E-2</v>
      </c>
      <c r="N132" s="3">
        <v>3.1350717843539398E-2</v>
      </c>
      <c r="O132" s="3">
        <v>2.0172787203227901E-2</v>
      </c>
      <c r="P132">
        <f t="shared" ref="P132:P195" si="59">IF(OR(AND($C132="linux",$D132="clang"),AND($F132="linux",$G132="clang")),1,0)</f>
        <v>0</v>
      </c>
      <c r="Q132">
        <f t="shared" ref="Q132:Q195" si="60">IF(OR(AND($C132="linux",$D132="gcc"),AND($F132="linux",$G132="gcc")),1,0)</f>
        <v>0</v>
      </c>
      <c r="R132">
        <f t="shared" ref="R132:R195" si="61">IF(OR(AND($C132="linux",$D132="go"),AND($F132="linux",$G132="go")),1,0)</f>
        <v>0</v>
      </c>
      <c r="S132">
        <f t="shared" ref="S132:S195" si="62">IF(OR(AND($C132="linux",$D132="tgo"),AND($F132="linux",$G132="tgo")),1,0)</f>
        <v>0</v>
      </c>
      <c r="T132">
        <f t="shared" ref="T132:T195" si="63">IF(OR(AND($C132="darwin",$D132="clang"),AND($F132="darwin",$G132="clang")),1,0)</f>
        <v>0</v>
      </c>
      <c r="U132">
        <f t="shared" ref="U132:U195" si="64">IF(OR(AND($C132="darwin",$D132="gcc"),AND($F132="darwin",$G132="gcc")),1,0)</f>
        <v>0</v>
      </c>
      <c r="V132">
        <f t="shared" ref="V132:V195" si="65">IF(OR(AND($C132="darwin",$D132="go"),AND($F132="darwin",$G132="go")),1,0)</f>
        <v>0</v>
      </c>
      <c r="W132">
        <f t="shared" ref="W132:W195" si="66">IF(OR(AND($C132="darwin",$D132="tgo"),AND($F132="darwin",$G132="tgo")),1,0)</f>
        <v>0</v>
      </c>
      <c r="X132">
        <f t="shared" ref="X132:X195" si="67">IF(OR(AND($C132="windows",$D132="clang"),AND($F132="windows",$G132="clang")),1,0)</f>
        <v>0</v>
      </c>
      <c r="Y132">
        <f t="shared" ref="Y132:Y195" si="68">IF(OR(AND($C132="windows",$D132="gcc"),AND($F132="windows",$G132="gcc")),1,0)</f>
        <v>1</v>
      </c>
      <c r="Z132">
        <f t="shared" ref="Z132:Z195" si="69">IF(OR(AND($C132="windows",$D132="msvc"),AND($F132="windows",$G132="msvc")),1,0)</f>
        <v>0</v>
      </c>
      <c r="AA132">
        <f t="shared" ref="AA132:AA195" si="70">IF(OR(AND($C132="windows",$D132="go"),AND($F132="windows",$G132="go")),1,0)</f>
        <v>0</v>
      </c>
      <c r="AB132">
        <f t="shared" si="53"/>
        <v>0</v>
      </c>
      <c r="AC132">
        <f t="shared" si="54"/>
        <v>0</v>
      </c>
      <c r="AD132">
        <f t="shared" si="55"/>
        <v>0</v>
      </c>
      <c r="AE132">
        <f t="shared" si="56"/>
        <v>0</v>
      </c>
      <c r="AF132">
        <f t="shared" si="57"/>
        <v>0</v>
      </c>
      <c r="AG132">
        <f t="shared" si="58"/>
        <v>0</v>
      </c>
      <c r="AH132">
        <f t="shared" ref="AH132:AH195" si="71">IF(SUM(AC132:AE132)=1,1,0)</f>
        <v>0</v>
      </c>
      <c r="AI132">
        <f t="shared" si="52"/>
        <v>0</v>
      </c>
      <c r="AJ132">
        <f t="shared" si="52"/>
        <v>0</v>
      </c>
      <c r="AK132">
        <f t="shared" si="52"/>
        <v>0</v>
      </c>
      <c r="AL132">
        <f t="shared" si="52"/>
        <v>0</v>
      </c>
      <c r="AM132">
        <f t="shared" si="52"/>
        <v>0</v>
      </c>
      <c r="AN132">
        <f t="shared" si="52"/>
        <v>0</v>
      </c>
      <c r="AO132">
        <f t="shared" si="52"/>
        <v>1</v>
      </c>
      <c r="AP132">
        <f t="shared" si="52"/>
        <v>0</v>
      </c>
      <c r="AQ132">
        <f t="shared" si="52"/>
        <v>0</v>
      </c>
      <c r="AR132">
        <f t="shared" si="52"/>
        <v>0</v>
      </c>
      <c r="AS132">
        <f t="shared" si="52"/>
        <v>0</v>
      </c>
      <c r="AT132">
        <f t="shared" si="52"/>
        <v>0</v>
      </c>
      <c r="AU132">
        <f t="shared" si="52"/>
        <v>0</v>
      </c>
      <c r="AV132">
        <f t="shared" si="52"/>
        <v>0</v>
      </c>
      <c r="AW132">
        <f t="shared" si="52"/>
        <v>0</v>
      </c>
      <c r="AX132">
        <f t="shared" ref="AX132:AZ195" si="72">IF(OR(AND($C132=AX$1,$F132=AX$2),AND($C132=AX$2,$F132=AX$1)),1,0)</f>
        <v>0</v>
      </c>
      <c r="AY132">
        <f t="shared" si="72"/>
        <v>0</v>
      </c>
      <c r="AZ132">
        <f t="shared" si="72"/>
        <v>1</v>
      </c>
      <c r="BA132">
        <f t="shared" ref="BA132:BA195" si="73">IF(SUM(AI132:AQ132)=1,1,0)</f>
        <v>1</v>
      </c>
      <c r="BB132">
        <f t="shared" ref="BB132:BB195" si="74">IF(OR(C132="windows",F132="windows"),1,0)</f>
        <v>1</v>
      </c>
    </row>
    <row r="133" spans="1:54">
      <c r="A133">
        <v>130</v>
      </c>
      <c r="B133" t="s">
        <v>20</v>
      </c>
      <c r="C133" t="s">
        <v>21</v>
      </c>
      <c r="D133" t="s">
        <v>25</v>
      </c>
      <c r="E133" t="s">
        <v>30</v>
      </c>
      <c r="F133" t="s">
        <v>29</v>
      </c>
      <c r="G133" t="s">
        <v>24</v>
      </c>
      <c r="H133" s="3">
        <v>0.45656716245096302</v>
      </c>
      <c r="I133" s="3">
        <v>0.441725588069455</v>
      </c>
      <c r="J133" s="3">
        <v>0.37191774271459299</v>
      </c>
      <c r="K133" s="3">
        <v>0.39292527250831799</v>
      </c>
      <c r="L133" s="3">
        <v>0.252725109020144</v>
      </c>
      <c r="M133" s="3">
        <v>0.18478090591663601</v>
      </c>
      <c r="N133" s="3">
        <v>0.50952241429827105</v>
      </c>
      <c r="O133" s="3">
        <v>0.28840317308147501</v>
      </c>
      <c r="P133">
        <f t="shared" si="59"/>
        <v>0</v>
      </c>
      <c r="Q133">
        <f t="shared" si="60"/>
        <v>0</v>
      </c>
      <c r="R133">
        <f t="shared" si="61"/>
        <v>0</v>
      </c>
      <c r="S133">
        <f t="shared" si="62"/>
        <v>0</v>
      </c>
      <c r="T133">
        <f t="shared" si="63"/>
        <v>0</v>
      </c>
      <c r="U133">
        <f t="shared" si="64"/>
        <v>0</v>
      </c>
      <c r="V133">
        <f t="shared" si="65"/>
        <v>0</v>
      </c>
      <c r="W133">
        <f t="shared" si="66"/>
        <v>0</v>
      </c>
      <c r="X133">
        <f t="shared" si="67"/>
        <v>0</v>
      </c>
      <c r="Y133">
        <f t="shared" si="68"/>
        <v>0</v>
      </c>
      <c r="Z133">
        <f t="shared" si="69"/>
        <v>0</v>
      </c>
      <c r="AA133">
        <f t="shared" si="70"/>
        <v>1</v>
      </c>
      <c r="AB133">
        <f t="shared" si="53"/>
        <v>0</v>
      </c>
      <c r="AC133">
        <f t="shared" si="54"/>
        <v>0</v>
      </c>
      <c r="AD133">
        <f t="shared" si="55"/>
        <v>0</v>
      </c>
      <c r="AE133">
        <f t="shared" si="56"/>
        <v>0</v>
      </c>
      <c r="AF133">
        <f t="shared" si="57"/>
        <v>0</v>
      </c>
      <c r="AG133">
        <f t="shared" si="58"/>
        <v>0</v>
      </c>
      <c r="AH133">
        <f t="shared" si="71"/>
        <v>0</v>
      </c>
      <c r="AI133">
        <f t="shared" si="52"/>
        <v>0</v>
      </c>
      <c r="AJ133">
        <f t="shared" si="52"/>
        <v>0</v>
      </c>
      <c r="AK133">
        <f t="shared" si="52"/>
        <v>0</v>
      </c>
      <c r="AL133">
        <f t="shared" si="52"/>
        <v>0</v>
      </c>
      <c r="AM133">
        <f t="shared" si="52"/>
        <v>0</v>
      </c>
      <c r="AN133">
        <f t="shared" si="52"/>
        <v>0</v>
      </c>
      <c r="AO133">
        <f t="shared" si="52"/>
        <v>0</v>
      </c>
      <c r="AP133">
        <f t="shared" si="52"/>
        <v>1</v>
      </c>
      <c r="AQ133">
        <f t="shared" si="52"/>
        <v>0</v>
      </c>
      <c r="AR133">
        <f t="shared" si="52"/>
        <v>0</v>
      </c>
      <c r="AS133">
        <f t="shared" si="52"/>
        <v>0</v>
      </c>
      <c r="AT133">
        <f t="shared" si="52"/>
        <v>0</v>
      </c>
      <c r="AU133">
        <f t="shared" si="52"/>
        <v>0</v>
      </c>
      <c r="AV133">
        <f t="shared" si="52"/>
        <v>0</v>
      </c>
      <c r="AW133">
        <f t="shared" si="52"/>
        <v>0</v>
      </c>
      <c r="AX133">
        <f t="shared" si="72"/>
        <v>0</v>
      </c>
      <c r="AY133">
        <f t="shared" si="72"/>
        <v>0</v>
      </c>
      <c r="AZ133">
        <f t="shared" si="72"/>
        <v>1</v>
      </c>
      <c r="BA133">
        <f t="shared" si="73"/>
        <v>1</v>
      </c>
      <c r="BB133">
        <f t="shared" si="74"/>
        <v>1</v>
      </c>
    </row>
    <row r="134" spans="1:54">
      <c r="A134">
        <v>131</v>
      </c>
      <c r="B134" t="s">
        <v>20</v>
      </c>
      <c r="C134" t="s">
        <v>21</v>
      </c>
      <c r="D134" t="s">
        <v>25</v>
      </c>
      <c r="E134" t="s">
        <v>30</v>
      </c>
      <c r="F134" t="s">
        <v>29</v>
      </c>
      <c r="G134" t="s">
        <v>31</v>
      </c>
      <c r="H134" s="3">
        <v>3.5564083864669603E-2</v>
      </c>
      <c r="I134" s="3">
        <v>3.3693560144316202E-2</v>
      </c>
      <c r="J134" s="3">
        <v>3.0823731935465701E-2</v>
      </c>
      <c r="K134" s="3">
        <v>3.0571495066699199E-2</v>
      </c>
      <c r="L134" s="3">
        <v>2.3902282054461502E-2</v>
      </c>
      <c r="M134" s="3">
        <v>1.91348235637805E-2</v>
      </c>
      <c r="N134" s="3">
        <v>3.80896571930852E-2</v>
      </c>
      <c r="O134" s="3">
        <v>2.56607586260372E-2</v>
      </c>
      <c r="P134">
        <f t="shared" si="59"/>
        <v>0</v>
      </c>
      <c r="Q134">
        <f t="shared" si="60"/>
        <v>0</v>
      </c>
      <c r="R134">
        <f t="shared" si="61"/>
        <v>0</v>
      </c>
      <c r="S134">
        <f t="shared" si="62"/>
        <v>0</v>
      </c>
      <c r="T134">
        <f t="shared" si="63"/>
        <v>0</v>
      </c>
      <c r="U134">
        <f t="shared" si="64"/>
        <v>0</v>
      </c>
      <c r="V134">
        <f t="shared" si="65"/>
        <v>0</v>
      </c>
      <c r="W134">
        <f t="shared" si="66"/>
        <v>0</v>
      </c>
      <c r="X134">
        <f t="shared" si="67"/>
        <v>0</v>
      </c>
      <c r="Y134">
        <f t="shared" si="68"/>
        <v>0</v>
      </c>
      <c r="Z134">
        <f t="shared" si="69"/>
        <v>1</v>
      </c>
      <c r="AA134">
        <f t="shared" si="70"/>
        <v>0</v>
      </c>
      <c r="AB134">
        <f t="shared" si="53"/>
        <v>0</v>
      </c>
      <c r="AC134">
        <f t="shared" si="54"/>
        <v>0</v>
      </c>
      <c r="AD134">
        <f t="shared" si="55"/>
        <v>0</v>
      </c>
      <c r="AE134">
        <f t="shared" si="56"/>
        <v>0</v>
      </c>
      <c r="AF134">
        <f t="shared" si="57"/>
        <v>0</v>
      </c>
      <c r="AG134">
        <f t="shared" si="58"/>
        <v>0</v>
      </c>
      <c r="AH134">
        <f t="shared" si="71"/>
        <v>0</v>
      </c>
      <c r="AI134">
        <f t="shared" si="52"/>
        <v>0</v>
      </c>
      <c r="AJ134">
        <f t="shared" si="52"/>
        <v>0</v>
      </c>
      <c r="AK134">
        <f t="shared" si="52"/>
        <v>0</v>
      </c>
      <c r="AL134">
        <f t="shared" si="52"/>
        <v>0</v>
      </c>
      <c r="AM134">
        <f t="shared" si="52"/>
        <v>0</v>
      </c>
      <c r="AN134">
        <f t="shared" si="52"/>
        <v>0</v>
      </c>
      <c r="AO134">
        <f t="shared" si="52"/>
        <v>0</v>
      </c>
      <c r="AP134">
        <f t="shared" si="52"/>
        <v>0</v>
      </c>
      <c r="AQ134">
        <f t="shared" si="52"/>
        <v>0</v>
      </c>
      <c r="AR134">
        <f t="shared" si="52"/>
        <v>0</v>
      </c>
      <c r="AS134">
        <f t="shared" si="52"/>
        <v>0</v>
      </c>
      <c r="AT134">
        <f t="shared" si="52"/>
        <v>0</v>
      </c>
      <c r="AU134">
        <f t="shared" si="52"/>
        <v>0</v>
      </c>
      <c r="AV134">
        <f t="shared" si="52"/>
        <v>0</v>
      </c>
      <c r="AW134">
        <f t="shared" si="52"/>
        <v>0</v>
      </c>
      <c r="AX134">
        <f t="shared" si="72"/>
        <v>0</v>
      </c>
      <c r="AY134">
        <f t="shared" si="72"/>
        <v>0</v>
      </c>
      <c r="AZ134">
        <f t="shared" si="72"/>
        <v>1</v>
      </c>
      <c r="BA134">
        <f t="shared" si="73"/>
        <v>0</v>
      </c>
      <c r="BB134">
        <f t="shared" si="74"/>
        <v>1</v>
      </c>
    </row>
    <row r="135" spans="1:54">
      <c r="A135">
        <v>132</v>
      </c>
      <c r="B135" t="s">
        <v>20</v>
      </c>
      <c r="C135" t="s">
        <v>21</v>
      </c>
      <c r="D135" t="s">
        <v>25</v>
      </c>
      <c r="E135" t="s">
        <v>30</v>
      </c>
      <c r="F135" t="s">
        <v>29</v>
      </c>
      <c r="G135" t="s">
        <v>25</v>
      </c>
      <c r="H135" s="3">
        <v>0.15544204094254599</v>
      </c>
      <c r="I135" s="3">
        <v>0.153414622339239</v>
      </c>
      <c r="J135" s="3">
        <v>0.12958554718597301</v>
      </c>
      <c r="K135" s="3">
        <v>0.140445818560999</v>
      </c>
      <c r="L135" s="3">
        <v>0.107159190383011</v>
      </c>
      <c r="M135" s="3">
        <v>8.7414050996915002E-2</v>
      </c>
      <c r="N135" s="3">
        <v>0.17132674062546999</v>
      </c>
      <c r="O135" s="3">
        <v>0.106589803327978</v>
      </c>
      <c r="P135">
        <f t="shared" si="59"/>
        <v>0</v>
      </c>
      <c r="Q135">
        <f t="shared" si="60"/>
        <v>0</v>
      </c>
      <c r="R135">
        <f t="shared" si="61"/>
        <v>0</v>
      </c>
      <c r="S135">
        <f t="shared" si="62"/>
        <v>0</v>
      </c>
      <c r="T135">
        <f t="shared" si="63"/>
        <v>0</v>
      </c>
      <c r="U135">
        <f t="shared" si="64"/>
        <v>0</v>
      </c>
      <c r="V135">
        <f t="shared" si="65"/>
        <v>0</v>
      </c>
      <c r="W135">
        <f t="shared" si="66"/>
        <v>0</v>
      </c>
      <c r="X135">
        <f t="shared" si="67"/>
        <v>0</v>
      </c>
      <c r="Y135">
        <f t="shared" si="68"/>
        <v>0</v>
      </c>
      <c r="Z135">
        <f t="shared" si="69"/>
        <v>0</v>
      </c>
      <c r="AA135">
        <f t="shared" si="70"/>
        <v>0</v>
      </c>
      <c r="AB135">
        <f t="shared" si="53"/>
        <v>0</v>
      </c>
      <c r="AC135">
        <f t="shared" si="54"/>
        <v>0</v>
      </c>
      <c r="AD135">
        <f t="shared" si="55"/>
        <v>0</v>
      </c>
      <c r="AE135">
        <f t="shared" si="56"/>
        <v>1</v>
      </c>
      <c r="AF135">
        <f t="shared" si="57"/>
        <v>0</v>
      </c>
      <c r="AG135">
        <f t="shared" si="58"/>
        <v>0</v>
      </c>
      <c r="AH135">
        <f t="shared" si="71"/>
        <v>1</v>
      </c>
      <c r="AI135">
        <f t="shared" si="52"/>
        <v>0</v>
      </c>
      <c r="AJ135">
        <f t="shared" si="52"/>
        <v>0</v>
      </c>
      <c r="AK135">
        <f t="shared" si="52"/>
        <v>0</v>
      </c>
      <c r="AL135">
        <f t="shared" si="52"/>
        <v>0</v>
      </c>
      <c r="AM135">
        <f t="shared" si="52"/>
        <v>0</v>
      </c>
      <c r="AN135">
        <f t="shared" si="52"/>
        <v>0</v>
      </c>
      <c r="AO135">
        <f t="shared" si="52"/>
        <v>0</v>
      </c>
      <c r="AP135">
        <f t="shared" si="52"/>
        <v>0</v>
      </c>
      <c r="AQ135">
        <f t="shared" si="52"/>
        <v>0</v>
      </c>
      <c r="AR135">
        <f t="shared" si="52"/>
        <v>0</v>
      </c>
      <c r="AS135">
        <f t="shared" si="52"/>
        <v>0</v>
      </c>
      <c r="AT135">
        <f t="shared" si="52"/>
        <v>0</v>
      </c>
      <c r="AU135">
        <f t="shared" si="52"/>
        <v>0</v>
      </c>
      <c r="AV135">
        <f t="shared" si="52"/>
        <v>0</v>
      </c>
      <c r="AW135">
        <f t="shared" si="52"/>
        <v>0</v>
      </c>
      <c r="AX135">
        <f t="shared" si="72"/>
        <v>0</v>
      </c>
      <c r="AY135">
        <f t="shared" si="72"/>
        <v>0</v>
      </c>
      <c r="AZ135">
        <f t="shared" si="72"/>
        <v>1</v>
      </c>
      <c r="BA135">
        <f t="shared" si="73"/>
        <v>0</v>
      </c>
      <c r="BB135">
        <f t="shared" si="74"/>
        <v>1</v>
      </c>
    </row>
    <row r="136" spans="1:54">
      <c r="A136">
        <v>133</v>
      </c>
      <c r="B136" t="s">
        <v>20</v>
      </c>
      <c r="C136" t="s">
        <v>21</v>
      </c>
      <c r="D136" t="s">
        <v>25</v>
      </c>
      <c r="E136" t="s">
        <v>30</v>
      </c>
      <c r="F136" t="s">
        <v>29</v>
      </c>
      <c r="G136" t="s">
        <v>26</v>
      </c>
      <c r="H136" s="3">
        <v>0.15893296045796401</v>
      </c>
      <c r="I136" s="3">
        <v>0.15660390609136099</v>
      </c>
      <c r="J136" s="3">
        <v>0.132492060615373</v>
      </c>
      <c r="K136" s="3">
        <v>0.143190906848879</v>
      </c>
      <c r="L136" s="3">
        <v>0.109560952601422</v>
      </c>
      <c r="M136" s="3">
        <v>8.9341657405828695E-2</v>
      </c>
      <c r="N136" s="3">
        <v>0.17520533880903399</v>
      </c>
      <c r="O136" s="3">
        <v>0.10892552485</v>
      </c>
      <c r="P136">
        <f t="shared" si="59"/>
        <v>0</v>
      </c>
      <c r="Q136">
        <f t="shared" si="60"/>
        <v>0</v>
      </c>
      <c r="R136">
        <f t="shared" si="61"/>
        <v>0</v>
      </c>
      <c r="S136">
        <f t="shared" si="62"/>
        <v>0</v>
      </c>
      <c r="T136">
        <f t="shared" si="63"/>
        <v>0</v>
      </c>
      <c r="U136">
        <f t="shared" si="64"/>
        <v>0</v>
      </c>
      <c r="V136">
        <f t="shared" si="65"/>
        <v>0</v>
      </c>
      <c r="W136">
        <f t="shared" si="66"/>
        <v>0</v>
      </c>
      <c r="X136">
        <f t="shared" si="67"/>
        <v>0</v>
      </c>
      <c r="Y136">
        <f t="shared" si="68"/>
        <v>0</v>
      </c>
      <c r="Z136">
        <f t="shared" si="69"/>
        <v>0</v>
      </c>
      <c r="AA136">
        <f t="shared" si="70"/>
        <v>0</v>
      </c>
      <c r="AB136">
        <f t="shared" si="53"/>
        <v>0</v>
      </c>
      <c r="AC136">
        <f t="shared" si="54"/>
        <v>0</v>
      </c>
      <c r="AD136">
        <f t="shared" si="55"/>
        <v>0</v>
      </c>
      <c r="AE136">
        <f t="shared" si="56"/>
        <v>1</v>
      </c>
      <c r="AF136">
        <f t="shared" si="57"/>
        <v>0</v>
      </c>
      <c r="AG136">
        <f t="shared" si="58"/>
        <v>0</v>
      </c>
      <c r="AH136">
        <f t="shared" si="71"/>
        <v>1</v>
      </c>
      <c r="AI136">
        <f t="shared" si="52"/>
        <v>1</v>
      </c>
      <c r="AJ136">
        <f t="shared" si="52"/>
        <v>0</v>
      </c>
      <c r="AK136">
        <f t="shared" si="52"/>
        <v>0</v>
      </c>
      <c r="AL136">
        <f t="shared" si="52"/>
        <v>0</v>
      </c>
      <c r="AM136">
        <f t="shared" si="52"/>
        <v>0</v>
      </c>
      <c r="AN136">
        <f t="shared" si="52"/>
        <v>0</v>
      </c>
      <c r="AO136">
        <f t="shared" si="52"/>
        <v>0</v>
      </c>
      <c r="AP136">
        <f t="shared" si="52"/>
        <v>0</v>
      </c>
      <c r="AQ136">
        <f t="shared" si="52"/>
        <v>0</v>
      </c>
      <c r="AR136">
        <f t="shared" si="52"/>
        <v>0</v>
      </c>
      <c r="AS136">
        <f t="shared" si="52"/>
        <v>0</v>
      </c>
      <c r="AT136">
        <f t="shared" si="52"/>
        <v>0</v>
      </c>
      <c r="AU136">
        <f t="shared" si="52"/>
        <v>0</v>
      </c>
      <c r="AV136">
        <f t="shared" si="52"/>
        <v>0</v>
      </c>
      <c r="AW136">
        <f t="shared" si="52"/>
        <v>0</v>
      </c>
      <c r="AX136">
        <f t="shared" si="72"/>
        <v>0</v>
      </c>
      <c r="AY136">
        <f t="shared" si="72"/>
        <v>0</v>
      </c>
      <c r="AZ136">
        <f t="shared" si="72"/>
        <v>1</v>
      </c>
      <c r="BA136">
        <f t="shared" si="73"/>
        <v>1</v>
      </c>
      <c r="BB136">
        <f t="shared" si="74"/>
        <v>1</v>
      </c>
    </row>
    <row r="137" spans="1:54">
      <c r="A137">
        <v>134</v>
      </c>
      <c r="B137" t="s">
        <v>20</v>
      </c>
      <c r="C137" t="s">
        <v>21</v>
      </c>
      <c r="D137" t="s">
        <v>26</v>
      </c>
      <c r="E137" t="s">
        <v>20</v>
      </c>
      <c r="F137" t="s">
        <v>21</v>
      </c>
      <c r="G137" t="s">
        <v>27</v>
      </c>
      <c r="H137" s="3">
        <v>0.15714350530472301</v>
      </c>
      <c r="I137" s="3">
        <v>0.15331937414983701</v>
      </c>
      <c r="J137" s="3">
        <v>0.13425938433669801</v>
      </c>
      <c r="K137" s="3">
        <v>0.14028142641521099</v>
      </c>
      <c r="L137" s="3">
        <v>0.102050807384732</v>
      </c>
      <c r="M137" s="3">
        <v>8.04586712063739E-2</v>
      </c>
      <c r="N137" s="3">
        <v>0.17097061442564501</v>
      </c>
      <c r="O137" s="3">
        <v>0.111110389432996</v>
      </c>
      <c r="P137">
        <f t="shared" si="59"/>
        <v>0</v>
      </c>
      <c r="Q137">
        <f t="shared" si="60"/>
        <v>0</v>
      </c>
      <c r="R137">
        <f t="shared" si="61"/>
        <v>0</v>
      </c>
      <c r="S137">
        <f t="shared" si="62"/>
        <v>0</v>
      </c>
      <c r="T137">
        <f t="shared" si="63"/>
        <v>0</v>
      </c>
      <c r="U137">
        <f t="shared" si="64"/>
        <v>0</v>
      </c>
      <c r="V137">
        <f t="shared" si="65"/>
        <v>0</v>
      </c>
      <c r="W137">
        <f t="shared" si="66"/>
        <v>1</v>
      </c>
      <c r="X137">
        <f t="shared" si="67"/>
        <v>0</v>
      </c>
      <c r="Y137">
        <f t="shared" si="68"/>
        <v>0</v>
      </c>
      <c r="Z137">
        <f t="shared" si="69"/>
        <v>0</v>
      </c>
      <c r="AA137">
        <f t="shared" si="70"/>
        <v>0</v>
      </c>
      <c r="AB137">
        <f t="shared" si="53"/>
        <v>0</v>
      </c>
      <c r="AC137">
        <f t="shared" si="54"/>
        <v>0</v>
      </c>
      <c r="AD137">
        <f t="shared" si="55"/>
        <v>0</v>
      </c>
      <c r="AE137">
        <f t="shared" si="56"/>
        <v>0</v>
      </c>
      <c r="AF137">
        <f t="shared" si="57"/>
        <v>1</v>
      </c>
      <c r="AG137">
        <f t="shared" si="58"/>
        <v>1</v>
      </c>
      <c r="AH137">
        <f t="shared" si="71"/>
        <v>0</v>
      </c>
      <c r="AI137">
        <f t="shared" ref="AI137:AW153" si="75">IF(OR(AND($D137=AI$1,$G137=AI$2),AND($D137=AI$2,$G137=AI$1)),1,0)</f>
        <v>0</v>
      </c>
      <c r="AJ137">
        <f t="shared" si="75"/>
        <v>0</v>
      </c>
      <c r="AK137">
        <f t="shared" si="75"/>
        <v>0</v>
      </c>
      <c r="AL137">
        <f t="shared" si="75"/>
        <v>0</v>
      </c>
      <c r="AM137">
        <f t="shared" si="75"/>
        <v>1</v>
      </c>
      <c r="AN137">
        <f t="shared" si="75"/>
        <v>0</v>
      </c>
      <c r="AO137">
        <f t="shared" si="75"/>
        <v>0</v>
      </c>
      <c r="AP137">
        <f t="shared" si="75"/>
        <v>0</v>
      </c>
      <c r="AQ137">
        <f t="shared" si="75"/>
        <v>0</v>
      </c>
      <c r="AR137">
        <f t="shared" si="75"/>
        <v>0</v>
      </c>
      <c r="AS137">
        <f t="shared" si="75"/>
        <v>0</v>
      </c>
      <c r="AT137">
        <f t="shared" si="75"/>
        <v>0</v>
      </c>
      <c r="AU137">
        <f t="shared" si="75"/>
        <v>0</v>
      </c>
      <c r="AV137">
        <f t="shared" si="75"/>
        <v>0</v>
      </c>
      <c r="AW137">
        <f t="shared" si="75"/>
        <v>0</v>
      </c>
      <c r="AX137">
        <f t="shared" si="72"/>
        <v>0</v>
      </c>
      <c r="AY137">
        <f t="shared" si="72"/>
        <v>0</v>
      </c>
      <c r="AZ137">
        <f t="shared" si="72"/>
        <v>0</v>
      </c>
      <c r="BA137">
        <f t="shared" si="73"/>
        <v>1</v>
      </c>
      <c r="BB137">
        <f t="shared" si="74"/>
        <v>0</v>
      </c>
    </row>
    <row r="138" spans="1:54">
      <c r="A138">
        <v>135</v>
      </c>
      <c r="B138" t="s">
        <v>20</v>
      </c>
      <c r="C138" t="s">
        <v>21</v>
      </c>
      <c r="D138" t="s">
        <v>26</v>
      </c>
      <c r="E138" t="s">
        <v>20</v>
      </c>
      <c r="F138" t="s">
        <v>28</v>
      </c>
      <c r="G138" t="s">
        <v>22</v>
      </c>
      <c r="H138" s="3">
        <v>1.8713161930373999E-2</v>
      </c>
      <c r="I138" s="3">
        <v>1.8229236406772799E-2</v>
      </c>
      <c r="J138" s="3">
        <v>1.5934945109766199E-2</v>
      </c>
      <c r="K138" s="3">
        <v>1.6784508537752901E-2</v>
      </c>
      <c r="L138" s="3">
        <v>1.2177333821430301E-2</v>
      </c>
      <c r="M138" s="3">
        <v>9.7010322948752007E-3</v>
      </c>
      <c r="N138" s="3">
        <v>2.0184030869694201E-2</v>
      </c>
      <c r="O138" s="3">
        <v>1.31366948756913E-2</v>
      </c>
      <c r="P138">
        <f t="shared" si="59"/>
        <v>1</v>
      </c>
      <c r="Q138">
        <f t="shared" si="60"/>
        <v>0</v>
      </c>
      <c r="R138">
        <f t="shared" si="61"/>
        <v>0</v>
      </c>
      <c r="S138">
        <f t="shared" si="62"/>
        <v>0</v>
      </c>
      <c r="T138">
        <f t="shared" si="63"/>
        <v>0</v>
      </c>
      <c r="U138">
        <f t="shared" si="64"/>
        <v>0</v>
      </c>
      <c r="V138">
        <f t="shared" si="65"/>
        <v>0</v>
      </c>
      <c r="W138">
        <f t="shared" si="66"/>
        <v>0</v>
      </c>
      <c r="X138">
        <f t="shared" si="67"/>
        <v>0</v>
      </c>
      <c r="Y138">
        <f t="shared" si="68"/>
        <v>0</v>
      </c>
      <c r="Z138">
        <f t="shared" si="69"/>
        <v>0</v>
      </c>
      <c r="AA138">
        <f t="shared" si="70"/>
        <v>0</v>
      </c>
      <c r="AB138">
        <f t="shared" si="53"/>
        <v>0</v>
      </c>
      <c r="AC138">
        <f t="shared" si="54"/>
        <v>0</v>
      </c>
      <c r="AD138">
        <f t="shared" si="55"/>
        <v>0</v>
      </c>
      <c r="AE138">
        <f t="shared" si="56"/>
        <v>0</v>
      </c>
      <c r="AF138">
        <f t="shared" si="57"/>
        <v>0</v>
      </c>
      <c r="AG138">
        <f t="shared" si="58"/>
        <v>1</v>
      </c>
      <c r="AH138">
        <f t="shared" si="71"/>
        <v>0</v>
      </c>
      <c r="AI138">
        <f t="shared" si="75"/>
        <v>0</v>
      </c>
      <c r="AJ138">
        <f t="shared" si="75"/>
        <v>1</v>
      </c>
      <c r="AK138">
        <f t="shared" si="75"/>
        <v>0</v>
      </c>
      <c r="AL138">
        <f t="shared" si="75"/>
        <v>0</v>
      </c>
      <c r="AM138">
        <f t="shared" si="75"/>
        <v>0</v>
      </c>
      <c r="AN138">
        <f t="shared" si="75"/>
        <v>0</v>
      </c>
      <c r="AO138">
        <f t="shared" si="75"/>
        <v>0</v>
      </c>
      <c r="AP138">
        <f t="shared" si="75"/>
        <v>0</v>
      </c>
      <c r="AQ138">
        <f t="shared" si="75"/>
        <v>0</v>
      </c>
      <c r="AR138">
        <f t="shared" si="75"/>
        <v>0</v>
      </c>
      <c r="AS138">
        <f t="shared" si="75"/>
        <v>0</v>
      </c>
      <c r="AT138">
        <f t="shared" si="75"/>
        <v>0</v>
      </c>
      <c r="AU138">
        <f t="shared" si="75"/>
        <v>0</v>
      </c>
      <c r="AV138">
        <f t="shared" si="75"/>
        <v>0</v>
      </c>
      <c r="AW138">
        <f t="shared" si="75"/>
        <v>0</v>
      </c>
      <c r="AX138">
        <f t="shared" si="72"/>
        <v>1</v>
      </c>
      <c r="AY138">
        <f t="shared" si="72"/>
        <v>0</v>
      </c>
      <c r="AZ138">
        <f t="shared" si="72"/>
        <v>0</v>
      </c>
      <c r="BA138">
        <f t="shared" si="73"/>
        <v>1</v>
      </c>
      <c r="BB138">
        <f t="shared" si="74"/>
        <v>0</v>
      </c>
    </row>
    <row r="139" spans="1:54">
      <c r="A139">
        <v>136</v>
      </c>
      <c r="B139" t="s">
        <v>20</v>
      </c>
      <c r="C139" t="s">
        <v>21</v>
      </c>
      <c r="D139" t="s">
        <v>26</v>
      </c>
      <c r="E139" t="s">
        <v>20</v>
      </c>
      <c r="F139" t="s">
        <v>28</v>
      </c>
      <c r="G139" t="s">
        <v>23</v>
      </c>
      <c r="H139" s="3">
        <v>2.0672310099543598E-2</v>
      </c>
      <c r="I139" s="3">
        <v>1.98849403197023E-2</v>
      </c>
      <c r="J139" s="3">
        <v>1.7798454413430299E-2</v>
      </c>
      <c r="K139" s="3">
        <v>1.81358429286692E-2</v>
      </c>
      <c r="L139" s="3">
        <v>1.3144551193376E-2</v>
      </c>
      <c r="M139" s="3">
        <v>1.0290605121229E-2</v>
      </c>
      <c r="N139" s="3">
        <v>2.2261798753339199E-2</v>
      </c>
      <c r="O139" s="3">
        <v>1.46260053749519E-2</v>
      </c>
      <c r="P139">
        <f t="shared" si="59"/>
        <v>0</v>
      </c>
      <c r="Q139">
        <f t="shared" si="60"/>
        <v>1</v>
      </c>
      <c r="R139">
        <f t="shared" si="61"/>
        <v>0</v>
      </c>
      <c r="S139">
        <f t="shared" si="62"/>
        <v>0</v>
      </c>
      <c r="T139">
        <f t="shared" si="63"/>
        <v>0</v>
      </c>
      <c r="U139">
        <f t="shared" si="64"/>
        <v>0</v>
      </c>
      <c r="V139">
        <f t="shared" si="65"/>
        <v>0</v>
      </c>
      <c r="W139">
        <f t="shared" si="66"/>
        <v>0</v>
      </c>
      <c r="X139">
        <f t="shared" si="67"/>
        <v>0</v>
      </c>
      <c r="Y139">
        <f t="shared" si="68"/>
        <v>0</v>
      </c>
      <c r="Z139">
        <f t="shared" si="69"/>
        <v>0</v>
      </c>
      <c r="AA139">
        <f t="shared" si="70"/>
        <v>0</v>
      </c>
      <c r="AB139">
        <f t="shared" si="53"/>
        <v>0</v>
      </c>
      <c r="AC139">
        <f t="shared" si="54"/>
        <v>0</v>
      </c>
      <c r="AD139">
        <f t="shared" si="55"/>
        <v>0</v>
      </c>
      <c r="AE139">
        <f t="shared" si="56"/>
        <v>0</v>
      </c>
      <c r="AF139">
        <f t="shared" si="57"/>
        <v>0</v>
      </c>
      <c r="AG139">
        <f t="shared" si="58"/>
        <v>1</v>
      </c>
      <c r="AH139">
        <f t="shared" si="71"/>
        <v>0</v>
      </c>
      <c r="AI139">
        <f t="shared" si="75"/>
        <v>0</v>
      </c>
      <c r="AJ139">
        <f t="shared" si="75"/>
        <v>0</v>
      </c>
      <c r="AK139">
        <f t="shared" si="75"/>
        <v>1</v>
      </c>
      <c r="AL139">
        <f t="shared" si="75"/>
        <v>0</v>
      </c>
      <c r="AM139">
        <f t="shared" si="75"/>
        <v>0</v>
      </c>
      <c r="AN139">
        <f t="shared" si="75"/>
        <v>0</v>
      </c>
      <c r="AO139">
        <f t="shared" si="75"/>
        <v>0</v>
      </c>
      <c r="AP139">
        <f t="shared" si="75"/>
        <v>0</v>
      </c>
      <c r="AQ139">
        <f t="shared" si="75"/>
        <v>0</v>
      </c>
      <c r="AR139">
        <f t="shared" si="75"/>
        <v>0</v>
      </c>
      <c r="AS139">
        <f t="shared" si="75"/>
        <v>0</v>
      </c>
      <c r="AT139">
        <f t="shared" si="75"/>
        <v>0</v>
      </c>
      <c r="AU139">
        <f t="shared" si="75"/>
        <v>0</v>
      </c>
      <c r="AV139">
        <f t="shared" si="75"/>
        <v>0</v>
      </c>
      <c r="AW139">
        <f t="shared" si="75"/>
        <v>0</v>
      </c>
      <c r="AX139">
        <f t="shared" si="72"/>
        <v>1</v>
      </c>
      <c r="AY139">
        <f t="shared" si="72"/>
        <v>0</v>
      </c>
      <c r="AZ139">
        <f t="shared" si="72"/>
        <v>0</v>
      </c>
      <c r="BA139">
        <f t="shared" si="73"/>
        <v>1</v>
      </c>
      <c r="BB139">
        <f t="shared" si="74"/>
        <v>0</v>
      </c>
    </row>
    <row r="140" spans="1:54">
      <c r="A140">
        <v>137</v>
      </c>
      <c r="B140" t="s">
        <v>20</v>
      </c>
      <c r="C140" t="s">
        <v>21</v>
      </c>
      <c r="D140" t="s">
        <v>26</v>
      </c>
      <c r="E140" t="s">
        <v>20</v>
      </c>
      <c r="F140" t="s">
        <v>28</v>
      </c>
      <c r="G140" t="s">
        <v>24</v>
      </c>
      <c r="H140" s="3">
        <v>0.66366910487173603</v>
      </c>
      <c r="I140" s="3">
        <v>0.630650041754513</v>
      </c>
      <c r="J140" s="3">
        <v>0.54541239297670296</v>
      </c>
      <c r="K140" s="3">
        <v>0.54527364389104505</v>
      </c>
      <c r="L140" s="3">
        <v>0.40146426844684002</v>
      </c>
      <c r="M140" s="3">
        <v>0.2996396719785</v>
      </c>
      <c r="N140" s="3">
        <v>0.76341986894079505</v>
      </c>
      <c r="O140" s="3">
        <v>0.423136405415525</v>
      </c>
      <c r="P140">
        <f t="shared" si="59"/>
        <v>0</v>
      </c>
      <c r="Q140">
        <f t="shared" si="60"/>
        <v>0</v>
      </c>
      <c r="R140">
        <f t="shared" si="61"/>
        <v>1</v>
      </c>
      <c r="S140">
        <f t="shared" si="62"/>
        <v>0</v>
      </c>
      <c r="T140">
        <f t="shared" si="63"/>
        <v>0</v>
      </c>
      <c r="U140">
        <f t="shared" si="64"/>
        <v>0</v>
      </c>
      <c r="V140">
        <f t="shared" si="65"/>
        <v>0</v>
      </c>
      <c r="W140">
        <f t="shared" si="66"/>
        <v>0</v>
      </c>
      <c r="X140">
        <f t="shared" si="67"/>
        <v>0</v>
      </c>
      <c r="Y140">
        <f t="shared" si="68"/>
        <v>0</v>
      </c>
      <c r="Z140">
        <f t="shared" si="69"/>
        <v>0</v>
      </c>
      <c r="AA140">
        <f t="shared" si="70"/>
        <v>0</v>
      </c>
      <c r="AB140">
        <f t="shared" si="53"/>
        <v>0</v>
      </c>
      <c r="AC140">
        <f t="shared" si="54"/>
        <v>0</v>
      </c>
      <c r="AD140">
        <f t="shared" si="55"/>
        <v>0</v>
      </c>
      <c r="AE140">
        <f t="shared" si="56"/>
        <v>0</v>
      </c>
      <c r="AF140">
        <f t="shared" si="57"/>
        <v>0</v>
      </c>
      <c r="AG140">
        <f t="shared" si="58"/>
        <v>1</v>
      </c>
      <c r="AH140">
        <f t="shared" si="71"/>
        <v>0</v>
      </c>
      <c r="AI140">
        <f t="shared" si="75"/>
        <v>0</v>
      </c>
      <c r="AJ140">
        <f t="shared" si="75"/>
        <v>0</v>
      </c>
      <c r="AK140">
        <f t="shared" si="75"/>
        <v>0</v>
      </c>
      <c r="AL140">
        <f t="shared" si="75"/>
        <v>1</v>
      </c>
      <c r="AM140">
        <f t="shared" si="75"/>
        <v>0</v>
      </c>
      <c r="AN140">
        <f t="shared" si="75"/>
        <v>0</v>
      </c>
      <c r="AO140">
        <f t="shared" si="75"/>
        <v>0</v>
      </c>
      <c r="AP140">
        <f t="shared" si="75"/>
        <v>0</v>
      </c>
      <c r="AQ140">
        <f t="shared" si="75"/>
        <v>0</v>
      </c>
      <c r="AR140">
        <f t="shared" si="75"/>
        <v>0</v>
      </c>
      <c r="AS140">
        <f t="shared" si="75"/>
        <v>0</v>
      </c>
      <c r="AT140">
        <f t="shared" si="75"/>
        <v>0</v>
      </c>
      <c r="AU140">
        <f t="shared" si="75"/>
        <v>0</v>
      </c>
      <c r="AV140">
        <f t="shared" si="75"/>
        <v>0</v>
      </c>
      <c r="AW140">
        <f t="shared" si="75"/>
        <v>0</v>
      </c>
      <c r="AX140">
        <f t="shared" si="72"/>
        <v>1</v>
      </c>
      <c r="AY140">
        <f t="shared" si="72"/>
        <v>0</v>
      </c>
      <c r="AZ140">
        <f t="shared" si="72"/>
        <v>0</v>
      </c>
      <c r="BA140">
        <f t="shared" si="73"/>
        <v>1</v>
      </c>
      <c r="BB140">
        <f t="shared" si="74"/>
        <v>0</v>
      </c>
    </row>
    <row r="141" spans="1:54">
      <c r="A141">
        <v>138</v>
      </c>
      <c r="B141" t="s">
        <v>20</v>
      </c>
      <c r="C141" t="s">
        <v>21</v>
      </c>
      <c r="D141" t="s">
        <v>26</v>
      </c>
      <c r="E141" t="s">
        <v>20</v>
      </c>
      <c r="F141" t="s">
        <v>28</v>
      </c>
      <c r="G141" t="s">
        <v>25</v>
      </c>
      <c r="H141" s="3">
        <v>0.82075155245348097</v>
      </c>
      <c r="I141" s="3">
        <v>0.84292156826571596</v>
      </c>
      <c r="J141" s="3">
        <v>0.69620812293300205</v>
      </c>
      <c r="K141" s="3">
        <v>0.756421650422473</v>
      </c>
      <c r="L141" s="3">
        <v>0.68288610171936603</v>
      </c>
      <c r="M141" s="3">
        <v>0.57962911332164402</v>
      </c>
      <c r="N141" s="3">
        <v>0.97080174623689297</v>
      </c>
      <c r="O141" s="3">
        <v>0.61446116907903203</v>
      </c>
      <c r="P141">
        <f t="shared" si="59"/>
        <v>0</v>
      </c>
      <c r="Q141">
        <f t="shared" si="60"/>
        <v>0</v>
      </c>
      <c r="R141">
        <f t="shared" si="61"/>
        <v>0</v>
      </c>
      <c r="S141">
        <f t="shared" si="62"/>
        <v>0</v>
      </c>
      <c r="T141">
        <f t="shared" si="63"/>
        <v>0</v>
      </c>
      <c r="U141">
        <f t="shared" si="64"/>
        <v>0</v>
      </c>
      <c r="V141">
        <f t="shared" si="65"/>
        <v>0</v>
      </c>
      <c r="W141">
        <f t="shared" si="66"/>
        <v>0</v>
      </c>
      <c r="X141">
        <f t="shared" si="67"/>
        <v>0</v>
      </c>
      <c r="Y141">
        <f t="shared" si="68"/>
        <v>0</v>
      </c>
      <c r="Z141">
        <f t="shared" si="69"/>
        <v>0</v>
      </c>
      <c r="AA141">
        <f t="shared" si="70"/>
        <v>0</v>
      </c>
      <c r="AB141">
        <f t="shared" si="53"/>
        <v>0</v>
      </c>
      <c r="AC141">
        <f t="shared" si="54"/>
        <v>0</v>
      </c>
      <c r="AD141">
        <f t="shared" si="55"/>
        <v>0</v>
      </c>
      <c r="AE141">
        <f t="shared" si="56"/>
        <v>1</v>
      </c>
      <c r="AF141">
        <f t="shared" si="57"/>
        <v>0</v>
      </c>
      <c r="AG141">
        <f t="shared" si="58"/>
        <v>1</v>
      </c>
      <c r="AH141">
        <f t="shared" si="71"/>
        <v>1</v>
      </c>
      <c r="AI141">
        <f t="shared" si="75"/>
        <v>1</v>
      </c>
      <c r="AJ141">
        <f t="shared" si="75"/>
        <v>0</v>
      </c>
      <c r="AK141">
        <f t="shared" si="75"/>
        <v>0</v>
      </c>
      <c r="AL141">
        <f t="shared" si="75"/>
        <v>0</v>
      </c>
      <c r="AM141">
        <f t="shared" si="75"/>
        <v>0</v>
      </c>
      <c r="AN141">
        <f t="shared" si="75"/>
        <v>0</v>
      </c>
      <c r="AO141">
        <f t="shared" si="75"/>
        <v>0</v>
      </c>
      <c r="AP141">
        <f t="shared" si="75"/>
        <v>0</v>
      </c>
      <c r="AQ141">
        <f t="shared" si="75"/>
        <v>0</v>
      </c>
      <c r="AR141">
        <f t="shared" si="75"/>
        <v>0</v>
      </c>
      <c r="AS141">
        <f t="shared" si="75"/>
        <v>0</v>
      </c>
      <c r="AT141">
        <f t="shared" si="75"/>
        <v>0</v>
      </c>
      <c r="AU141">
        <f t="shared" si="75"/>
        <v>0</v>
      </c>
      <c r="AV141">
        <f t="shared" si="75"/>
        <v>0</v>
      </c>
      <c r="AW141">
        <f t="shared" si="75"/>
        <v>0</v>
      </c>
      <c r="AX141">
        <f t="shared" si="72"/>
        <v>1</v>
      </c>
      <c r="AY141">
        <f t="shared" si="72"/>
        <v>0</v>
      </c>
      <c r="AZ141">
        <f t="shared" si="72"/>
        <v>0</v>
      </c>
      <c r="BA141">
        <f t="shared" si="73"/>
        <v>1</v>
      </c>
      <c r="BB141">
        <f t="shared" si="74"/>
        <v>0</v>
      </c>
    </row>
    <row r="142" spans="1:54">
      <c r="A142">
        <v>139</v>
      </c>
      <c r="B142" t="s">
        <v>20</v>
      </c>
      <c r="C142" t="s">
        <v>21</v>
      </c>
      <c r="D142" t="s">
        <v>26</v>
      </c>
      <c r="E142" t="s">
        <v>20</v>
      </c>
      <c r="F142" t="s">
        <v>28</v>
      </c>
      <c r="G142" t="s">
        <v>26</v>
      </c>
      <c r="H142" s="3">
        <v>0.81886059279359302</v>
      </c>
      <c r="I142" s="3">
        <v>0.84515525560577098</v>
      </c>
      <c r="J142" s="3">
        <v>0.69429070104385504</v>
      </c>
      <c r="K142" s="3">
        <v>0.759292235335571</v>
      </c>
      <c r="L142" s="3">
        <v>0.68550386794153495</v>
      </c>
      <c r="M142" s="3">
        <v>0.58228687654469502</v>
      </c>
      <c r="N142" s="3">
        <v>0.96597416805508296</v>
      </c>
      <c r="O142" s="3">
        <v>0.61410850103349701</v>
      </c>
      <c r="P142">
        <f t="shared" si="59"/>
        <v>0</v>
      </c>
      <c r="Q142">
        <f t="shared" si="60"/>
        <v>0</v>
      </c>
      <c r="R142">
        <f t="shared" si="61"/>
        <v>0</v>
      </c>
      <c r="S142">
        <f t="shared" si="62"/>
        <v>0</v>
      </c>
      <c r="T142">
        <f t="shared" si="63"/>
        <v>0</v>
      </c>
      <c r="U142">
        <f t="shared" si="64"/>
        <v>0</v>
      </c>
      <c r="V142">
        <f t="shared" si="65"/>
        <v>0</v>
      </c>
      <c r="W142">
        <f t="shared" si="66"/>
        <v>0</v>
      </c>
      <c r="X142">
        <f t="shared" si="67"/>
        <v>0</v>
      </c>
      <c r="Y142">
        <f t="shared" si="68"/>
        <v>0</v>
      </c>
      <c r="Z142">
        <f t="shared" si="69"/>
        <v>0</v>
      </c>
      <c r="AA142">
        <f t="shared" si="70"/>
        <v>0</v>
      </c>
      <c r="AB142">
        <f t="shared" si="53"/>
        <v>0</v>
      </c>
      <c r="AC142">
        <f t="shared" si="54"/>
        <v>0</v>
      </c>
      <c r="AD142">
        <f t="shared" si="55"/>
        <v>0</v>
      </c>
      <c r="AE142">
        <f t="shared" si="56"/>
        <v>1</v>
      </c>
      <c r="AF142">
        <f t="shared" si="57"/>
        <v>0</v>
      </c>
      <c r="AG142">
        <f t="shared" si="58"/>
        <v>1</v>
      </c>
      <c r="AH142">
        <f t="shared" si="71"/>
        <v>1</v>
      </c>
      <c r="AI142">
        <f t="shared" si="75"/>
        <v>0</v>
      </c>
      <c r="AJ142">
        <f t="shared" si="75"/>
        <v>0</v>
      </c>
      <c r="AK142">
        <f t="shared" si="75"/>
        <v>0</v>
      </c>
      <c r="AL142">
        <f t="shared" si="75"/>
        <v>0</v>
      </c>
      <c r="AM142">
        <f t="shared" si="75"/>
        <v>0</v>
      </c>
      <c r="AN142">
        <f t="shared" si="75"/>
        <v>0</v>
      </c>
      <c r="AO142">
        <f t="shared" si="75"/>
        <v>0</v>
      </c>
      <c r="AP142">
        <f t="shared" si="75"/>
        <v>0</v>
      </c>
      <c r="AQ142">
        <f t="shared" si="75"/>
        <v>0</v>
      </c>
      <c r="AR142">
        <f t="shared" si="75"/>
        <v>0</v>
      </c>
      <c r="AS142">
        <f t="shared" si="75"/>
        <v>0</v>
      </c>
      <c r="AT142">
        <f t="shared" si="75"/>
        <v>0</v>
      </c>
      <c r="AU142">
        <f t="shared" si="75"/>
        <v>0</v>
      </c>
      <c r="AV142">
        <f t="shared" si="75"/>
        <v>0</v>
      </c>
      <c r="AW142">
        <f t="shared" si="75"/>
        <v>0</v>
      </c>
      <c r="AX142">
        <f t="shared" si="72"/>
        <v>1</v>
      </c>
      <c r="AY142">
        <f t="shared" si="72"/>
        <v>0</v>
      </c>
      <c r="AZ142">
        <f t="shared" si="72"/>
        <v>0</v>
      </c>
      <c r="BA142">
        <f t="shared" si="73"/>
        <v>0</v>
      </c>
      <c r="BB142">
        <f t="shared" si="74"/>
        <v>0</v>
      </c>
    </row>
    <row r="143" spans="1:54">
      <c r="A143">
        <v>140</v>
      </c>
      <c r="B143" t="s">
        <v>20</v>
      </c>
      <c r="C143" t="s">
        <v>21</v>
      </c>
      <c r="D143" t="s">
        <v>26</v>
      </c>
      <c r="E143" t="s">
        <v>20</v>
      </c>
      <c r="F143" t="s">
        <v>28</v>
      </c>
      <c r="G143" t="s">
        <v>27</v>
      </c>
      <c r="H143" s="3">
        <v>0.18429960076735899</v>
      </c>
      <c r="I143" s="3">
        <v>0.182067555352076</v>
      </c>
      <c r="J143" s="3">
        <v>0.154507225225715</v>
      </c>
      <c r="K143" s="3">
        <v>0.16380898162212801</v>
      </c>
      <c r="L143" s="3">
        <v>0.11738736350263999</v>
      </c>
      <c r="M143" s="3">
        <v>9.1253869274394106E-2</v>
      </c>
      <c r="N143" s="3">
        <v>0.208073612347877</v>
      </c>
      <c r="O143" s="3">
        <v>0.124698556777826</v>
      </c>
      <c r="P143">
        <f t="shared" si="59"/>
        <v>0</v>
      </c>
      <c r="Q143">
        <f t="shared" si="60"/>
        <v>0</v>
      </c>
      <c r="R143">
        <f t="shared" si="61"/>
        <v>0</v>
      </c>
      <c r="S143">
        <f t="shared" si="62"/>
        <v>1</v>
      </c>
      <c r="T143">
        <f t="shared" si="63"/>
        <v>0</v>
      </c>
      <c r="U143">
        <f t="shared" si="64"/>
        <v>0</v>
      </c>
      <c r="V143">
        <f t="shared" si="65"/>
        <v>0</v>
      </c>
      <c r="W143">
        <f t="shared" si="66"/>
        <v>0</v>
      </c>
      <c r="X143">
        <f t="shared" si="67"/>
        <v>0</v>
      </c>
      <c r="Y143">
        <f t="shared" si="68"/>
        <v>0</v>
      </c>
      <c r="Z143">
        <f t="shared" si="69"/>
        <v>0</v>
      </c>
      <c r="AA143">
        <f t="shared" si="70"/>
        <v>0</v>
      </c>
      <c r="AB143">
        <f t="shared" si="53"/>
        <v>0</v>
      </c>
      <c r="AC143">
        <f t="shared" si="54"/>
        <v>0</v>
      </c>
      <c r="AD143">
        <f t="shared" si="55"/>
        <v>0</v>
      </c>
      <c r="AE143">
        <f t="shared" si="56"/>
        <v>0</v>
      </c>
      <c r="AF143">
        <f t="shared" si="57"/>
        <v>0</v>
      </c>
      <c r="AG143">
        <f t="shared" si="58"/>
        <v>1</v>
      </c>
      <c r="AH143">
        <f t="shared" si="71"/>
        <v>0</v>
      </c>
      <c r="AI143">
        <f t="shared" si="75"/>
        <v>0</v>
      </c>
      <c r="AJ143">
        <f t="shared" si="75"/>
        <v>0</v>
      </c>
      <c r="AK143">
        <f t="shared" si="75"/>
        <v>0</v>
      </c>
      <c r="AL143">
        <f t="shared" si="75"/>
        <v>0</v>
      </c>
      <c r="AM143">
        <f t="shared" si="75"/>
        <v>1</v>
      </c>
      <c r="AN143">
        <f t="shared" si="75"/>
        <v>0</v>
      </c>
      <c r="AO143">
        <f t="shared" si="75"/>
        <v>0</v>
      </c>
      <c r="AP143">
        <f t="shared" si="75"/>
        <v>0</v>
      </c>
      <c r="AQ143">
        <f t="shared" si="75"/>
        <v>0</v>
      </c>
      <c r="AR143">
        <f t="shared" si="75"/>
        <v>0</v>
      </c>
      <c r="AS143">
        <f t="shared" si="75"/>
        <v>0</v>
      </c>
      <c r="AT143">
        <f t="shared" si="75"/>
        <v>0</v>
      </c>
      <c r="AU143">
        <f t="shared" si="75"/>
        <v>0</v>
      </c>
      <c r="AV143">
        <f t="shared" si="75"/>
        <v>0</v>
      </c>
      <c r="AW143">
        <f t="shared" si="75"/>
        <v>0</v>
      </c>
      <c r="AX143">
        <f t="shared" si="72"/>
        <v>1</v>
      </c>
      <c r="AY143">
        <f t="shared" si="72"/>
        <v>0</v>
      </c>
      <c r="AZ143">
        <f t="shared" si="72"/>
        <v>0</v>
      </c>
      <c r="BA143">
        <f t="shared" si="73"/>
        <v>1</v>
      </c>
      <c r="BB143">
        <f t="shared" si="74"/>
        <v>0</v>
      </c>
    </row>
    <row r="144" spans="1:54">
      <c r="A144">
        <v>141</v>
      </c>
      <c r="B144" t="s">
        <v>20</v>
      </c>
      <c r="C144" t="s">
        <v>21</v>
      </c>
      <c r="D144" t="s">
        <v>26</v>
      </c>
      <c r="E144" t="s">
        <v>20</v>
      </c>
      <c r="F144" t="s">
        <v>29</v>
      </c>
      <c r="G144" t="s">
        <v>22</v>
      </c>
      <c r="H144" s="3">
        <v>0.56216433911750596</v>
      </c>
      <c r="I144" s="3">
        <v>0.54371567337927695</v>
      </c>
      <c r="J144" s="3">
        <v>0.467828315832504</v>
      </c>
      <c r="K144" s="3">
        <v>0.48800864883216699</v>
      </c>
      <c r="L144" s="3">
        <v>0.35564367991454499</v>
      </c>
      <c r="M144" s="3">
        <v>0.27253326690742602</v>
      </c>
      <c r="N144" s="3">
        <v>0.62273671712674294</v>
      </c>
      <c r="O144" s="3">
        <v>0.378427555693572</v>
      </c>
      <c r="P144">
        <f t="shared" si="59"/>
        <v>0</v>
      </c>
      <c r="Q144">
        <f t="shared" si="60"/>
        <v>0</v>
      </c>
      <c r="R144">
        <f t="shared" si="61"/>
        <v>0</v>
      </c>
      <c r="S144">
        <f t="shared" si="62"/>
        <v>0</v>
      </c>
      <c r="T144">
        <f t="shared" si="63"/>
        <v>0</v>
      </c>
      <c r="U144">
        <f t="shared" si="64"/>
        <v>0</v>
      </c>
      <c r="V144">
        <f t="shared" si="65"/>
        <v>0</v>
      </c>
      <c r="W144">
        <f t="shared" si="66"/>
        <v>0</v>
      </c>
      <c r="X144">
        <f t="shared" si="67"/>
        <v>1</v>
      </c>
      <c r="Y144">
        <f t="shared" si="68"/>
        <v>0</v>
      </c>
      <c r="Z144">
        <f t="shared" si="69"/>
        <v>0</v>
      </c>
      <c r="AA144">
        <f t="shared" si="70"/>
        <v>0</v>
      </c>
      <c r="AB144">
        <f t="shared" si="53"/>
        <v>0</v>
      </c>
      <c r="AC144">
        <f t="shared" si="54"/>
        <v>0</v>
      </c>
      <c r="AD144">
        <f t="shared" si="55"/>
        <v>0</v>
      </c>
      <c r="AE144">
        <f t="shared" si="56"/>
        <v>0</v>
      </c>
      <c r="AF144">
        <f t="shared" si="57"/>
        <v>0</v>
      </c>
      <c r="AG144">
        <f t="shared" si="58"/>
        <v>1</v>
      </c>
      <c r="AH144">
        <f t="shared" si="71"/>
        <v>0</v>
      </c>
      <c r="AI144">
        <f t="shared" si="75"/>
        <v>0</v>
      </c>
      <c r="AJ144">
        <f t="shared" si="75"/>
        <v>1</v>
      </c>
      <c r="AK144">
        <f t="shared" si="75"/>
        <v>0</v>
      </c>
      <c r="AL144">
        <f t="shared" si="75"/>
        <v>0</v>
      </c>
      <c r="AM144">
        <f t="shared" si="75"/>
        <v>0</v>
      </c>
      <c r="AN144">
        <f t="shared" si="75"/>
        <v>0</v>
      </c>
      <c r="AO144">
        <f t="shared" si="75"/>
        <v>0</v>
      </c>
      <c r="AP144">
        <f t="shared" si="75"/>
        <v>0</v>
      </c>
      <c r="AQ144">
        <f t="shared" si="75"/>
        <v>0</v>
      </c>
      <c r="AR144">
        <f t="shared" si="75"/>
        <v>0</v>
      </c>
      <c r="AS144">
        <f t="shared" si="75"/>
        <v>0</v>
      </c>
      <c r="AT144">
        <f t="shared" si="75"/>
        <v>0</v>
      </c>
      <c r="AU144">
        <f t="shared" si="75"/>
        <v>0</v>
      </c>
      <c r="AV144">
        <f t="shared" si="75"/>
        <v>0</v>
      </c>
      <c r="AW144">
        <f t="shared" si="75"/>
        <v>0</v>
      </c>
      <c r="AX144">
        <f t="shared" si="72"/>
        <v>0</v>
      </c>
      <c r="AY144">
        <f t="shared" si="72"/>
        <v>0</v>
      </c>
      <c r="AZ144">
        <f t="shared" si="72"/>
        <v>1</v>
      </c>
      <c r="BA144">
        <f t="shared" si="73"/>
        <v>1</v>
      </c>
      <c r="BB144">
        <f t="shared" si="74"/>
        <v>1</v>
      </c>
    </row>
    <row r="145" spans="1:54">
      <c r="A145">
        <v>142</v>
      </c>
      <c r="B145" t="s">
        <v>20</v>
      </c>
      <c r="C145" t="s">
        <v>21</v>
      </c>
      <c r="D145" t="s">
        <v>26</v>
      </c>
      <c r="E145" t="s">
        <v>20</v>
      </c>
      <c r="F145" t="s">
        <v>29</v>
      </c>
      <c r="G145" t="s">
        <v>23</v>
      </c>
      <c r="H145" s="3">
        <v>3.0330169562450701E-2</v>
      </c>
      <c r="I145" s="3">
        <v>2.93852709396536E-2</v>
      </c>
      <c r="J145" s="3">
        <v>2.59124461873457E-2</v>
      </c>
      <c r="K145" s="3">
        <v>2.6739899345453299E-2</v>
      </c>
      <c r="L145" s="3">
        <v>1.9593339211264198E-2</v>
      </c>
      <c r="M145" s="3">
        <v>1.52256055233299E-2</v>
      </c>
      <c r="N145" s="3">
        <v>3.2947462154942098E-2</v>
      </c>
      <c r="O145" s="3">
        <v>2.1378313402637801E-2</v>
      </c>
      <c r="P145">
        <f t="shared" si="59"/>
        <v>0</v>
      </c>
      <c r="Q145">
        <f t="shared" si="60"/>
        <v>0</v>
      </c>
      <c r="R145">
        <f t="shared" si="61"/>
        <v>0</v>
      </c>
      <c r="S145">
        <f t="shared" si="62"/>
        <v>0</v>
      </c>
      <c r="T145">
        <f t="shared" si="63"/>
        <v>0</v>
      </c>
      <c r="U145">
        <f t="shared" si="64"/>
        <v>0</v>
      </c>
      <c r="V145">
        <f t="shared" si="65"/>
        <v>0</v>
      </c>
      <c r="W145">
        <f t="shared" si="66"/>
        <v>0</v>
      </c>
      <c r="X145">
        <f t="shared" si="67"/>
        <v>0</v>
      </c>
      <c r="Y145">
        <f t="shared" si="68"/>
        <v>1</v>
      </c>
      <c r="Z145">
        <f t="shared" si="69"/>
        <v>0</v>
      </c>
      <c r="AA145">
        <f t="shared" si="70"/>
        <v>0</v>
      </c>
      <c r="AB145">
        <f t="shared" si="53"/>
        <v>0</v>
      </c>
      <c r="AC145">
        <f t="shared" si="54"/>
        <v>0</v>
      </c>
      <c r="AD145">
        <f t="shared" si="55"/>
        <v>0</v>
      </c>
      <c r="AE145">
        <f t="shared" si="56"/>
        <v>0</v>
      </c>
      <c r="AF145">
        <f t="shared" si="57"/>
        <v>0</v>
      </c>
      <c r="AG145">
        <f t="shared" si="58"/>
        <v>1</v>
      </c>
      <c r="AH145">
        <f t="shared" si="71"/>
        <v>0</v>
      </c>
      <c r="AI145">
        <f t="shared" si="75"/>
        <v>0</v>
      </c>
      <c r="AJ145">
        <f t="shared" si="75"/>
        <v>0</v>
      </c>
      <c r="AK145">
        <f t="shared" si="75"/>
        <v>1</v>
      </c>
      <c r="AL145">
        <f t="shared" si="75"/>
        <v>0</v>
      </c>
      <c r="AM145">
        <f t="shared" si="75"/>
        <v>0</v>
      </c>
      <c r="AN145">
        <f t="shared" si="75"/>
        <v>0</v>
      </c>
      <c r="AO145">
        <f t="shared" si="75"/>
        <v>0</v>
      </c>
      <c r="AP145">
        <f t="shared" si="75"/>
        <v>0</v>
      </c>
      <c r="AQ145">
        <f t="shared" si="75"/>
        <v>0</v>
      </c>
      <c r="AR145">
        <f t="shared" si="75"/>
        <v>0</v>
      </c>
      <c r="AS145">
        <f t="shared" si="75"/>
        <v>0</v>
      </c>
      <c r="AT145">
        <f t="shared" si="75"/>
        <v>0</v>
      </c>
      <c r="AU145">
        <f t="shared" si="75"/>
        <v>0</v>
      </c>
      <c r="AV145">
        <f t="shared" si="75"/>
        <v>0</v>
      </c>
      <c r="AW145">
        <f t="shared" si="75"/>
        <v>0</v>
      </c>
      <c r="AX145">
        <f t="shared" si="72"/>
        <v>0</v>
      </c>
      <c r="AY145">
        <f t="shared" si="72"/>
        <v>0</v>
      </c>
      <c r="AZ145">
        <f t="shared" si="72"/>
        <v>1</v>
      </c>
      <c r="BA145">
        <f t="shared" si="73"/>
        <v>1</v>
      </c>
      <c r="BB145">
        <f t="shared" si="74"/>
        <v>1</v>
      </c>
    </row>
    <row r="146" spans="1:54">
      <c r="A146">
        <v>143</v>
      </c>
      <c r="B146" t="s">
        <v>20</v>
      </c>
      <c r="C146" t="s">
        <v>21</v>
      </c>
      <c r="D146" t="s">
        <v>26</v>
      </c>
      <c r="E146" t="s">
        <v>20</v>
      </c>
      <c r="F146" t="s">
        <v>29</v>
      </c>
      <c r="G146" t="s">
        <v>24</v>
      </c>
      <c r="H146" s="3">
        <v>0.60584754768357496</v>
      </c>
      <c r="I146" s="3">
        <v>0.57610613946357403</v>
      </c>
      <c r="J146" s="3">
        <v>0.49627361929785102</v>
      </c>
      <c r="K146" s="3">
        <v>0.49989742152231897</v>
      </c>
      <c r="L146" s="3">
        <v>0.359797816017903</v>
      </c>
      <c r="M146" s="3">
        <v>0.26472808481113602</v>
      </c>
      <c r="N146" s="3">
        <v>0.69040159185602901</v>
      </c>
      <c r="O146" s="3">
        <v>0.384368727446324</v>
      </c>
      <c r="P146">
        <f t="shared" si="59"/>
        <v>0</v>
      </c>
      <c r="Q146">
        <f t="shared" si="60"/>
        <v>0</v>
      </c>
      <c r="R146">
        <f t="shared" si="61"/>
        <v>0</v>
      </c>
      <c r="S146">
        <f t="shared" si="62"/>
        <v>0</v>
      </c>
      <c r="T146">
        <f t="shared" si="63"/>
        <v>0</v>
      </c>
      <c r="U146">
        <f t="shared" si="64"/>
        <v>0</v>
      </c>
      <c r="V146">
        <f t="shared" si="65"/>
        <v>0</v>
      </c>
      <c r="W146">
        <f t="shared" si="66"/>
        <v>0</v>
      </c>
      <c r="X146">
        <f t="shared" si="67"/>
        <v>0</v>
      </c>
      <c r="Y146">
        <f t="shared" si="68"/>
        <v>0</v>
      </c>
      <c r="Z146">
        <f t="shared" si="69"/>
        <v>0</v>
      </c>
      <c r="AA146">
        <f t="shared" si="70"/>
        <v>1</v>
      </c>
      <c r="AB146">
        <f t="shared" si="53"/>
        <v>0</v>
      </c>
      <c r="AC146">
        <f t="shared" si="54"/>
        <v>0</v>
      </c>
      <c r="AD146">
        <f t="shared" si="55"/>
        <v>0</v>
      </c>
      <c r="AE146">
        <f t="shared" si="56"/>
        <v>0</v>
      </c>
      <c r="AF146">
        <f t="shared" si="57"/>
        <v>0</v>
      </c>
      <c r="AG146">
        <f t="shared" si="58"/>
        <v>1</v>
      </c>
      <c r="AH146">
        <f t="shared" si="71"/>
        <v>0</v>
      </c>
      <c r="AI146">
        <f t="shared" si="75"/>
        <v>0</v>
      </c>
      <c r="AJ146">
        <f t="shared" si="75"/>
        <v>0</v>
      </c>
      <c r="AK146">
        <f t="shared" si="75"/>
        <v>0</v>
      </c>
      <c r="AL146">
        <f t="shared" si="75"/>
        <v>1</v>
      </c>
      <c r="AM146">
        <f t="shared" si="75"/>
        <v>0</v>
      </c>
      <c r="AN146">
        <f t="shared" si="75"/>
        <v>0</v>
      </c>
      <c r="AO146">
        <f t="shared" si="75"/>
        <v>0</v>
      </c>
      <c r="AP146">
        <f t="shared" si="75"/>
        <v>0</v>
      </c>
      <c r="AQ146">
        <f t="shared" si="75"/>
        <v>0</v>
      </c>
      <c r="AR146">
        <f t="shared" si="75"/>
        <v>0</v>
      </c>
      <c r="AS146">
        <f t="shared" si="75"/>
        <v>0</v>
      </c>
      <c r="AT146">
        <f t="shared" si="75"/>
        <v>0</v>
      </c>
      <c r="AU146">
        <f t="shared" si="75"/>
        <v>0</v>
      </c>
      <c r="AV146">
        <f t="shared" si="75"/>
        <v>0</v>
      </c>
      <c r="AW146">
        <f t="shared" si="75"/>
        <v>0</v>
      </c>
      <c r="AX146">
        <f t="shared" si="72"/>
        <v>0</v>
      </c>
      <c r="AY146">
        <f t="shared" si="72"/>
        <v>0</v>
      </c>
      <c r="AZ146">
        <f t="shared" si="72"/>
        <v>1</v>
      </c>
      <c r="BA146">
        <f t="shared" si="73"/>
        <v>1</v>
      </c>
      <c r="BB146">
        <f t="shared" si="74"/>
        <v>1</v>
      </c>
    </row>
    <row r="147" spans="1:54">
      <c r="A147">
        <v>144</v>
      </c>
      <c r="B147" t="s">
        <v>20</v>
      </c>
      <c r="C147" t="s">
        <v>21</v>
      </c>
      <c r="D147" t="s">
        <v>26</v>
      </c>
      <c r="E147" t="s">
        <v>20</v>
      </c>
      <c r="F147" t="s">
        <v>29</v>
      </c>
      <c r="G147" t="s">
        <v>31</v>
      </c>
      <c r="H147" s="3">
        <v>3.69278702010385E-2</v>
      </c>
      <c r="I147" s="3">
        <v>3.5695305872567203E-2</v>
      </c>
      <c r="J147" s="3">
        <v>3.1638953169238801E-2</v>
      </c>
      <c r="K147" s="3">
        <v>3.2722106661277499E-2</v>
      </c>
      <c r="L147" s="3">
        <v>2.4615416752229901E-2</v>
      </c>
      <c r="M147" s="3">
        <v>1.9676026138598202E-2</v>
      </c>
      <c r="N147" s="3">
        <v>3.97744137726328E-2</v>
      </c>
      <c r="O147" s="3">
        <v>2.6533148084083701E-2</v>
      </c>
      <c r="P147">
        <f t="shared" si="59"/>
        <v>0</v>
      </c>
      <c r="Q147">
        <f t="shared" si="60"/>
        <v>0</v>
      </c>
      <c r="R147">
        <f t="shared" si="61"/>
        <v>0</v>
      </c>
      <c r="S147">
        <f t="shared" si="62"/>
        <v>0</v>
      </c>
      <c r="T147">
        <f t="shared" si="63"/>
        <v>0</v>
      </c>
      <c r="U147">
        <f t="shared" si="64"/>
        <v>0</v>
      </c>
      <c r="V147">
        <f t="shared" si="65"/>
        <v>0</v>
      </c>
      <c r="W147">
        <f t="shared" si="66"/>
        <v>0</v>
      </c>
      <c r="X147">
        <f t="shared" si="67"/>
        <v>0</v>
      </c>
      <c r="Y147">
        <f t="shared" si="68"/>
        <v>0</v>
      </c>
      <c r="Z147">
        <f t="shared" si="69"/>
        <v>1</v>
      </c>
      <c r="AA147">
        <f t="shared" si="70"/>
        <v>0</v>
      </c>
      <c r="AB147">
        <f t="shared" si="53"/>
        <v>0</v>
      </c>
      <c r="AC147">
        <f t="shared" si="54"/>
        <v>0</v>
      </c>
      <c r="AD147">
        <f t="shared" si="55"/>
        <v>0</v>
      </c>
      <c r="AE147">
        <f t="shared" si="56"/>
        <v>0</v>
      </c>
      <c r="AF147">
        <f t="shared" si="57"/>
        <v>0</v>
      </c>
      <c r="AG147">
        <f t="shared" si="58"/>
        <v>1</v>
      </c>
      <c r="AH147">
        <f t="shared" si="71"/>
        <v>0</v>
      </c>
      <c r="AI147">
        <f t="shared" si="75"/>
        <v>0</v>
      </c>
      <c r="AJ147">
        <f t="shared" si="75"/>
        <v>0</v>
      </c>
      <c r="AK147">
        <f t="shared" si="75"/>
        <v>0</v>
      </c>
      <c r="AL147">
        <f t="shared" si="75"/>
        <v>0</v>
      </c>
      <c r="AM147">
        <f t="shared" si="75"/>
        <v>0</v>
      </c>
      <c r="AN147">
        <f t="shared" si="75"/>
        <v>0</v>
      </c>
      <c r="AO147">
        <f t="shared" si="75"/>
        <v>0</v>
      </c>
      <c r="AP147">
        <f t="shared" si="75"/>
        <v>0</v>
      </c>
      <c r="AQ147">
        <f t="shared" si="75"/>
        <v>0</v>
      </c>
      <c r="AR147">
        <f t="shared" si="75"/>
        <v>0</v>
      </c>
      <c r="AS147">
        <f t="shared" si="75"/>
        <v>0</v>
      </c>
      <c r="AT147">
        <f t="shared" si="75"/>
        <v>0</v>
      </c>
      <c r="AU147">
        <f t="shared" si="75"/>
        <v>0</v>
      </c>
      <c r="AV147">
        <f t="shared" si="75"/>
        <v>0</v>
      </c>
      <c r="AW147">
        <f t="shared" si="75"/>
        <v>0</v>
      </c>
      <c r="AX147">
        <f t="shared" si="72"/>
        <v>0</v>
      </c>
      <c r="AY147">
        <f t="shared" si="72"/>
        <v>0</v>
      </c>
      <c r="AZ147">
        <f t="shared" si="72"/>
        <v>1</v>
      </c>
      <c r="BA147">
        <f t="shared" si="73"/>
        <v>0</v>
      </c>
      <c r="BB147">
        <f t="shared" si="74"/>
        <v>1</v>
      </c>
    </row>
    <row r="148" spans="1:54">
      <c r="A148">
        <v>145</v>
      </c>
      <c r="B148" t="s">
        <v>20</v>
      </c>
      <c r="C148" t="s">
        <v>21</v>
      </c>
      <c r="D148" t="s">
        <v>26</v>
      </c>
      <c r="E148" t="s">
        <v>20</v>
      </c>
      <c r="F148" t="s">
        <v>29</v>
      </c>
      <c r="G148" t="s">
        <v>25</v>
      </c>
      <c r="H148" s="3">
        <v>0.135771191231354</v>
      </c>
      <c r="I148" s="3">
        <v>0.13381037345704599</v>
      </c>
      <c r="J148" s="3">
        <v>0.11381221102094601</v>
      </c>
      <c r="K148" s="3">
        <v>0.12344835700996901</v>
      </c>
      <c r="L148" s="3">
        <v>9.5573405552367097E-2</v>
      </c>
      <c r="M148" s="3">
        <v>7.96894430660368E-2</v>
      </c>
      <c r="N148" s="3">
        <v>0.14797733561734</v>
      </c>
      <c r="O148" s="3">
        <v>9.4808305576298699E-2</v>
      </c>
      <c r="P148">
        <f t="shared" si="59"/>
        <v>0</v>
      </c>
      <c r="Q148">
        <f t="shared" si="60"/>
        <v>0</v>
      </c>
      <c r="R148">
        <f t="shared" si="61"/>
        <v>0</v>
      </c>
      <c r="S148">
        <f t="shared" si="62"/>
        <v>0</v>
      </c>
      <c r="T148">
        <f t="shared" si="63"/>
        <v>0</v>
      </c>
      <c r="U148">
        <f t="shared" si="64"/>
        <v>0</v>
      </c>
      <c r="V148">
        <f t="shared" si="65"/>
        <v>0</v>
      </c>
      <c r="W148">
        <f t="shared" si="66"/>
        <v>0</v>
      </c>
      <c r="X148">
        <f t="shared" si="67"/>
        <v>0</v>
      </c>
      <c r="Y148">
        <f t="shared" si="68"/>
        <v>0</v>
      </c>
      <c r="Z148">
        <f t="shared" si="69"/>
        <v>0</v>
      </c>
      <c r="AA148">
        <f t="shared" si="70"/>
        <v>0</v>
      </c>
      <c r="AB148">
        <f t="shared" si="53"/>
        <v>0</v>
      </c>
      <c r="AC148">
        <f t="shared" si="54"/>
        <v>0</v>
      </c>
      <c r="AD148">
        <f t="shared" si="55"/>
        <v>0</v>
      </c>
      <c r="AE148">
        <f t="shared" si="56"/>
        <v>1</v>
      </c>
      <c r="AF148">
        <f t="shared" si="57"/>
        <v>0</v>
      </c>
      <c r="AG148">
        <f t="shared" si="58"/>
        <v>1</v>
      </c>
      <c r="AH148">
        <f t="shared" si="71"/>
        <v>1</v>
      </c>
      <c r="AI148">
        <f t="shared" si="75"/>
        <v>1</v>
      </c>
      <c r="AJ148">
        <f t="shared" si="75"/>
        <v>0</v>
      </c>
      <c r="AK148">
        <f t="shared" si="75"/>
        <v>0</v>
      </c>
      <c r="AL148">
        <f t="shared" si="75"/>
        <v>0</v>
      </c>
      <c r="AM148">
        <f t="shared" si="75"/>
        <v>0</v>
      </c>
      <c r="AN148">
        <f t="shared" si="75"/>
        <v>0</v>
      </c>
      <c r="AO148">
        <f t="shared" si="75"/>
        <v>0</v>
      </c>
      <c r="AP148">
        <f t="shared" si="75"/>
        <v>0</v>
      </c>
      <c r="AQ148">
        <f t="shared" si="75"/>
        <v>0</v>
      </c>
      <c r="AR148">
        <f t="shared" si="75"/>
        <v>0</v>
      </c>
      <c r="AS148">
        <f t="shared" si="75"/>
        <v>0</v>
      </c>
      <c r="AT148">
        <f t="shared" si="75"/>
        <v>0</v>
      </c>
      <c r="AU148">
        <f t="shared" si="75"/>
        <v>0</v>
      </c>
      <c r="AV148">
        <f t="shared" si="75"/>
        <v>0</v>
      </c>
      <c r="AW148">
        <f t="shared" si="75"/>
        <v>0</v>
      </c>
      <c r="AX148">
        <f t="shared" si="72"/>
        <v>0</v>
      </c>
      <c r="AY148">
        <f t="shared" si="72"/>
        <v>0</v>
      </c>
      <c r="AZ148">
        <f t="shared" si="72"/>
        <v>1</v>
      </c>
      <c r="BA148">
        <f t="shared" si="73"/>
        <v>1</v>
      </c>
      <c r="BB148">
        <f t="shared" si="74"/>
        <v>1</v>
      </c>
    </row>
    <row r="149" spans="1:54">
      <c r="A149">
        <v>146</v>
      </c>
      <c r="B149" t="s">
        <v>20</v>
      </c>
      <c r="C149" t="s">
        <v>21</v>
      </c>
      <c r="D149" t="s">
        <v>26</v>
      </c>
      <c r="E149" t="s">
        <v>20</v>
      </c>
      <c r="F149" t="s">
        <v>29</v>
      </c>
      <c r="G149" t="s">
        <v>26</v>
      </c>
      <c r="H149" s="3">
        <v>0.13903795816534301</v>
      </c>
      <c r="I149" s="3">
        <v>0.13691204447278699</v>
      </c>
      <c r="J149" s="3">
        <v>0.116598572337048</v>
      </c>
      <c r="K149" s="3">
        <v>0.12623879710918601</v>
      </c>
      <c r="L149" s="3">
        <v>9.7907746523495001E-2</v>
      </c>
      <c r="M149" s="3">
        <v>8.1625545458250903E-2</v>
      </c>
      <c r="N149" s="3">
        <v>0.15153832313781901</v>
      </c>
      <c r="O149" s="3">
        <v>9.7076320313712702E-2</v>
      </c>
      <c r="P149">
        <f t="shared" si="59"/>
        <v>0</v>
      </c>
      <c r="Q149">
        <f t="shared" si="60"/>
        <v>0</v>
      </c>
      <c r="R149">
        <f t="shared" si="61"/>
        <v>0</v>
      </c>
      <c r="S149">
        <f t="shared" si="62"/>
        <v>0</v>
      </c>
      <c r="T149">
        <f t="shared" si="63"/>
        <v>0</v>
      </c>
      <c r="U149">
        <f t="shared" si="64"/>
        <v>0</v>
      </c>
      <c r="V149">
        <f t="shared" si="65"/>
        <v>0</v>
      </c>
      <c r="W149">
        <f t="shared" si="66"/>
        <v>0</v>
      </c>
      <c r="X149">
        <f t="shared" si="67"/>
        <v>0</v>
      </c>
      <c r="Y149">
        <f t="shared" si="68"/>
        <v>0</v>
      </c>
      <c r="Z149">
        <f t="shared" si="69"/>
        <v>0</v>
      </c>
      <c r="AA149">
        <f t="shared" si="70"/>
        <v>0</v>
      </c>
      <c r="AB149">
        <f t="shared" si="53"/>
        <v>0</v>
      </c>
      <c r="AC149">
        <f t="shared" si="54"/>
        <v>0</v>
      </c>
      <c r="AD149">
        <f t="shared" si="55"/>
        <v>0</v>
      </c>
      <c r="AE149">
        <f t="shared" si="56"/>
        <v>1</v>
      </c>
      <c r="AF149">
        <f t="shared" si="57"/>
        <v>0</v>
      </c>
      <c r="AG149">
        <f t="shared" si="58"/>
        <v>1</v>
      </c>
      <c r="AH149">
        <f t="shared" si="71"/>
        <v>1</v>
      </c>
      <c r="AI149">
        <f t="shared" si="75"/>
        <v>0</v>
      </c>
      <c r="AJ149">
        <f t="shared" si="75"/>
        <v>0</v>
      </c>
      <c r="AK149">
        <f t="shared" si="75"/>
        <v>0</v>
      </c>
      <c r="AL149">
        <f t="shared" si="75"/>
        <v>0</v>
      </c>
      <c r="AM149">
        <f t="shared" si="75"/>
        <v>0</v>
      </c>
      <c r="AN149">
        <f t="shared" si="75"/>
        <v>0</v>
      </c>
      <c r="AO149">
        <f t="shared" si="75"/>
        <v>0</v>
      </c>
      <c r="AP149">
        <f t="shared" si="75"/>
        <v>0</v>
      </c>
      <c r="AQ149">
        <f t="shared" si="75"/>
        <v>0</v>
      </c>
      <c r="AR149">
        <f t="shared" si="75"/>
        <v>0</v>
      </c>
      <c r="AS149">
        <f t="shared" si="75"/>
        <v>0</v>
      </c>
      <c r="AT149">
        <f t="shared" si="75"/>
        <v>0</v>
      </c>
      <c r="AU149">
        <f t="shared" si="75"/>
        <v>0</v>
      </c>
      <c r="AV149">
        <f t="shared" si="75"/>
        <v>0</v>
      </c>
      <c r="AW149">
        <f t="shared" si="75"/>
        <v>0</v>
      </c>
      <c r="AX149">
        <f t="shared" si="72"/>
        <v>0</v>
      </c>
      <c r="AY149">
        <f t="shared" si="72"/>
        <v>0</v>
      </c>
      <c r="AZ149">
        <f t="shared" si="72"/>
        <v>1</v>
      </c>
      <c r="BA149">
        <f t="shared" si="73"/>
        <v>0</v>
      </c>
      <c r="BB149">
        <f t="shared" si="74"/>
        <v>1</v>
      </c>
    </row>
    <row r="150" spans="1:54">
      <c r="A150">
        <v>147</v>
      </c>
      <c r="B150" t="s">
        <v>20</v>
      </c>
      <c r="C150" t="s">
        <v>21</v>
      </c>
      <c r="D150" t="s">
        <v>26</v>
      </c>
      <c r="E150" t="s">
        <v>30</v>
      </c>
      <c r="F150" t="s">
        <v>21</v>
      </c>
      <c r="G150" t="s">
        <v>22</v>
      </c>
      <c r="H150" s="3">
        <v>1.7763028519346101E-2</v>
      </c>
      <c r="I150" s="3">
        <v>1.7262323681169801E-2</v>
      </c>
      <c r="J150" s="3">
        <v>1.5151908010680301E-2</v>
      </c>
      <c r="K150" s="3">
        <v>1.59087694446849E-2</v>
      </c>
      <c r="L150" s="3">
        <v>1.15352718812876E-2</v>
      </c>
      <c r="M150" s="3">
        <v>9.0811761852543707E-3</v>
      </c>
      <c r="N150" s="3">
        <v>1.8996734936182799E-2</v>
      </c>
      <c r="O150" s="3">
        <v>1.2404289919043E-2</v>
      </c>
      <c r="P150">
        <f t="shared" si="59"/>
        <v>0</v>
      </c>
      <c r="Q150">
        <f t="shared" si="60"/>
        <v>0</v>
      </c>
      <c r="R150">
        <f t="shared" si="61"/>
        <v>0</v>
      </c>
      <c r="S150">
        <f t="shared" si="62"/>
        <v>0</v>
      </c>
      <c r="T150">
        <f t="shared" si="63"/>
        <v>1</v>
      </c>
      <c r="U150">
        <f t="shared" si="64"/>
        <v>0</v>
      </c>
      <c r="V150">
        <f t="shared" si="65"/>
        <v>0</v>
      </c>
      <c r="W150">
        <f t="shared" si="66"/>
        <v>0</v>
      </c>
      <c r="X150">
        <f t="shared" si="67"/>
        <v>0</v>
      </c>
      <c r="Y150">
        <f t="shared" si="68"/>
        <v>0</v>
      </c>
      <c r="Z150">
        <f t="shared" si="69"/>
        <v>0</v>
      </c>
      <c r="AA150">
        <f t="shared" si="70"/>
        <v>0</v>
      </c>
      <c r="AB150">
        <f t="shared" si="53"/>
        <v>0</v>
      </c>
      <c r="AC150">
        <f t="shared" si="54"/>
        <v>0</v>
      </c>
      <c r="AD150">
        <f t="shared" si="55"/>
        <v>0</v>
      </c>
      <c r="AE150">
        <f t="shared" si="56"/>
        <v>0</v>
      </c>
      <c r="AF150">
        <f t="shared" si="57"/>
        <v>1</v>
      </c>
      <c r="AG150">
        <f t="shared" si="58"/>
        <v>0</v>
      </c>
      <c r="AH150">
        <f t="shared" si="71"/>
        <v>0</v>
      </c>
      <c r="AI150">
        <f t="shared" si="75"/>
        <v>0</v>
      </c>
      <c r="AJ150">
        <f t="shared" si="75"/>
        <v>1</v>
      </c>
      <c r="AK150">
        <f t="shared" si="75"/>
        <v>0</v>
      </c>
      <c r="AL150">
        <f t="shared" si="75"/>
        <v>0</v>
      </c>
      <c r="AM150">
        <f t="shared" si="75"/>
        <v>0</v>
      </c>
      <c r="AN150">
        <f t="shared" si="75"/>
        <v>0</v>
      </c>
      <c r="AO150">
        <f t="shared" si="75"/>
        <v>0</v>
      </c>
      <c r="AP150">
        <f t="shared" si="75"/>
        <v>0</v>
      </c>
      <c r="AQ150">
        <f t="shared" si="75"/>
        <v>0</v>
      </c>
      <c r="AR150">
        <f t="shared" si="75"/>
        <v>0</v>
      </c>
      <c r="AS150">
        <f t="shared" si="75"/>
        <v>0</v>
      </c>
      <c r="AT150">
        <f t="shared" si="75"/>
        <v>0</v>
      </c>
      <c r="AU150">
        <f t="shared" si="75"/>
        <v>0</v>
      </c>
      <c r="AV150">
        <f t="shared" si="75"/>
        <v>0</v>
      </c>
      <c r="AW150">
        <f t="shared" si="75"/>
        <v>0</v>
      </c>
      <c r="AX150">
        <f t="shared" si="72"/>
        <v>0</v>
      </c>
      <c r="AY150">
        <f t="shared" si="72"/>
        <v>0</v>
      </c>
      <c r="AZ150">
        <f t="shared" si="72"/>
        <v>0</v>
      </c>
      <c r="BA150">
        <f t="shared" si="73"/>
        <v>1</v>
      </c>
      <c r="BB150">
        <f t="shared" si="74"/>
        <v>0</v>
      </c>
    </row>
    <row r="151" spans="1:54">
      <c r="A151">
        <v>148</v>
      </c>
      <c r="B151" t="s">
        <v>20</v>
      </c>
      <c r="C151" t="s">
        <v>21</v>
      </c>
      <c r="D151" t="s">
        <v>26</v>
      </c>
      <c r="E151" t="s">
        <v>30</v>
      </c>
      <c r="F151" t="s">
        <v>21</v>
      </c>
      <c r="G151" t="s">
        <v>23</v>
      </c>
      <c r="H151" s="3">
        <v>1.9092530786979301E-2</v>
      </c>
      <c r="I151" s="3">
        <v>1.8339578446054799E-2</v>
      </c>
      <c r="J151" s="3">
        <v>1.61577772242825E-2</v>
      </c>
      <c r="K151" s="3">
        <v>1.66981520228607E-2</v>
      </c>
      <c r="L151" s="3">
        <v>1.18064482962957E-2</v>
      </c>
      <c r="M151" s="3">
        <v>9.0071195061030406E-3</v>
      </c>
      <c r="N151" s="3">
        <v>2.0480854853072099E-2</v>
      </c>
      <c r="O151" s="3">
        <v>1.29268066623356E-2</v>
      </c>
      <c r="P151">
        <f t="shared" si="59"/>
        <v>0</v>
      </c>
      <c r="Q151">
        <f t="shared" si="60"/>
        <v>0</v>
      </c>
      <c r="R151">
        <f t="shared" si="61"/>
        <v>0</v>
      </c>
      <c r="S151">
        <f t="shared" si="62"/>
        <v>0</v>
      </c>
      <c r="T151">
        <f t="shared" si="63"/>
        <v>0</v>
      </c>
      <c r="U151">
        <f t="shared" si="64"/>
        <v>1</v>
      </c>
      <c r="V151">
        <f t="shared" si="65"/>
        <v>0</v>
      </c>
      <c r="W151">
        <f t="shared" si="66"/>
        <v>0</v>
      </c>
      <c r="X151">
        <f t="shared" si="67"/>
        <v>0</v>
      </c>
      <c r="Y151">
        <f t="shared" si="68"/>
        <v>0</v>
      </c>
      <c r="Z151">
        <f t="shared" si="69"/>
        <v>0</v>
      </c>
      <c r="AA151">
        <f t="shared" si="70"/>
        <v>0</v>
      </c>
      <c r="AB151">
        <f t="shared" si="53"/>
        <v>0</v>
      </c>
      <c r="AC151">
        <f t="shared" si="54"/>
        <v>0</v>
      </c>
      <c r="AD151">
        <f t="shared" si="55"/>
        <v>0</v>
      </c>
      <c r="AE151">
        <f t="shared" si="56"/>
        <v>0</v>
      </c>
      <c r="AF151">
        <f t="shared" si="57"/>
        <v>1</v>
      </c>
      <c r="AG151">
        <f t="shared" si="58"/>
        <v>0</v>
      </c>
      <c r="AH151">
        <f t="shared" si="71"/>
        <v>0</v>
      </c>
      <c r="AI151">
        <f t="shared" si="75"/>
        <v>0</v>
      </c>
      <c r="AJ151">
        <f t="shared" si="75"/>
        <v>0</v>
      </c>
      <c r="AK151">
        <f t="shared" si="75"/>
        <v>1</v>
      </c>
      <c r="AL151">
        <f t="shared" si="75"/>
        <v>0</v>
      </c>
      <c r="AM151">
        <f t="shared" si="75"/>
        <v>0</v>
      </c>
      <c r="AN151">
        <f t="shared" si="75"/>
        <v>0</v>
      </c>
      <c r="AO151">
        <f t="shared" si="75"/>
        <v>0</v>
      </c>
      <c r="AP151">
        <f t="shared" si="75"/>
        <v>0</v>
      </c>
      <c r="AQ151">
        <f t="shared" si="75"/>
        <v>0</v>
      </c>
      <c r="AR151">
        <f t="shared" si="75"/>
        <v>0</v>
      </c>
      <c r="AS151">
        <f t="shared" si="75"/>
        <v>0</v>
      </c>
      <c r="AT151">
        <f t="shared" si="75"/>
        <v>0</v>
      </c>
      <c r="AU151">
        <f t="shared" si="75"/>
        <v>0</v>
      </c>
      <c r="AV151">
        <f t="shared" si="75"/>
        <v>0</v>
      </c>
      <c r="AW151">
        <f t="shared" si="75"/>
        <v>0</v>
      </c>
      <c r="AX151">
        <f t="shared" si="72"/>
        <v>0</v>
      </c>
      <c r="AY151">
        <f t="shared" si="72"/>
        <v>0</v>
      </c>
      <c r="AZ151">
        <f t="shared" si="72"/>
        <v>0</v>
      </c>
      <c r="BA151">
        <f t="shared" si="73"/>
        <v>1</v>
      </c>
      <c r="BB151">
        <f t="shared" si="74"/>
        <v>0</v>
      </c>
    </row>
    <row r="152" spans="1:54">
      <c r="A152">
        <v>149</v>
      </c>
      <c r="B152" t="s">
        <v>20</v>
      </c>
      <c r="C152" t="s">
        <v>21</v>
      </c>
      <c r="D152" t="s">
        <v>26</v>
      </c>
      <c r="E152" t="s">
        <v>30</v>
      </c>
      <c r="F152" t="s">
        <v>21</v>
      </c>
      <c r="G152" t="s">
        <v>24</v>
      </c>
      <c r="H152" s="3">
        <v>0.59067371802877799</v>
      </c>
      <c r="I152" s="3">
        <v>0.61181015199519495</v>
      </c>
      <c r="J152" s="3">
        <v>0.44364226163945403</v>
      </c>
      <c r="K152" s="3">
        <v>0.527113880617887</v>
      </c>
      <c r="L152" s="3">
        <v>0.32594639078533</v>
      </c>
      <c r="M152" s="3">
        <v>0.23642799918532101</v>
      </c>
      <c r="N152" s="3">
        <v>0.74738988475486201</v>
      </c>
      <c r="O152" s="3">
        <v>0.34305649832035001</v>
      </c>
      <c r="P152">
        <f t="shared" si="59"/>
        <v>0</v>
      </c>
      <c r="Q152">
        <f t="shared" si="60"/>
        <v>0</v>
      </c>
      <c r="R152">
        <f t="shared" si="61"/>
        <v>0</v>
      </c>
      <c r="S152">
        <f t="shared" si="62"/>
        <v>0</v>
      </c>
      <c r="T152">
        <f t="shared" si="63"/>
        <v>0</v>
      </c>
      <c r="U152">
        <f t="shared" si="64"/>
        <v>0</v>
      </c>
      <c r="V152">
        <f t="shared" si="65"/>
        <v>1</v>
      </c>
      <c r="W152">
        <f t="shared" si="66"/>
        <v>0</v>
      </c>
      <c r="X152">
        <f t="shared" si="67"/>
        <v>0</v>
      </c>
      <c r="Y152">
        <f t="shared" si="68"/>
        <v>0</v>
      </c>
      <c r="Z152">
        <f t="shared" si="69"/>
        <v>0</v>
      </c>
      <c r="AA152">
        <f t="shared" si="70"/>
        <v>0</v>
      </c>
      <c r="AB152">
        <f t="shared" si="53"/>
        <v>0</v>
      </c>
      <c r="AC152">
        <f t="shared" si="54"/>
        <v>0</v>
      </c>
      <c r="AD152">
        <f t="shared" si="55"/>
        <v>0</v>
      </c>
      <c r="AE152">
        <f t="shared" si="56"/>
        <v>0</v>
      </c>
      <c r="AF152">
        <f t="shared" si="57"/>
        <v>1</v>
      </c>
      <c r="AG152">
        <f t="shared" si="58"/>
        <v>0</v>
      </c>
      <c r="AH152">
        <f t="shared" si="71"/>
        <v>0</v>
      </c>
      <c r="AI152">
        <f t="shared" si="75"/>
        <v>0</v>
      </c>
      <c r="AJ152">
        <f t="shared" si="75"/>
        <v>0</v>
      </c>
      <c r="AK152">
        <f t="shared" si="75"/>
        <v>0</v>
      </c>
      <c r="AL152">
        <f t="shared" si="75"/>
        <v>1</v>
      </c>
      <c r="AM152">
        <f t="shared" si="75"/>
        <v>0</v>
      </c>
      <c r="AN152">
        <f t="shared" si="75"/>
        <v>0</v>
      </c>
      <c r="AO152">
        <f t="shared" si="75"/>
        <v>0</v>
      </c>
      <c r="AP152">
        <f t="shared" si="75"/>
        <v>0</v>
      </c>
      <c r="AQ152">
        <f t="shared" si="75"/>
        <v>0</v>
      </c>
      <c r="AR152">
        <f t="shared" si="75"/>
        <v>0</v>
      </c>
      <c r="AS152">
        <f t="shared" si="75"/>
        <v>0</v>
      </c>
      <c r="AT152">
        <f t="shared" si="75"/>
        <v>0</v>
      </c>
      <c r="AU152">
        <f t="shared" si="75"/>
        <v>0</v>
      </c>
      <c r="AV152">
        <f t="shared" si="75"/>
        <v>0</v>
      </c>
      <c r="AW152">
        <f t="shared" si="75"/>
        <v>0</v>
      </c>
      <c r="AX152">
        <f t="shared" si="72"/>
        <v>0</v>
      </c>
      <c r="AY152">
        <f t="shared" si="72"/>
        <v>0</v>
      </c>
      <c r="AZ152">
        <f t="shared" si="72"/>
        <v>0</v>
      </c>
      <c r="BA152">
        <f t="shared" si="73"/>
        <v>1</v>
      </c>
      <c r="BB152">
        <f t="shared" si="74"/>
        <v>0</v>
      </c>
    </row>
    <row r="153" spans="1:54">
      <c r="A153">
        <v>150</v>
      </c>
      <c r="B153" t="s">
        <v>20</v>
      </c>
      <c r="C153" t="s">
        <v>21</v>
      </c>
      <c r="D153" t="s">
        <v>26</v>
      </c>
      <c r="E153" t="s">
        <v>30</v>
      </c>
      <c r="F153" t="s">
        <v>21</v>
      </c>
      <c r="G153" t="s">
        <v>25</v>
      </c>
      <c r="H153" s="3">
        <v>0.94788859252831303</v>
      </c>
      <c r="I153" s="3">
        <v>0.93858887210452802</v>
      </c>
      <c r="J153" s="3">
        <v>0.86542218513235303</v>
      </c>
      <c r="K153" s="3">
        <v>0.90028046346009905</v>
      </c>
      <c r="L153" s="3">
        <v>0.78945492133728501</v>
      </c>
      <c r="M153" s="3">
        <v>0.69812544089566497</v>
      </c>
      <c r="N153" s="3">
        <v>0.99020480854852999</v>
      </c>
      <c r="O153" s="3">
        <v>0.81640608725838804</v>
      </c>
      <c r="P153">
        <f t="shared" si="59"/>
        <v>0</v>
      </c>
      <c r="Q153">
        <f t="shared" si="60"/>
        <v>0</v>
      </c>
      <c r="R153">
        <f t="shared" si="61"/>
        <v>0</v>
      </c>
      <c r="S153">
        <f t="shared" si="62"/>
        <v>0</v>
      </c>
      <c r="T153">
        <f t="shared" si="63"/>
        <v>0</v>
      </c>
      <c r="U153">
        <f t="shared" si="64"/>
        <v>0</v>
      </c>
      <c r="V153">
        <f t="shared" si="65"/>
        <v>0</v>
      </c>
      <c r="W153">
        <f t="shared" si="66"/>
        <v>0</v>
      </c>
      <c r="X153">
        <f t="shared" si="67"/>
        <v>0</v>
      </c>
      <c r="Y153">
        <f t="shared" si="68"/>
        <v>0</v>
      </c>
      <c r="Z153">
        <f t="shared" si="69"/>
        <v>0</v>
      </c>
      <c r="AA153">
        <f t="shared" si="70"/>
        <v>0</v>
      </c>
      <c r="AB153">
        <f t="shared" si="53"/>
        <v>0</v>
      </c>
      <c r="AC153">
        <f t="shared" si="54"/>
        <v>0</v>
      </c>
      <c r="AD153">
        <f t="shared" si="55"/>
        <v>0</v>
      </c>
      <c r="AE153">
        <f t="shared" si="56"/>
        <v>1</v>
      </c>
      <c r="AF153">
        <f t="shared" si="57"/>
        <v>1</v>
      </c>
      <c r="AG153">
        <f t="shared" si="58"/>
        <v>0</v>
      </c>
      <c r="AH153">
        <f t="shared" si="71"/>
        <v>1</v>
      </c>
      <c r="AI153">
        <f t="shared" si="75"/>
        <v>1</v>
      </c>
      <c r="AJ153">
        <f t="shared" si="75"/>
        <v>0</v>
      </c>
      <c r="AK153">
        <f t="shared" si="75"/>
        <v>0</v>
      </c>
      <c r="AL153">
        <f t="shared" si="75"/>
        <v>0</v>
      </c>
      <c r="AM153">
        <f t="shared" si="75"/>
        <v>0</v>
      </c>
      <c r="AN153">
        <f t="shared" si="75"/>
        <v>0</v>
      </c>
      <c r="AO153">
        <f t="shared" si="75"/>
        <v>0</v>
      </c>
      <c r="AP153">
        <f t="shared" si="75"/>
        <v>0</v>
      </c>
      <c r="AQ153">
        <f t="shared" si="75"/>
        <v>0</v>
      </c>
      <c r="AR153">
        <f t="shared" si="75"/>
        <v>0</v>
      </c>
      <c r="AS153">
        <f t="shared" si="75"/>
        <v>0</v>
      </c>
      <c r="AT153">
        <f t="shared" si="75"/>
        <v>0</v>
      </c>
      <c r="AU153">
        <f t="shared" si="75"/>
        <v>0</v>
      </c>
      <c r="AV153">
        <f t="shared" si="75"/>
        <v>0</v>
      </c>
      <c r="AW153">
        <f t="shared" si="75"/>
        <v>0</v>
      </c>
      <c r="AX153">
        <f t="shared" si="72"/>
        <v>0</v>
      </c>
      <c r="AY153">
        <f t="shared" si="72"/>
        <v>0</v>
      </c>
      <c r="AZ153">
        <f t="shared" si="72"/>
        <v>0</v>
      </c>
      <c r="BA153">
        <f t="shared" si="73"/>
        <v>1</v>
      </c>
      <c r="BB153">
        <f t="shared" si="74"/>
        <v>0</v>
      </c>
    </row>
    <row r="154" spans="1:54">
      <c r="A154">
        <v>151</v>
      </c>
      <c r="B154" t="s">
        <v>20</v>
      </c>
      <c r="C154" t="s">
        <v>21</v>
      </c>
      <c r="D154" t="s">
        <v>26</v>
      </c>
      <c r="E154" t="s">
        <v>30</v>
      </c>
      <c r="F154" t="s">
        <v>21</v>
      </c>
      <c r="G154" t="s">
        <v>26</v>
      </c>
      <c r="H154" s="3">
        <v>0.93873104614332503</v>
      </c>
      <c r="I154" s="3">
        <v>0.92947092520556696</v>
      </c>
      <c r="J154" s="3">
        <v>0.86045780834654395</v>
      </c>
      <c r="K154" s="3">
        <v>0.89317252117521295</v>
      </c>
      <c r="L154" s="3">
        <v>0.78905609454846803</v>
      </c>
      <c r="M154" s="3">
        <v>0.69958864095262296</v>
      </c>
      <c r="N154" s="3">
        <v>0.97803502523003805</v>
      </c>
      <c r="O154" s="3">
        <v>0.81529265894095204</v>
      </c>
      <c r="P154">
        <f t="shared" si="59"/>
        <v>0</v>
      </c>
      <c r="Q154">
        <f t="shared" si="60"/>
        <v>0</v>
      </c>
      <c r="R154">
        <f t="shared" si="61"/>
        <v>0</v>
      </c>
      <c r="S154">
        <f t="shared" si="62"/>
        <v>0</v>
      </c>
      <c r="T154">
        <f t="shared" si="63"/>
        <v>0</v>
      </c>
      <c r="U154">
        <f t="shared" si="64"/>
        <v>0</v>
      </c>
      <c r="V154">
        <f t="shared" si="65"/>
        <v>0</v>
      </c>
      <c r="W154">
        <f t="shared" si="66"/>
        <v>0</v>
      </c>
      <c r="X154">
        <f t="shared" si="67"/>
        <v>0</v>
      </c>
      <c r="Y154">
        <f t="shared" si="68"/>
        <v>0</v>
      </c>
      <c r="Z154">
        <f t="shared" si="69"/>
        <v>0</v>
      </c>
      <c r="AA154">
        <f t="shared" si="70"/>
        <v>0</v>
      </c>
      <c r="AB154">
        <f t="shared" si="53"/>
        <v>0</v>
      </c>
      <c r="AC154">
        <f t="shared" si="54"/>
        <v>0</v>
      </c>
      <c r="AD154">
        <f t="shared" si="55"/>
        <v>0</v>
      </c>
      <c r="AE154">
        <f t="shared" si="56"/>
        <v>1</v>
      </c>
      <c r="AF154">
        <f t="shared" si="57"/>
        <v>1</v>
      </c>
      <c r="AG154">
        <f t="shared" si="58"/>
        <v>0</v>
      </c>
      <c r="AH154">
        <f t="shared" si="71"/>
        <v>1</v>
      </c>
      <c r="AI154">
        <f t="shared" ref="AI154:AW170" si="76">IF(OR(AND($D154=AI$1,$G154=AI$2),AND($D154=AI$2,$G154=AI$1)),1,0)</f>
        <v>0</v>
      </c>
      <c r="AJ154">
        <f t="shared" si="76"/>
        <v>0</v>
      </c>
      <c r="AK154">
        <f t="shared" si="76"/>
        <v>0</v>
      </c>
      <c r="AL154">
        <f t="shared" si="76"/>
        <v>0</v>
      </c>
      <c r="AM154">
        <f t="shared" si="76"/>
        <v>0</v>
      </c>
      <c r="AN154">
        <f t="shared" si="76"/>
        <v>0</v>
      </c>
      <c r="AO154">
        <f t="shared" si="76"/>
        <v>0</v>
      </c>
      <c r="AP154">
        <f t="shared" si="76"/>
        <v>0</v>
      </c>
      <c r="AQ154">
        <f t="shared" si="76"/>
        <v>0</v>
      </c>
      <c r="AR154">
        <f t="shared" si="76"/>
        <v>0</v>
      </c>
      <c r="AS154">
        <f t="shared" si="76"/>
        <v>0</v>
      </c>
      <c r="AT154">
        <f t="shared" si="76"/>
        <v>0</v>
      </c>
      <c r="AU154">
        <f t="shared" si="76"/>
        <v>0</v>
      </c>
      <c r="AV154">
        <f t="shared" si="76"/>
        <v>0</v>
      </c>
      <c r="AW154">
        <f t="shared" si="76"/>
        <v>0</v>
      </c>
      <c r="AX154">
        <f t="shared" si="72"/>
        <v>0</v>
      </c>
      <c r="AY154">
        <f t="shared" si="72"/>
        <v>0</v>
      </c>
      <c r="AZ154">
        <f t="shared" si="72"/>
        <v>0</v>
      </c>
      <c r="BA154">
        <f t="shared" si="73"/>
        <v>0</v>
      </c>
      <c r="BB154">
        <f t="shared" si="74"/>
        <v>0</v>
      </c>
    </row>
    <row r="155" spans="1:54">
      <c r="A155">
        <v>152</v>
      </c>
      <c r="B155" t="s">
        <v>20</v>
      </c>
      <c r="C155" t="s">
        <v>21</v>
      </c>
      <c r="D155" t="s">
        <v>26</v>
      </c>
      <c r="E155" t="s">
        <v>30</v>
      </c>
      <c r="F155" t="s">
        <v>21</v>
      </c>
      <c r="G155" t="s">
        <v>27</v>
      </c>
      <c r="H155" s="3">
        <v>0.24686022420873199</v>
      </c>
      <c r="I155" s="3">
        <v>0.23230438707218301</v>
      </c>
      <c r="J155" s="3">
        <v>0.20706651844861301</v>
      </c>
      <c r="K155" s="3">
        <v>0.20513827305684301</v>
      </c>
      <c r="L155" s="3">
        <v>0.176831407876261</v>
      </c>
      <c r="M155" s="3">
        <v>0.14176660378730399</v>
      </c>
      <c r="N155" s="3">
        <v>0.29355891956070002</v>
      </c>
      <c r="O155" s="3">
        <v>0.171746921221302</v>
      </c>
      <c r="P155">
        <f t="shared" si="59"/>
        <v>0</v>
      </c>
      <c r="Q155">
        <f t="shared" si="60"/>
        <v>0</v>
      </c>
      <c r="R155">
        <f t="shared" si="61"/>
        <v>0</v>
      </c>
      <c r="S155">
        <f t="shared" si="62"/>
        <v>0</v>
      </c>
      <c r="T155">
        <f t="shared" si="63"/>
        <v>0</v>
      </c>
      <c r="U155">
        <f t="shared" si="64"/>
        <v>0</v>
      </c>
      <c r="V155">
        <f t="shared" si="65"/>
        <v>0</v>
      </c>
      <c r="W155">
        <f t="shared" si="66"/>
        <v>1</v>
      </c>
      <c r="X155">
        <f t="shared" si="67"/>
        <v>0</v>
      </c>
      <c r="Y155">
        <f t="shared" si="68"/>
        <v>0</v>
      </c>
      <c r="Z155">
        <f t="shared" si="69"/>
        <v>0</v>
      </c>
      <c r="AA155">
        <f t="shared" si="70"/>
        <v>0</v>
      </c>
      <c r="AB155">
        <f t="shared" si="53"/>
        <v>0</v>
      </c>
      <c r="AC155">
        <f t="shared" si="54"/>
        <v>0</v>
      </c>
      <c r="AD155">
        <f t="shared" si="55"/>
        <v>0</v>
      </c>
      <c r="AE155">
        <f t="shared" si="56"/>
        <v>0</v>
      </c>
      <c r="AF155">
        <f t="shared" si="57"/>
        <v>1</v>
      </c>
      <c r="AG155">
        <f t="shared" si="58"/>
        <v>0</v>
      </c>
      <c r="AH155">
        <f t="shared" si="71"/>
        <v>0</v>
      </c>
      <c r="AI155">
        <f t="shared" si="76"/>
        <v>0</v>
      </c>
      <c r="AJ155">
        <f t="shared" si="76"/>
        <v>0</v>
      </c>
      <c r="AK155">
        <f t="shared" si="76"/>
        <v>0</v>
      </c>
      <c r="AL155">
        <f t="shared" si="76"/>
        <v>0</v>
      </c>
      <c r="AM155">
        <f t="shared" si="76"/>
        <v>1</v>
      </c>
      <c r="AN155">
        <f t="shared" si="76"/>
        <v>0</v>
      </c>
      <c r="AO155">
        <f t="shared" si="76"/>
        <v>0</v>
      </c>
      <c r="AP155">
        <f t="shared" si="76"/>
        <v>0</v>
      </c>
      <c r="AQ155">
        <f t="shared" si="76"/>
        <v>0</v>
      </c>
      <c r="AR155">
        <f t="shared" si="76"/>
        <v>0</v>
      </c>
      <c r="AS155">
        <f t="shared" si="76"/>
        <v>0</v>
      </c>
      <c r="AT155">
        <f t="shared" si="76"/>
        <v>0</v>
      </c>
      <c r="AU155">
        <f t="shared" si="76"/>
        <v>0</v>
      </c>
      <c r="AV155">
        <f t="shared" si="76"/>
        <v>0</v>
      </c>
      <c r="AW155">
        <f t="shared" si="76"/>
        <v>0</v>
      </c>
      <c r="AX155">
        <f t="shared" si="72"/>
        <v>0</v>
      </c>
      <c r="AY155">
        <f t="shared" si="72"/>
        <v>0</v>
      </c>
      <c r="AZ155">
        <f t="shared" si="72"/>
        <v>0</v>
      </c>
      <c r="BA155">
        <f t="shared" si="73"/>
        <v>1</v>
      </c>
      <c r="BB155">
        <f t="shared" si="74"/>
        <v>0</v>
      </c>
    </row>
    <row r="156" spans="1:54">
      <c r="A156">
        <v>153</v>
      </c>
      <c r="B156" t="s">
        <v>20</v>
      </c>
      <c r="C156" t="s">
        <v>21</v>
      </c>
      <c r="D156" t="s">
        <v>26</v>
      </c>
      <c r="E156" t="s">
        <v>30</v>
      </c>
      <c r="F156" t="s">
        <v>28</v>
      </c>
      <c r="G156" t="s">
        <v>22</v>
      </c>
      <c r="H156" s="3">
        <v>1.9293972757201801E-2</v>
      </c>
      <c r="I156" s="3">
        <v>1.89785706758899E-2</v>
      </c>
      <c r="J156" s="3">
        <v>1.6524660971956501E-2</v>
      </c>
      <c r="K156" s="3">
        <v>1.75932671389172E-2</v>
      </c>
      <c r="L156" s="3">
        <v>1.26990271917967E-2</v>
      </c>
      <c r="M156" s="3">
        <v>1.00730187011302E-2</v>
      </c>
      <c r="N156" s="3">
        <v>2.07776788364499E-2</v>
      </c>
      <c r="O156" s="3">
        <v>1.3714375214454899E-2</v>
      </c>
      <c r="P156">
        <f t="shared" si="59"/>
        <v>1</v>
      </c>
      <c r="Q156">
        <f t="shared" si="60"/>
        <v>0</v>
      </c>
      <c r="R156">
        <f t="shared" si="61"/>
        <v>0</v>
      </c>
      <c r="S156">
        <f t="shared" si="62"/>
        <v>0</v>
      </c>
      <c r="T156">
        <f t="shared" si="63"/>
        <v>0</v>
      </c>
      <c r="U156">
        <f t="shared" si="64"/>
        <v>0</v>
      </c>
      <c r="V156">
        <f t="shared" si="65"/>
        <v>0</v>
      </c>
      <c r="W156">
        <f t="shared" si="66"/>
        <v>0</v>
      </c>
      <c r="X156">
        <f t="shared" si="67"/>
        <v>0</v>
      </c>
      <c r="Y156">
        <f t="shared" si="68"/>
        <v>0</v>
      </c>
      <c r="Z156">
        <f t="shared" si="69"/>
        <v>0</v>
      </c>
      <c r="AA156">
        <f t="shared" si="70"/>
        <v>0</v>
      </c>
      <c r="AB156">
        <f t="shared" si="53"/>
        <v>0</v>
      </c>
      <c r="AC156">
        <f t="shared" si="54"/>
        <v>0</v>
      </c>
      <c r="AD156">
        <f t="shared" si="55"/>
        <v>0</v>
      </c>
      <c r="AE156">
        <f t="shared" si="56"/>
        <v>0</v>
      </c>
      <c r="AF156">
        <f t="shared" si="57"/>
        <v>0</v>
      </c>
      <c r="AG156">
        <f t="shared" si="58"/>
        <v>0</v>
      </c>
      <c r="AH156">
        <f t="shared" si="71"/>
        <v>0</v>
      </c>
      <c r="AI156">
        <f t="shared" si="76"/>
        <v>0</v>
      </c>
      <c r="AJ156">
        <f t="shared" si="76"/>
        <v>1</v>
      </c>
      <c r="AK156">
        <f t="shared" si="76"/>
        <v>0</v>
      </c>
      <c r="AL156">
        <f t="shared" si="76"/>
        <v>0</v>
      </c>
      <c r="AM156">
        <f t="shared" si="76"/>
        <v>0</v>
      </c>
      <c r="AN156">
        <f t="shared" si="76"/>
        <v>0</v>
      </c>
      <c r="AO156">
        <f t="shared" si="76"/>
        <v>0</v>
      </c>
      <c r="AP156">
        <f t="shared" si="76"/>
        <v>0</v>
      </c>
      <c r="AQ156">
        <f t="shared" si="76"/>
        <v>0</v>
      </c>
      <c r="AR156">
        <f t="shared" si="76"/>
        <v>0</v>
      </c>
      <c r="AS156">
        <f t="shared" si="76"/>
        <v>0</v>
      </c>
      <c r="AT156">
        <f t="shared" si="76"/>
        <v>0</v>
      </c>
      <c r="AU156">
        <f t="shared" si="76"/>
        <v>0</v>
      </c>
      <c r="AV156">
        <f t="shared" si="76"/>
        <v>0</v>
      </c>
      <c r="AW156">
        <f t="shared" si="76"/>
        <v>0</v>
      </c>
      <c r="AX156">
        <f t="shared" si="72"/>
        <v>1</v>
      </c>
      <c r="AY156">
        <f t="shared" si="72"/>
        <v>0</v>
      </c>
      <c r="AZ156">
        <f t="shared" si="72"/>
        <v>0</v>
      </c>
      <c r="BA156">
        <f t="shared" si="73"/>
        <v>1</v>
      </c>
      <c r="BB156">
        <f t="shared" si="74"/>
        <v>0</v>
      </c>
    </row>
    <row r="157" spans="1:54">
      <c r="A157">
        <v>154</v>
      </c>
      <c r="B157" t="s">
        <v>20</v>
      </c>
      <c r="C157" t="s">
        <v>21</v>
      </c>
      <c r="D157" t="s">
        <v>26</v>
      </c>
      <c r="E157" t="s">
        <v>30</v>
      </c>
      <c r="F157" t="s">
        <v>28</v>
      </c>
      <c r="G157" t="s">
        <v>23</v>
      </c>
      <c r="H157" s="3">
        <v>2.29033009038179E-2</v>
      </c>
      <c r="I157" s="3">
        <v>2.19851232686041E-2</v>
      </c>
      <c r="J157" s="3">
        <v>1.9443240769838398E-2</v>
      </c>
      <c r="K157" s="3">
        <v>2.0024163951328E-2</v>
      </c>
      <c r="L157" s="3">
        <v>1.47128175116959E-2</v>
      </c>
      <c r="M157" s="3">
        <v>1.1576073191682801E-2</v>
      </c>
      <c r="N157" s="3">
        <v>2.46363906203621E-2</v>
      </c>
      <c r="O157" s="3">
        <v>1.5853778539866099E-2</v>
      </c>
      <c r="P157">
        <f t="shared" si="59"/>
        <v>0</v>
      </c>
      <c r="Q157">
        <f t="shared" si="60"/>
        <v>1</v>
      </c>
      <c r="R157">
        <f t="shared" si="61"/>
        <v>0</v>
      </c>
      <c r="S157">
        <f t="shared" si="62"/>
        <v>0</v>
      </c>
      <c r="T157">
        <f t="shared" si="63"/>
        <v>0</v>
      </c>
      <c r="U157">
        <f t="shared" si="64"/>
        <v>0</v>
      </c>
      <c r="V157">
        <f t="shared" si="65"/>
        <v>0</v>
      </c>
      <c r="W157">
        <f t="shared" si="66"/>
        <v>0</v>
      </c>
      <c r="X157">
        <f t="shared" si="67"/>
        <v>0</v>
      </c>
      <c r="Y157">
        <f t="shared" si="68"/>
        <v>0</v>
      </c>
      <c r="Z157">
        <f t="shared" si="69"/>
        <v>0</v>
      </c>
      <c r="AA157">
        <f t="shared" si="70"/>
        <v>0</v>
      </c>
      <c r="AB157">
        <f t="shared" si="53"/>
        <v>0</v>
      </c>
      <c r="AC157">
        <f t="shared" si="54"/>
        <v>0</v>
      </c>
      <c r="AD157">
        <f t="shared" si="55"/>
        <v>0</v>
      </c>
      <c r="AE157">
        <f t="shared" si="56"/>
        <v>0</v>
      </c>
      <c r="AF157">
        <f t="shared" si="57"/>
        <v>0</v>
      </c>
      <c r="AG157">
        <f t="shared" si="58"/>
        <v>0</v>
      </c>
      <c r="AH157">
        <f t="shared" si="71"/>
        <v>0</v>
      </c>
      <c r="AI157">
        <f t="shared" si="76"/>
        <v>0</v>
      </c>
      <c r="AJ157">
        <f t="shared" si="76"/>
        <v>0</v>
      </c>
      <c r="AK157">
        <f t="shared" si="76"/>
        <v>1</v>
      </c>
      <c r="AL157">
        <f t="shared" si="76"/>
        <v>0</v>
      </c>
      <c r="AM157">
        <f t="shared" si="76"/>
        <v>0</v>
      </c>
      <c r="AN157">
        <f t="shared" si="76"/>
        <v>0</v>
      </c>
      <c r="AO157">
        <f t="shared" si="76"/>
        <v>0</v>
      </c>
      <c r="AP157">
        <f t="shared" si="76"/>
        <v>0</v>
      </c>
      <c r="AQ157">
        <f t="shared" si="76"/>
        <v>0</v>
      </c>
      <c r="AR157">
        <f t="shared" si="76"/>
        <v>0</v>
      </c>
      <c r="AS157">
        <f t="shared" si="76"/>
        <v>0</v>
      </c>
      <c r="AT157">
        <f t="shared" si="76"/>
        <v>0</v>
      </c>
      <c r="AU157">
        <f t="shared" si="76"/>
        <v>0</v>
      </c>
      <c r="AV157">
        <f t="shared" si="76"/>
        <v>0</v>
      </c>
      <c r="AW157">
        <f t="shared" si="76"/>
        <v>0</v>
      </c>
      <c r="AX157">
        <f t="shared" si="72"/>
        <v>1</v>
      </c>
      <c r="AY157">
        <f t="shared" si="72"/>
        <v>0</v>
      </c>
      <c r="AZ157">
        <f t="shared" si="72"/>
        <v>0</v>
      </c>
      <c r="BA157">
        <f t="shared" si="73"/>
        <v>1</v>
      </c>
      <c r="BB157">
        <f t="shared" si="74"/>
        <v>0</v>
      </c>
    </row>
    <row r="158" spans="1:54">
      <c r="A158">
        <v>155</v>
      </c>
      <c r="B158" t="s">
        <v>20</v>
      </c>
      <c r="C158" t="s">
        <v>21</v>
      </c>
      <c r="D158" t="s">
        <v>26</v>
      </c>
      <c r="E158" t="s">
        <v>30</v>
      </c>
      <c r="F158" t="s">
        <v>28</v>
      </c>
      <c r="G158" t="s">
        <v>24</v>
      </c>
      <c r="H158" s="3">
        <v>0.58410307666014705</v>
      </c>
      <c r="I158" s="3">
        <v>0.61169766033708395</v>
      </c>
      <c r="J158" s="3">
        <v>0.43733948922403698</v>
      </c>
      <c r="K158" s="3">
        <v>0.52629625411256797</v>
      </c>
      <c r="L158" s="3">
        <v>0.31930897326329399</v>
      </c>
      <c r="M158" s="3">
        <v>0.23080061487241399</v>
      </c>
      <c r="N158" s="3">
        <v>0.74620407790487897</v>
      </c>
      <c r="O158" s="3">
        <v>0.33754566598700197</v>
      </c>
      <c r="P158">
        <f t="shared" si="59"/>
        <v>0</v>
      </c>
      <c r="Q158">
        <f t="shared" si="60"/>
        <v>0</v>
      </c>
      <c r="R158">
        <f t="shared" si="61"/>
        <v>1</v>
      </c>
      <c r="S158">
        <f t="shared" si="62"/>
        <v>0</v>
      </c>
      <c r="T158">
        <f t="shared" si="63"/>
        <v>0</v>
      </c>
      <c r="U158">
        <f t="shared" si="64"/>
        <v>0</v>
      </c>
      <c r="V158">
        <f t="shared" si="65"/>
        <v>0</v>
      </c>
      <c r="W158">
        <f t="shared" si="66"/>
        <v>0</v>
      </c>
      <c r="X158">
        <f t="shared" si="67"/>
        <v>0</v>
      </c>
      <c r="Y158">
        <f t="shared" si="68"/>
        <v>0</v>
      </c>
      <c r="Z158">
        <f t="shared" si="69"/>
        <v>0</v>
      </c>
      <c r="AA158">
        <f t="shared" si="70"/>
        <v>0</v>
      </c>
      <c r="AB158">
        <f t="shared" si="53"/>
        <v>0</v>
      </c>
      <c r="AC158">
        <f t="shared" si="54"/>
        <v>0</v>
      </c>
      <c r="AD158">
        <f t="shared" si="55"/>
        <v>0</v>
      </c>
      <c r="AE158">
        <f t="shared" si="56"/>
        <v>0</v>
      </c>
      <c r="AF158">
        <f t="shared" si="57"/>
        <v>0</v>
      </c>
      <c r="AG158">
        <f t="shared" si="58"/>
        <v>0</v>
      </c>
      <c r="AH158">
        <f t="shared" si="71"/>
        <v>0</v>
      </c>
      <c r="AI158">
        <f t="shared" si="76"/>
        <v>0</v>
      </c>
      <c r="AJ158">
        <f t="shared" si="76"/>
        <v>0</v>
      </c>
      <c r="AK158">
        <f t="shared" si="76"/>
        <v>0</v>
      </c>
      <c r="AL158">
        <f t="shared" si="76"/>
        <v>1</v>
      </c>
      <c r="AM158">
        <f t="shared" si="76"/>
        <v>0</v>
      </c>
      <c r="AN158">
        <f t="shared" si="76"/>
        <v>0</v>
      </c>
      <c r="AO158">
        <f t="shared" si="76"/>
        <v>0</v>
      </c>
      <c r="AP158">
        <f t="shared" si="76"/>
        <v>0</v>
      </c>
      <c r="AQ158">
        <f t="shared" si="76"/>
        <v>0</v>
      </c>
      <c r="AR158">
        <f t="shared" si="76"/>
        <v>0</v>
      </c>
      <c r="AS158">
        <f t="shared" si="76"/>
        <v>0</v>
      </c>
      <c r="AT158">
        <f t="shared" si="76"/>
        <v>0</v>
      </c>
      <c r="AU158">
        <f t="shared" si="76"/>
        <v>0</v>
      </c>
      <c r="AV158">
        <f t="shared" si="76"/>
        <v>0</v>
      </c>
      <c r="AW158">
        <f t="shared" si="76"/>
        <v>0</v>
      </c>
      <c r="AX158">
        <f t="shared" si="72"/>
        <v>1</v>
      </c>
      <c r="AY158">
        <f t="shared" si="72"/>
        <v>0</v>
      </c>
      <c r="AZ158">
        <f t="shared" si="72"/>
        <v>0</v>
      </c>
      <c r="BA158">
        <f t="shared" si="73"/>
        <v>1</v>
      </c>
      <c r="BB158">
        <f t="shared" si="74"/>
        <v>0</v>
      </c>
    </row>
    <row r="159" spans="1:54">
      <c r="A159">
        <v>156</v>
      </c>
      <c r="B159" t="s">
        <v>20</v>
      </c>
      <c r="C159" t="s">
        <v>21</v>
      </c>
      <c r="D159" t="s">
        <v>26</v>
      </c>
      <c r="E159" t="s">
        <v>30</v>
      </c>
      <c r="F159" t="s">
        <v>28</v>
      </c>
      <c r="G159" t="s">
        <v>25</v>
      </c>
      <c r="H159" s="3">
        <v>0.938417940196419</v>
      </c>
      <c r="I159" s="3">
        <v>0.92728275757315404</v>
      </c>
      <c r="J159" s="3">
        <v>0.83274927583330804</v>
      </c>
      <c r="K159" s="3">
        <v>0.87566828673261299</v>
      </c>
      <c r="L159" s="3">
        <v>0.75093120657324197</v>
      </c>
      <c r="M159" s="3">
        <v>0.64599865488104102</v>
      </c>
      <c r="N159" s="3">
        <v>0.99614380051251705</v>
      </c>
      <c r="O159" s="3">
        <v>0.77135344449190901</v>
      </c>
      <c r="P159">
        <f t="shared" si="59"/>
        <v>0</v>
      </c>
      <c r="Q159">
        <f t="shared" si="60"/>
        <v>0</v>
      </c>
      <c r="R159">
        <f t="shared" si="61"/>
        <v>0</v>
      </c>
      <c r="S159">
        <f t="shared" si="62"/>
        <v>0</v>
      </c>
      <c r="T159">
        <f t="shared" si="63"/>
        <v>0</v>
      </c>
      <c r="U159">
        <f t="shared" si="64"/>
        <v>0</v>
      </c>
      <c r="V159">
        <f t="shared" si="65"/>
        <v>0</v>
      </c>
      <c r="W159">
        <f t="shared" si="66"/>
        <v>0</v>
      </c>
      <c r="X159">
        <f t="shared" si="67"/>
        <v>0</v>
      </c>
      <c r="Y159">
        <f t="shared" si="68"/>
        <v>0</v>
      </c>
      <c r="Z159">
        <f t="shared" si="69"/>
        <v>0</v>
      </c>
      <c r="AA159">
        <f t="shared" si="70"/>
        <v>0</v>
      </c>
      <c r="AB159">
        <f t="shared" si="53"/>
        <v>0</v>
      </c>
      <c r="AC159">
        <f t="shared" si="54"/>
        <v>0</v>
      </c>
      <c r="AD159">
        <f t="shared" si="55"/>
        <v>0</v>
      </c>
      <c r="AE159">
        <f t="shared" si="56"/>
        <v>1</v>
      </c>
      <c r="AF159">
        <f t="shared" si="57"/>
        <v>0</v>
      </c>
      <c r="AG159">
        <f t="shared" si="58"/>
        <v>0</v>
      </c>
      <c r="AH159">
        <f t="shared" si="71"/>
        <v>1</v>
      </c>
      <c r="AI159">
        <f t="shared" si="76"/>
        <v>1</v>
      </c>
      <c r="AJ159">
        <f t="shared" si="76"/>
        <v>0</v>
      </c>
      <c r="AK159">
        <f t="shared" si="76"/>
        <v>0</v>
      </c>
      <c r="AL159">
        <f t="shared" si="76"/>
        <v>0</v>
      </c>
      <c r="AM159">
        <f t="shared" si="76"/>
        <v>0</v>
      </c>
      <c r="AN159">
        <f t="shared" si="76"/>
        <v>0</v>
      </c>
      <c r="AO159">
        <f t="shared" si="76"/>
        <v>0</v>
      </c>
      <c r="AP159">
        <f t="shared" si="76"/>
        <v>0</v>
      </c>
      <c r="AQ159">
        <f t="shared" si="76"/>
        <v>0</v>
      </c>
      <c r="AR159">
        <f t="shared" si="76"/>
        <v>0</v>
      </c>
      <c r="AS159">
        <f t="shared" si="76"/>
        <v>0</v>
      </c>
      <c r="AT159">
        <f t="shared" si="76"/>
        <v>0</v>
      </c>
      <c r="AU159">
        <f t="shared" si="76"/>
        <v>0</v>
      </c>
      <c r="AV159">
        <f t="shared" si="76"/>
        <v>0</v>
      </c>
      <c r="AW159">
        <f t="shared" si="76"/>
        <v>0</v>
      </c>
      <c r="AX159">
        <f t="shared" si="72"/>
        <v>1</v>
      </c>
      <c r="AY159">
        <f t="shared" si="72"/>
        <v>0</v>
      </c>
      <c r="AZ159">
        <f t="shared" si="72"/>
        <v>0</v>
      </c>
      <c r="BA159">
        <f t="shared" si="73"/>
        <v>1</v>
      </c>
      <c r="BB159">
        <f t="shared" si="74"/>
        <v>0</v>
      </c>
    </row>
    <row r="160" spans="1:54">
      <c r="A160">
        <v>157</v>
      </c>
      <c r="B160" t="s">
        <v>20</v>
      </c>
      <c r="C160" t="s">
        <v>21</v>
      </c>
      <c r="D160" t="s">
        <v>26</v>
      </c>
      <c r="E160" t="s">
        <v>30</v>
      </c>
      <c r="F160" t="s">
        <v>28</v>
      </c>
      <c r="G160" t="s">
        <v>26</v>
      </c>
      <c r="H160" s="3">
        <v>0.932726182022242</v>
      </c>
      <c r="I160" s="3">
        <v>0.92194989632208801</v>
      </c>
      <c r="J160" s="3">
        <v>0.83164079588822304</v>
      </c>
      <c r="K160" s="3">
        <v>0.87164272321549996</v>
      </c>
      <c r="L160" s="3">
        <v>0.75301978565818195</v>
      </c>
      <c r="M160" s="3">
        <v>0.64921869062360904</v>
      </c>
      <c r="N160" s="3">
        <v>0.98872068863164098</v>
      </c>
      <c r="O160" s="3">
        <v>0.77320573372233303</v>
      </c>
      <c r="P160">
        <f t="shared" si="59"/>
        <v>0</v>
      </c>
      <c r="Q160">
        <f t="shared" si="60"/>
        <v>0</v>
      </c>
      <c r="R160">
        <f t="shared" si="61"/>
        <v>0</v>
      </c>
      <c r="S160">
        <f t="shared" si="62"/>
        <v>0</v>
      </c>
      <c r="T160">
        <f t="shared" si="63"/>
        <v>0</v>
      </c>
      <c r="U160">
        <f t="shared" si="64"/>
        <v>0</v>
      </c>
      <c r="V160">
        <f t="shared" si="65"/>
        <v>0</v>
      </c>
      <c r="W160">
        <f t="shared" si="66"/>
        <v>0</v>
      </c>
      <c r="X160">
        <f t="shared" si="67"/>
        <v>0</v>
      </c>
      <c r="Y160">
        <f t="shared" si="68"/>
        <v>0</v>
      </c>
      <c r="Z160">
        <f t="shared" si="69"/>
        <v>0</v>
      </c>
      <c r="AA160">
        <f t="shared" si="70"/>
        <v>0</v>
      </c>
      <c r="AB160">
        <f t="shared" si="53"/>
        <v>0</v>
      </c>
      <c r="AC160">
        <f t="shared" si="54"/>
        <v>0</v>
      </c>
      <c r="AD160">
        <f t="shared" si="55"/>
        <v>0</v>
      </c>
      <c r="AE160">
        <f t="shared" si="56"/>
        <v>1</v>
      </c>
      <c r="AF160">
        <f t="shared" si="57"/>
        <v>0</v>
      </c>
      <c r="AG160">
        <f t="shared" si="58"/>
        <v>0</v>
      </c>
      <c r="AH160">
        <f t="shared" si="71"/>
        <v>1</v>
      </c>
      <c r="AI160">
        <f t="shared" si="76"/>
        <v>0</v>
      </c>
      <c r="AJ160">
        <f t="shared" si="76"/>
        <v>0</v>
      </c>
      <c r="AK160">
        <f t="shared" si="76"/>
        <v>0</v>
      </c>
      <c r="AL160">
        <f t="shared" si="76"/>
        <v>0</v>
      </c>
      <c r="AM160">
        <f t="shared" si="76"/>
        <v>0</v>
      </c>
      <c r="AN160">
        <f t="shared" si="76"/>
        <v>0</v>
      </c>
      <c r="AO160">
        <f t="shared" si="76"/>
        <v>0</v>
      </c>
      <c r="AP160">
        <f t="shared" si="76"/>
        <v>0</v>
      </c>
      <c r="AQ160">
        <f t="shared" si="76"/>
        <v>0</v>
      </c>
      <c r="AR160">
        <f t="shared" si="76"/>
        <v>0</v>
      </c>
      <c r="AS160">
        <f t="shared" si="76"/>
        <v>0</v>
      </c>
      <c r="AT160">
        <f t="shared" si="76"/>
        <v>0</v>
      </c>
      <c r="AU160">
        <f t="shared" si="76"/>
        <v>0</v>
      </c>
      <c r="AV160">
        <f t="shared" si="76"/>
        <v>0</v>
      </c>
      <c r="AW160">
        <f t="shared" si="76"/>
        <v>0</v>
      </c>
      <c r="AX160">
        <f t="shared" si="72"/>
        <v>1</v>
      </c>
      <c r="AY160">
        <f t="shared" si="72"/>
        <v>0</v>
      </c>
      <c r="AZ160">
        <f t="shared" si="72"/>
        <v>0</v>
      </c>
      <c r="BA160">
        <f t="shared" si="73"/>
        <v>0</v>
      </c>
      <c r="BB160">
        <f t="shared" si="74"/>
        <v>0</v>
      </c>
    </row>
    <row r="161" spans="1:54">
      <c r="A161">
        <v>158</v>
      </c>
      <c r="B161" t="s">
        <v>20</v>
      </c>
      <c r="C161" t="s">
        <v>21</v>
      </c>
      <c r="D161" t="s">
        <v>26</v>
      </c>
      <c r="E161" t="s">
        <v>30</v>
      </c>
      <c r="F161" t="s">
        <v>28</v>
      </c>
      <c r="G161" t="s">
        <v>27</v>
      </c>
      <c r="H161" s="3">
        <v>0.295399633713406</v>
      </c>
      <c r="I161" s="3">
        <v>0.27704122550288801</v>
      </c>
      <c r="J161" s="3">
        <v>0.243966396864851</v>
      </c>
      <c r="K161" s="3">
        <v>0.24085218514663101</v>
      </c>
      <c r="L161" s="3">
        <v>0.20263236561324</v>
      </c>
      <c r="M161" s="3">
        <v>0.159504848563362</v>
      </c>
      <c r="N161" s="3">
        <v>0.36004749183733997</v>
      </c>
      <c r="O161" s="3">
        <v>0.19525508917370901</v>
      </c>
      <c r="P161">
        <f t="shared" si="59"/>
        <v>0</v>
      </c>
      <c r="Q161">
        <f t="shared" si="60"/>
        <v>0</v>
      </c>
      <c r="R161">
        <f t="shared" si="61"/>
        <v>0</v>
      </c>
      <c r="S161">
        <f t="shared" si="62"/>
        <v>1</v>
      </c>
      <c r="T161">
        <f t="shared" si="63"/>
        <v>0</v>
      </c>
      <c r="U161">
        <f t="shared" si="64"/>
        <v>0</v>
      </c>
      <c r="V161">
        <f t="shared" si="65"/>
        <v>0</v>
      </c>
      <c r="W161">
        <f t="shared" si="66"/>
        <v>0</v>
      </c>
      <c r="X161">
        <f t="shared" si="67"/>
        <v>0</v>
      </c>
      <c r="Y161">
        <f t="shared" si="68"/>
        <v>0</v>
      </c>
      <c r="Z161">
        <f t="shared" si="69"/>
        <v>0</v>
      </c>
      <c r="AA161">
        <f t="shared" si="70"/>
        <v>0</v>
      </c>
      <c r="AB161">
        <f t="shared" si="53"/>
        <v>0</v>
      </c>
      <c r="AC161">
        <f t="shared" si="54"/>
        <v>0</v>
      </c>
      <c r="AD161">
        <f t="shared" si="55"/>
        <v>0</v>
      </c>
      <c r="AE161">
        <f t="shared" si="56"/>
        <v>0</v>
      </c>
      <c r="AF161">
        <f t="shared" si="57"/>
        <v>0</v>
      </c>
      <c r="AG161">
        <f t="shared" si="58"/>
        <v>0</v>
      </c>
      <c r="AH161">
        <f t="shared" si="71"/>
        <v>0</v>
      </c>
      <c r="AI161">
        <f t="shared" si="76"/>
        <v>0</v>
      </c>
      <c r="AJ161">
        <f t="shared" si="76"/>
        <v>0</v>
      </c>
      <c r="AK161">
        <f t="shared" si="76"/>
        <v>0</v>
      </c>
      <c r="AL161">
        <f t="shared" si="76"/>
        <v>0</v>
      </c>
      <c r="AM161">
        <f t="shared" si="76"/>
        <v>1</v>
      </c>
      <c r="AN161">
        <f t="shared" si="76"/>
        <v>0</v>
      </c>
      <c r="AO161">
        <f t="shared" si="76"/>
        <v>0</v>
      </c>
      <c r="AP161">
        <f t="shared" si="76"/>
        <v>0</v>
      </c>
      <c r="AQ161">
        <f t="shared" si="76"/>
        <v>0</v>
      </c>
      <c r="AR161">
        <f t="shared" si="76"/>
        <v>0</v>
      </c>
      <c r="AS161">
        <f t="shared" si="76"/>
        <v>0</v>
      </c>
      <c r="AT161">
        <f t="shared" si="76"/>
        <v>0</v>
      </c>
      <c r="AU161">
        <f t="shared" si="76"/>
        <v>0</v>
      </c>
      <c r="AV161">
        <f t="shared" si="76"/>
        <v>0</v>
      </c>
      <c r="AW161">
        <f t="shared" si="76"/>
        <v>0</v>
      </c>
      <c r="AX161">
        <f t="shared" si="72"/>
        <v>1</v>
      </c>
      <c r="AY161">
        <f t="shared" si="72"/>
        <v>0</v>
      </c>
      <c r="AZ161">
        <f t="shared" si="72"/>
        <v>0</v>
      </c>
      <c r="BA161">
        <f t="shared" si="73"/>
        <v>1</v>
      </c>
      <c r="BB161">
        <f t="shared" si="74"/>
        <v>0</v>
      </c>
    </row>
    <row r="162" spans="1:54">
      <c r="A162">
        <v>159</v>
      </c>
      <c r="B162" t="s">
        <v>20</v>
      </c>
      <c r="C162" t="s">
        <v>21</v>
      </c>
      <c r="D162" t="s">
        <v>26</v>
      </c>
      <c r="E162" t="s">
        <v>30</v>
      </c>
      <c r="F162" t="s">
        <v>29</v>
      </c>
      <c r="G162" t="s">
        <v>22</v>
      </c>
      <c r="H162" s="3">
        <v>0.67686334651408797</v>
      </c>
      <c r="I162" s="3">
        <v>0.65033952883259705</v>
      </c>
      <c r="J162" s="3">
        <v>0.55475611657537305</v>
      </c>
      <c r="K162" s="3">
        <v>0.57090097931566197</v>
      </c>
      <c r="L162" s="3">
        <v>0.42901550424038998</v>
      </c>
      <c r="M162" s="3">
        <v>0.32686674790474202</v>
      </c>
      <c r="N162" s="3">
        <v>0.77085188483229405</v>
      </c>
      <c r="O162" s="3">
        <v>0.44044420724579397</v>
      </c>
      <c r="P162">
        <f t="shared" si="59"/>
        <v>0</v>
      </c>
      <c r="Q162">
        <f t="shared" si="60"/>
        <v>0</v>
      </c>
      <c r="R162">
        <f t="shared" si="61"/>
        <v>0</v>
      </c>
      <c r="S162">
        <f t="shared" si="62"/>
        <v>0</v>
      </c>
      <c r="T162">
        <f t="shared" si="63"/>
        <v>0</v>
      </c>
      <c r="U162">
        <f t="shared" si="64"/>
        <v>0</v>
      </c>
      <c r="V162">
        <f t="shared" si="65"/>
        <v>0</v>
      </c>
      <c r="W162">
        <f t="shared" si="66"/>
        <v>0</v>
      </c>
      <c r="X162">
        <f t="shared" si="67"/>
        <v>1</v>
      </c>
      <c r="Y162">
        <f t="shared" si="68"/>
        <v>0</v>
      </c>
      <c r="Z162">
        <f t="shared" si="69"/>
        <v>0</v>
      </c>
      <c r="AA162">
        <f t="shared" si="70"/>
        <v>0</v>
      </c>
      <c r="AB162">
        <f t="shared" si="53"/>
        <v>0</v>
      </c>
      <c r="AC162">
        <f t="shared" si="54"/>
        <v>0</v>
      </c>
      <c r="AD162">
        <f t="shared" si="55"/>
        <v>0</v>
      </c>
      <c r="AE162">
        <f t="shared" si="56"/>
        <v>0</v>
      </c>
      <c r="AF162">
        <f t="shared" si="57"/>
        <v>0</v>
      </c>
      <c r="AG162">
        <f t="shared" si="58"/>
        <v>0</v>
      </c>
      <c r="AH162">
        <f t="shared" si="71"/>
        <v>0</v>
      </c>
      <c r="AI162">
        <f t="shared" si="76"/>
        <v>0</v>
      </c>
      <c r="AJ162">
        <f t="shared" si="76"/>
        <v>1</v>
      </c>
      <c r="AK162">
        <f t="shared" si="76"/>
        <v>0</v>
      </c>
      <c r="AL162">
        <f t="shared" si="76"/>
        <v>0</v>
      </c>
      <c r="AM162">
        <f t="shared" si="76"/>
        <v>0</v>
      </c>
      <c r="AN162">
        <f t="shared" si="76"/>
        <v>0</v>
      </c>
      <c r="AO162">
        <f t="shared" si="76"/>
        <v>0</v>
      </c>
      <c r="AP162">
        <f t="shared" si="76"/>
        <v>0</v>
      </c>
      <c r="AQ162">
        <f t="shared" si="76"/>
        <v>0</v>
      </c>
      <c r="AR162">
        <f t="shared" si="76"/>
        <v>0</v>
      </c>
      <c r="AS162">
        <f t="shared" si="76"/>
        <v>0</v>
      </c>
      <c r="AT162">
        <f t="shared" si="76"/>
        <v>0</v>
      </c>
      <c r="AU162">
        <f t="shared" si="76"/>
        <v>0</v>
      </c>
      <c r="AV162">
        <f t="shared" si="76"/>
        <v>0</v>
      </c>
      <c r="AW162">
        <f t="shared" si="76"/>
        <v>0</v>
      </c>
      <c r="AX162">
        <f t="shared" si="72"/>
        <v>0</v>
      </c>
      <c r="AY162">
        <f t="shared" si="72"/>
        <v>0</v>
      </c>
      <c r="AZ162">
        <f t="shared" si="72"/>
        <v>1</v>
      </c>
      <c r="BA162">
        <f t="shared" si="73"/>
        <v>1</v>
      </c>
      <c r="BB162">
        <f t="shared" si="74"/>
        <v>1</v>
      </c>
    </row>
    <row r="163" spans="1:54">
      <c r="A163">
        <v>160</v>
      </c>
      <c r="B163" t="s">
        <v>20</v>
      </c>
      <c r="C163" t="s">
        <v>21</v>
      </c>
      <c r="D163" t="s">
        <v>26</v>
      </c>
      <c r="E163" t="s">
        <v>30</v>
      </c>
      <c r="F163" t="s">
        <v>29</v>
      </c>
      <c r="G163" t="s">
        <v>23</v>
      </c>
      <c r="H163" s="3">
        <v>2.9324218083171101E-2</v>
      </c>
      <c r="I163" s="3">
        <v>2.8246662536342601E-2</v>
      </c>
      <c r="J163" s="3">
        <v>2.50221524852795E-2</v>
      </c>
      <c r="K163" s="3">
        <v>2.5631461417325901E-2</v>
      </c>
      <c r="L163" s="3">
        <v>1.8722430394283798E-2</v>
      </c>
      <c r="M163" s="3">
        <v>1.46164791684149E-2</v>
      </c>
      <c r="N163" s="3">
        <v>3.1760166221430602E-2</v>
      </c>
      <c r="O163" s="3">
        <v>2.04718400673706E-2</v>
      </c>
      <c r="P163">
        <f t="shared" si="59"/>
        <v>0</v>
      </c>
      <c r="Q163">
        <f t="shared" si="60"/>
        <v>0</v>
      </c>
      <c r="R163">
        <f t="shared" si="61"/>
        <v>0</v>
      </c>
      <c r="S163">
        <f t="shared" si="62"/>
        <v>0</v>
      </c>
      <c r="T163">
        <f t="shared" si="63"/>
        <v>0</v>
      </c>
      <c r="U163">
        <f t="shared" si="64"/>
        <v>0</v>
      </c>
      <c r="V163">
        <f t="shared" si="65"/>
        <v>0</v>
      </c>
      <c r="W163">
        <f t="shared" si="66"/>
        <v>0</v>
      </c>
      <c r="X163">
        <f t="shared" si="67"/>
        <v>0</v>
      </c>
      <c r="Y163">
        <f t="shared" si="68"/>
        <v>1</v>
      </c>
      <c r="Z163">
        <f t="shared" si="69"/>
        <v>0</v>
      </c>
      <c r="AA163">
        <f t="shared" si="70"/>
        <v>0</v>
      </c>
      <c r="AB163">
        <f t="shared" si="53"/>
        <v>0</v>
      </c>
      <c r="AC163">
        <f t="shared" si="54"/>
        <v>0</v>
      </c>
      <c r="AD163">
        <f t="shared" si="55"/>
        <v>0</v>
      </c>
      <c r="AE163">
        <f t="shared" si="56"/>
        <v>0</v>
      </c>
      <c r="AF163">
        <f t="shared" si="57"/>
        <v>0</v>
      </c>
      <c r="AG163">
        <f t="shared" si="58"/>
        <v>0</v>
      </c>
      <c r="AH163">
        <f t="shared" si="71"/>
        <v>0</v>
      </c>
      <c r="AI163">
        <f t="shared" si="76"/>
        <v>0</v>
      </c>
      <c r="AJ163">
        <f t="shared" si="76"/>
        <v>0</v>
      </c>
      <c r="AK163">
        <f t="shared" si="76"/>
        <v>1</v>
      </c>
      <c r="AL163">
        <f t="shared" si="76"/>
        <v>0</v>
      </c>
      <c r="AM163">
        <f t="shared" si="76"/>
        <v>0</v>
      </c>
      <c r="AN163">
        <f t="shared" si="76"/>
        <v>0</v>
      </c>
      <c r="AO163">
        <f t="shared" si="76"/>
        <v>0</v>
      </c>
      <c r="AP163">
        <f t="shared" si="76"/>
        <v>0</v>
      </c>
      <c r="AQ163">
        <f t="shared" si="76"/>
        <v>0</v>
      </c>
      <c r="AR163">
        <f t="shared" si="76"/>
        <v>0</v>
      </c>
      <c r="AS163">
        <f t="shared" si="76"/>
        <v>0</v>
      </c>
      <c r="AT163">
        <f t="shared" si="76"/>
        <v>0</v>
      </c>
      <c r="AU163">
        <f t="shared" si="76"/>
        <v>0</v>
      </c>
      <c r="AV163">
        <f t="shared" si="76"/>
        <v>0</v>
      </c>
      <c r="AW163">
        <f t="shared" si="76"/>
        <v>0</v>
      </c>
      <c r="AX163">
        <f t="shared" si="72"/>
        <v>0</v>
      </c>
      <c r="AY163">
        <f t="shared" si="72"/>
        <v>0</v>
      </c>
      <c r="AZ163">
        <f t="shared" si="72"/>
        <v>1</v>
      </c>
      <c r="BA163">
        <f t="shared" si="73"/>
        <v>1</v>
      </c>
      <c r="BB163">
        <f t="shared" si="74"/>
        <v>1</v>
      </c>
    </row>
    <row r="164" spans="1:54">
      <c r="A164">
        <v>161</v>
      </c>
      <c r="B164" t="s">
        <v>20</v>
      </c>
      <c r="C164" t="s">
        <v>21</v>
      </c>
      <c r="D164" t="s">
        <v>26</v>
      </c>
      <c r="E164" t="s">
        <v>30</v>
      </c>
      <c r="F164" t="s">
        <v>29</v>
      </c>
      <c r="G164" t="s">
        <v>24</v>
      </c>
      <c r="H164" s="3">
        <v>0.46178770395169499</v>
      </c>
      <c r="I164" s="3">
        <v>0.44713896694182298</v>
      </c>
      <c r="J164" s="3">
        <v>0.37509247515522698</v>
      </c>
      <c r="K164" s="3">
        <v>0.39751967969743501</v>
      </c>
      <c r="L164" s="3">
        <v>0.25565411133330801</v>
      </c>
      <c r="M164" s="3">
        <v>0.18697400882777299</v>
      </c>
      <c r="N164" s="3">
        <v>0.51617690709409303</v>
      </c>
      <c r="O164" s="3">
        <v>0.29087638873730598</v>
      </c>
      <c r="P164">
        <f t="shared" si="59"/>
        <v>0</v>
      </c>
      <c r="Q164">
        <f t="shared" si="60"/>
        <v>0</v>
      </c>
      <c r="R164">
        <f t="shared" si="61"/>
        <v>0</v>
      </c>
      <c r="S164">
        <f t="shared" si="62"/>
        <v>0</v>
      </c>
      <c r="T164">
        <f t="shared" si="63"/>
        <v>0</v>
      </c>
      <c r="U164">
        <f t="shared" si="64"/>
        <v>0</v>
      </c>
      <c r="V164">
        <f t="shared" si="65"/>
        <v>0</v>
      </c>
      <c r="W164">
        <f t="shared" si="66"/>
        <v>0</v>
      </c>
      <c r="X164">
        <f t="shared" si="67"/>
        <v>0</v>
      </c>
      <c r="Y164">
        <f t="shared" si="68"/>
        <v>0</v>
      </c>
      <c r="Z164">
        <f t="shared" si="69"/>
        <v>0</v>
      </c>
      <c r="AA164">
        <f t="shared" si="70"/>
        <v>1</v>
      </c>
      <c r="AB164">
        <f t="shared" si="53"/>
        <v>0</v>
      </c>
      <c r="AC164">
        <f t="shared" si="54"/>
        <v>0</v>
      </c>
      <c r="AD164">
        <f t="shared" si="55"/>
        <v>0</v>
      </c>
      <c r="AE164">
        <f t="shared" si="56"/>
        <v>0</v>
      </c>
      <c r="AF164">
        <f t="shared" si="57"/>
        <v>0</v>
      </c>
      <c r="AG164">
        <f t="shared" si="58"/>
        <v>0</v>
      </c>
      <c r="AH164">
        <f t="shared" si="71"/>
        <v>0</v>
      </c>
      <c r="AI164">
        <f t="shared" si="76"/>
        <v>0</v>
      </c>
      <c r="AJ164">
        <f t="shared" si="76"/>
        <v>0</v>
      </c>
      <c r="AK164">
        <f t="shared" si="76"/>
        <v>0</v>
      </c>
      <c r="AL164">
        <f t="shared" si="76"/>
        <v>1</v>
      </c>
      <c r="AM164">
        <f t="shared" si="76"/>
        <v>0</v>
      </c>
      <c r="AN164">
        <f t="shared" si="76"/>
        <v>0</v>
      </c>
      <c r="AO164">
        <f t="shared" si="76"/>
        <v>0</v>
      </c>
      <c r="AP164">
        <f t="shared" si="76"/>
        <v>0</v>
      </c>
      <c r="AQ164">
        <f t="shared" si="76"/>
        <v>0</v>
      </c>
      <c r="AR164">
        <f t="shared" si="76"/>
        <v>0</v>
      </c>
      <c r="AS164">
        <f t="shared" si="76"/>
        <v>0</v>
      </c>
      <c r="AT164">
        <f t="shared" si="76"/>
        <v>0</v>
      </c>
      <c r="AU164">
        <f t="shared" si="76"/>
        <v>0</v>
      </c>
      <c r="AV164">
        <f t="shared" si="76"/>
        <v>0</v>
      </c>
      <c r="AW164">
        <f t="shared" si="76"/>
        <v>0</v>
      </c>
      <c r="AX164">
        <f t="shared" si="72"/>
        <v>0</v>
      </c>
      <c r="AY164">
        <f t="shared" si="72"/>
        <v>0</v>
      </c>
      <c r="AZ164">
        <f t="shared" si="72"/>
        <v>1</v>
      </c>
      <c r="BA164">
        <f t="shared" si="73"/>
        <v>1</v>
      </c>
      <c r="BB164">
        <f t="shared" si="74"/>
        <v>1</v>
      </c>
    </row>
    <row r="165" spans="1:54">
      <c r="A165">
        <v>162</v>
      </c>
      <c r="B165" t="s">
        <v>20</v>
      </c>
      <c r="C165" t="s">
        <v>21</v>
      </c>
      <c r="D165" t="s">
        <v>26</v>
      </c>
      <c r="E165" t="s">
        <v>30</v>
      </c>
      <c r="F165" t="s">
        <v>29</v>
      </c>
      <c r="G165" t="s">
        <v>31</v>
      </c>
      <c r="H165" s="3">
        <v>3.60499718087424E-2</v>
      </c>
      <c r="I165" s="3">
        <v>3.4263986492434902E-2</v>
      </c>
      <c r="J165" s="3">
        <v>3.1278616200051103E-2</v>
      </c>
      <c r="K165" s="3">
        <v>3.1173795038584799E-2</v>
      </c>
      <c r="L165" s="3">
        <v>2.4277376502505599E-2</v>
      </c>
      <c r="M165" s="3">
        <v>1.9449789850347201E-2</v>
      </c>
      <c r="N165" s="3">
        <v>3.8587117839121401E-2</v>
      </c>
      <c r="O165" s="3">
        <v>2.61054512991927E-2</v>
      </c>
      <c r="P165">
        <f t="shared" si="59"/>
        <v>0</v>
      </c>
      <c r="Q165">
        <f t="shared" si="60"/>
        <v>0</v>
      </c>
      <c r="R165">
        <f t="shared" si="61"/>
        <v>0</v>
      </c>
      <c r="S165">
        <f t="shared" si="62"/>
        <v>0</v>
      </c>
      <c r="T165">
        <f t="shared" si="63"/>
        <v>0</v>
      </c>
      <c r="U165">
        <f t="shared" si="64"/>
        <v>0</v>
      </c>
      <c r="V165">
        <f t="shared" si="65"/>
        <v>0</v>
      </c>
      <c r="W165">
        <f t="shared" si="66"/>
        <v>0</v>
      </c>
      <c r="X165">
        <f t="shared" si="67"/>
        <v>0</v>
      </c>
      <c r="Y165">
        <f t="shared" si="68"/>
        <v>0</v>
      </c>
      <c r="Z165">
        <f t="shared" si="69"/>
        <v>1</v>
      </c>
      <c r="AA165">
        <f t="shared" si="70"/>
        <v>0</v>
      </c>
      <c r="AB165">
        <f t="shared" si="53"/>
        <v>0</v>
      </c>
      <c r="AC165">
        <f t="shared" si="54"/>
        <v>0</v>
      </c>
      <c r="AD165">
        <f t="shared" si="55"/>
        <v>0</v>
      </c>
      <c r="AE165">
        <f t="shared" si="56"/>
        <v>0</v>
      </c>
      <c r="AF165">
        <f t="shared" si="57"/>
        <v>0</v>
      </c>
      <c r="AG165">
        <f t="shared" si="58"/>
        <v>0</v>
      </c>
      <c r="AH165">
        <f t="shared" si="71"/>
        <v>0</v>
      </c>
      <c r="AI165">
        <f t="shared" si="76"/>
        <v>0</v>
      </c>
      <c r="AJ165">
        <f t="shared" si="76"/>
        <v>0</v>
      </c>
      <c r="AK165">
        <f t="shared" si="76"/>
        <v>0</v>
      </c>
      <c r="AL165">
        <f t="shared" si="76"/>
        <v>0</v>
      </c>
      <c r="AM165">
        <f t="shared" si="76"/>
        <v>0</v>
      </c>
      <c r="AN165">
        <f t="shared" si="76"/>
        <v>0</v>
      </c>
      <c r="AO165">
        <f t="shared" si="76"/>
        <v>0</v>
      </c>
      <c r="AP165">
        <f t="shared" si="76"/>
        <v>0</v>
      </c>
      <c r="AQ165">
        <f t="shared" si="76"/>
        <v>0</v>
      </c>
      <c r="AR165">
        <f t="shared" si="76"/>
        <v>0</v>
      </c>
      <c r="AS165">
        <f t="shared" si="76"/>
        <v>0</v>
      </c>
      <c r="AT165">
        <f t="shared" si="76"/>
        <v>0</v>
      </c>
      <c r="AU165">
        <f t="shared" si="76"/>
        <v>0</v>
      </c>
      <c r="AV165">
        <f t="shared" si="76"/>
        <v>0</v>
      </c>
      <c r="AW165">
        <f t="shared" si="76"/>
        <v>0</v>
      </c>
      <c r="AX165">
        <f t="shared" si="72"/>
        <v>0</v>
      </c>
      <c r="AY165">
        <f t="shared" si="72"/>
        <v>0</v>
      </c>
      <c r="AZ165">
        <f t="shared" si="72"/>
        <v>1</v>
      </c>
      <c r="BA165">
        <f t="shared" si="73"/>
        <v>0</v>
      </c>
      <c r="BB165">
        <f t="shared" si="74"/>
        <v>1</v>
      </c>
    </row>
    <row r="166" spans="1:54">
      <c r="A166">
        <v>163</v>
      </c>
      <c r="B166" t="s">
        <v>20</v>
      </c>
      <c r="C166" t="s">
        <v>21</v>
      </c>
      <c r="D166" t="s">
        <v>26</v>
      </c>
      <c r="E166" t="s">
        <v>30</v>
      </c>
      <c r="F166" t="s">
        <v>29</v>
      </c>
      <c r="G166" t="s">
        <v>25</v>
      </c>
      <c r="H166" s="3">
        <v>0.15368931233040101</v>
      </c>
      <c r="I166" s="3">
        <v>0.15175622989995999</v>
      </c>
      <c r="J166" s="3">
        <v>0.12830411973317199</v>
      </c>
      <c r="K166" s="3">
        <v>0.13914055491084801</v>
      </c>
      <c r="L166" s="3">
        <v>0.106208883124047</v>
      </c>
      <c r="M166" s="3">
        <v>8.6743032020887206E-2</v>
      </c>
      <c r="N166" s="3">
        <v>0.16911383297357799</v>
      </c>
      <c r="O166" s="3">
        <v>0.105811996384874</v>
      </c>
      <c r="P166">
        <f t="shared" si="59"/>
        <v>0</v>
      </c>
      <c r="Q166">
        <f t="shared" si="60"/>
        <v>0</v>
      </c>
      <c r="R166">
        <f t="shared" si="61"/>
        <v>0</v>
      </c>
      <c r="S166">
        <f t="shared" si="62"/>
        <v>0</v>
      </c>
      <c r="T166">
        <f t="shared" si="63"/>
        <v>0</v>
      </c>
      <c r="U166">
        <f t="shared" si="64"/>
        <v>0</v>
      </c>
      <c r="V166">
        <f t="shared" si="65"/>
        <v>0</v>
      </c>
      <c r="W166">
        <f t="shared" si="66"/>
        <v>0</v>
      </c>
      <c r="X166">
        <f t="shared" si="67"/>
        <v>0</v>
      </c>
      <c r="Y166">
        <f t="shared" si="68"/>
        <v>0</v>
      </c>
      <c r="Z166">
        <f t="shared" si="69"/>
        <v>0</v>
      </c>
      <c r="AA166">
        <f t="shared" si="70"/>
        <v>0</v>
      </c>
      <c r="AB166">
        <f t="shared" si="53"/>
        <v>0</v>
      </c>
      <c r="AC166">
        <f t="shared" si="54"/>
        <v>0</v>
      </c>
      <c r="AD166">
        <f t="shared" si="55"/>
        <v>0</v>
      </c>
      <c r="AE166">
        <f t="shared" si="56"/>
        <v>1</v>
      </c>
      <c r="AF166">
        <f t="shared" si="57"/>
        <v>0</v>
      </c>
      <c r="AG166">
        <f t="shared" si="58"/>
        <v>0</v>
      </c>
      <c r="AH166">
        <f t="shared" si="71"/>
        <v>1</v>
      </c>
      <c r="AI166">
        <f t="shared" si="76"/>
        <v>1</v>
      </c>
      <c r="AJ166">
        <f t="shared" si="76"/>
        <v>0</v>
      </c>
      <c r="AK166">
        <f t="shared" si="76"/>
        <v>0</v>
      </c>
      <c r="AL166">
        <f t="shared" si="76"/>
        <v>0</v>
      </c>
      <c r="AM166">
        <f t="shared" si="76"/>
        <v>0</v>
      </c>
      <c r="AN166">
        <f t="shared" si="76"/>
        <v>0</v>
      </c>
      <c r="AO166">
        <f t="shared" si="76"/>
        <v>0</v>
      </c>
      <c r="AP166">
        <f t="shared" si="76"/>
        <v>0</v>
      </c>
      <c r="AQ166">
        <f t="shared" si="76"/>
        <v>0</v>
      </c>
      <c r="AR166">
        <f t="shared" si="76"/>
        <v>0</v>
      </c>
      <c r="AS166">
        <f t="shared" si="76"/>
        <v>0</v>
      </c>
      <c r="AT166">
        <f t="shared" si="76"/>
        <v>0</v>
      </c>
      <c r="AU166">
        <f t="shared" si="76"/>
        <v>0</v>
      </c>
      <c r="AV166">
        <f t="shared" si="76"/>
        <v>0</v>
      </c>
      <c r="AW166">
        <f t="shared" si="76"/>
        <v>0</v>
      </c>
      <c r="AX166">
        <f t="shared" si="72"/>
        <v>0</v>
      </c>
      <c r="AY166">
        <f t="shared" si="72"/>
        <v>0</v>
      </c>
      <c r="AZ166">
        <f t="shared" si="72"/>
        <v>1</v>
      </c>
      <c r="BA166">
        <f t="shared" si="73"/>
        <v>1</v>
      </c>
      <c r="BB166">
        <f t="shared" si="74"/>
        <v>1</v>
      </c>
    </row>
    <row r="167" spans="1:54">
      <c r="A167">
        <v>164</v>
      </c>
      <c r="B167" t="s">
        <v>20</v>
      </c>
      <c r="C167" t="s">
        <v>21</v>
      </c>
      <c r="D167" t="s">
        <v>26</v>
      </c>
      <c r="E167" t="s">
        <v>30</v>
      </c>
      <c r="F167" t="s">
        <v>29</v>
      </c>
      <c r="G167" t="s">
        <v>26</v>
      </c>
      <c r="H167" s="3">
        <v>0.15714478525232001</v>
      </c>
      <c r="I167" s="3">
        <v>0.15492712278179999</v>
      </c>
      <c r="J167" s="3">
        <v>0.13118483230823699</v>
      </c>
      <c r="K167" s="3">
        <v>0.14189066468631101</v>
      </c>
      <c r="L167" s="3">
        <v>0.108609765343854</v>
      </c>
      <c r="M167" s="3">
        <v>8.8672770331682305E-2</v>
      </c>
      <c r="N167" s="3">
        <v>0.17294447296372301</v>
      </c>
      <c r="O167" s="3">
        <v>0.10814006290135</v>
      </c>
      <c r="P167">
        <f t="shared" si="59"/>
        <v>0</v>
      </c>
      <c r="Q167">
        <f t="shared" si="60"/>
        <v>0</v>
      </c>
      <c r="R167">
        <f t="shared" si="61"/>
        <v>0</v>
      </c>
      <c r="S167">
        <f t="shared" si="62"/>
        <v>0</v>
      </c>
      <c r="T167">
        <f t="shared" si="63"/>
        <v>0</v>
      </c>
      <c r="U167">
        <f t="shared" si="64"/>
        <v>0</v>
      </c>
      <c r="V167">
        <f t="shared" si="65"/>
        <v>0</v>
      </c>
      <c r="W167">
        <f t="shared" si="66"/>
        <v>0</v>
      </c>
      <c r="X167">
        <f t="shared" si="67"/>
        <v>0</v>
      </c>
      <c r="Y167">
        <f t="shared" si="68"/>
        <v>0</v>
      </c>
      <c r="Z167">
        <f t="shared" si="69"/>
        <v>0</v>
      </c>
      <c r="AA167">
        <f t="shared" si="70"/>
        <v>0</v>
      </c>
      <c r="AB167">
        <f t="shared" si="53"/>
        <v>0</v>
      </c>
      <c r="AC167">
        <f t="shared" si="54"/>
        <v>0</v>
      </c>
      <c r="AD167">
        <f t="shared" si="55"/>
        <v>0</v>
      </c>
      <c r="AE167">
        <f t="shared" si="56"/>
        <v>1</v>
      </c>
      <c r="AF167">
        <f t="shared" si="57"/>
        <v>0</v>
      </c>
      <c r="AG167">
        <f t="shared" si="58"/>
        <v>0</v>
      </c>
      <c r="AH167">
        <f t="shared" si="71"/>
        <v>1</v>
      </c>
      <c r="AI167">
        <f t="shared" si="76"/>
        <v>0</v>
      </c>
      <c r="AJ167">
        <f t="shared" si="76"/>
        <v>0</v>
      </c>
      <c r="AK167">
        <f t="shared" si="76"/>
        <v>0</v>
      </c>
      <c r="AL167">
        <f t="shared" si="76"/>
        <v>0</v>
      </c>
      <c r="AM167">
        <f t="shared" si="76"/>
        <v>0</v>
      </c>
      <c r="AN167">
        <f t="shared" si="76"/>
        <v>0</v>
      </c>
      <c r="AO167">
        <f t="shared" si="76"/>
        <v>0</v>
      </c>
      <c r="AP167">
        <f t="shared" si="76"/>
        <v>0</v>
      </c>
      <c r="AQ167">
        <f t="shared" si="76"/>
        <v>0</v>
      </c>
      <c r="AR167">
        <f t="shared" si="76"/>
        <v>0</v>
      </c>
      <c r="AS167">
        <f t="shared" si="76"/>
        <v>0</v>
      </c>
      <c r="AT167">
        <f t="shared" si="76"/>
        <v>0</v>
      </c>
      <c r="AU167">
        <f t="shared" si="76"/>
        <v>0</v>
      </c>
      <c r="AV167">
        <f t="shared" si="76"/>
        <v>0</v>
      </c>
      <c r="AW167">
        <f t="shared" si="76"/>
        <v>0</v>
      </c>
      <c r="AX167">
        <f t="shared" si="72"/>
        <v>0</v>
      </c>
      <c r="AY167">
        <f t="shared" si="72"/>
        <v>0</v>
      </c>
      <c r="AZ167">
        <f t="shared" si="72"/>
        <v>1</v>
      </c>
      <c r="BA167">
        <f t="shared" si="73"/>
        <v>0</v>
      </c>
      <c r="BB167">
        <f t="shared" si="74"/>
        <v>1</v>
      </c>
    </row>
    <row r="168" spans="1:54">
      <c r="A168">
        <v>165</v>
      </c>
      <c r="B168" t="s">
        <v>20</v>
      </c>
      <c r="C168" t="s">
        <v>21</v>
      </c>
      <c r="D168" t="s">
        <v>27</v>
      </c>
      <c r="E168" t="s">
        <v>20</v>
      </c>
      <c r="F168" t="s">
        <v>28</v>
      </c>
      <c r="G168" t="s">
        <v>22</v>
      </c>
      <c r="H168" s="3">
        <v>0.10534686268400401</v>
      </c>
      <c r="I168" s="3">
        <v>0.100957403881729</v>
      </c>
      <c r="J168" s="3">
        <v>8.7052379619347794E-2</v>
      </c>
      <c r="K168" s="3">
        <v>8.9706680792490695E-2</v>
      </c>
      <c r="L168" s="3">
        <v>6.5784992005348694E-2</v>
      </c>
      <c r="M168" s="3">
        <v>5.0052820319665001E-2</v>
      </c>
      <c r="N168" s="3">
        <v>0.118055555555555</v>
      </c>
      <c r="O168" s="3">
        <v>6.8709896407933096E-2</v>
      </c>
      <c r="P168">
        <f t="shared" si="59"/>
        <v>1</v>
      </c>
      <c r="Q168">
        <f t="shared" si="60"/>
        <v>0</v>
      </c>
      <c r="R168">
        <f t="shared" si="61"/>
        <v>0</v>
      </c>
      <c r="S168">
        <f t="shared" si="62"/>
        <v>0</v>
      </c>
      <c r="T168">
        <f t="shared" si="63"/>
        <v>0</v>
      </c>
      <c r="U168">
        <f t="shared" si="64"/>
        <v>0</v>
      </c>
      <c r="V168">
        <f t="shared" si="65"/>
        <v>0</v>
      </c>
      <c r="W168">
        <f t="shared" si="66"/>
        <v>1</v>
      </c>
      <c r="X168">
        <f t="shared" si="67"/>
        <v>0</v>
      </c>
      <c r="Y168">
        <f t="shared" si="68"/>
        <v>0</v>
      </c>
      <c r="Z168">
        <f t="shared" si="69"/>
        <v>0</v>
      </c>
      <c r="AA168">
        <f t="shared" si="70"/>
        <v>0</v>
      </c>
      <c r="AB168">
        <f t="shared" si="53"/>
        <v>0</v>
      </c>
      <c r="AC168">
        <f t="shared" si="54"/>
        <v>0</v>
      </c>
      <c r="AD168">
        <f t="shared" si="55"/>
        <v>0</v>
      </c>
      <c r="AE168">
        <f t="shared" si="56"/>
        <v>0</v>
      </c>
      <c r="AF168">
        <f t="shared" si="57"/>
        <v>0</v>
      </c>
      <c r="AG168">
        <f t="shared" si="58"/>
        <v>1</v>
      </c>
      <c r="AH168">
        <f t="shared" si="71"/>
        <v>0</v>
      </c>
      <c r="AI168">
        <f t="shared" si="76"/>
        <v>0</v>
      </c>
      <c r="AJ168">
        <f t="shared" si="76"/>
        <v>0</v>
      </c>
      <c r="AK168">
        <f t="shared" si="76"/>
        <v>0</v>
      </c>
      <c r="AL168">
        <f t="shared" si="76"/>
        <v>0</v>
      </c>
      <c r="AM168">
        <f t="shared" si="76"/>
        <v>0</v>
      </c>
      <c r="AN168">
        <f t="shared" si="76"/>
        <v>0</v>
      </c>
      <c r="AO168">
        <f t="shared" si="76"/>
        <v>0</v>
      </c>
      <c r="AP168">
        <f t="shared" si="76"/>
        <v>0</v>
      </c>
      <c r="AQ168">
        <f t="shared" si="76"/>
        <v>0</v>
      </c>
      <c r="AR168">
        <f t="shared" si="76"/>
        <v>0</v>
      </c>
      <c r="AS168">
        <f t="shared" si="76"/>
        <v>0</v>
      </c>
      <c r="AT168">
        <f t="shared" si="76"/>
        <v>1</v>
      </c>
      <c r="AU168">
        <f t="shared" si="76"/>
        <v>0</v>
      </c>
      <c r="AV168">
        <f t="shared" si="76"/>
        <v>0</v>
      </c>
      <c r="AW168">
        <f t="shared" si="76"/>
        <v>0</v>
      </c>
      <c r="AX168">
        <f t="shared" si="72"/>
        <v>1</v>
      </c>
      <c r="AY168">
        <f t="shared" si="72"/>
        <v>0</v>
      </c>
      <c r="AZ168">
        <f t="shared" si="72"/>
        <v>0</v>
      </c>
      <c r="BA168">
        <f t="shared" si="73"/>
        <v>0</v>
      </c>
      <c r="BB168">
        <f t="shared" si="74"/>
        <v>0</v>
      </c>
    </row>
    <row r="169" spans="1:54">
      <c r="A169">
        <v>166</v>
      </c>
      <c r="B169" t="s">
        <v>20</v>
      </c>
      <c r="C169" t="s">
        <v>21</v>
      </c>
      <c r="D169" t="s">
        <v>27</v>
      </c>
      <c r="E169" t="s">
        <v>20</v>
      </c>
      <c r="F169" t="s">
        <v>28</v>
      </c>
      <c r="G169" t="s">
        <v>23</v>
      </c>
      <c r="H169" s="3">
        <v>0.117283434187331</v>
      </c>
      <c r="I169" s="3">
        <v>0.113660423092139</v>
      </c>
      <c r="J169" s="3">
        <v>9.8240513610513405E-2</v>
      </c>
      <c r="K169" s="3">
        <v>0.102280535624434</v>
      </c>
      <c r="L169" s="3">
        <v>7.3247787467369499E-2</v>
      </c>
      <c r="M169" s="3">
        <v>5.5683896841902801E-2</v>
      </c>
      <c r="N169" s="3">
        <v>0.13020833333333301</v>
      </c>
      <c r="O169" s="3">
        <v>7.7840897448354401E-2</v>
      </c>
      <c r="P169">
        <f t="shared" si="59"/>
        <v>0</v>
      </c>
      <c r="Q169">
        <f t="shared" si="60"/>
        <v>1</v>
      </c>
      <c r="R169">
        <f t="shared" si="61"/>
        <v>0</v>
      </c>
      <c r="S169">
        <f t="shared" si="62"/>
        <v>0</v>
      </c>
      <c r="T169">
        <f t="shared" si="63"/>
        <v>0</v>
      </c>
      <c r="U169">
        <f t="shared" si="64"/>
        <v>0</v>
      </c>
      <c r="V169">
        <f t="shared" si="65"/>
        <v>0</v>
      </c>
      <c r="W169">
        <f t="shared" si="66"/>
        <v>1</v>
      </c>
      <c r="X169">
        <f t="shared" si="67"/>
        <v>0</v>
      </c>
      <c r="Y169">
        <f t="shared" si="68"/>
        <v>0</v>
      </c>
      <c r="Z169">
        <f t="shared" si="69"/>
        <v>0</v>
      </c>
      <c r="AA169">
        <f t="shared" si="70"/>
        <v>0</v>
      </c>
      <c r="AB169">
        <f t="shared" si="53"/>
        <v>0</v>
      </c>
      <c r="AC169">
        <f t="shared" si="54"/>
        <v>0</v>
      </c>
      <c r="AD169">
        <f t="shared" si="55"/>
        <v>0</v>
      </c>
      <c r="AE169">
        <f t="shared" si="56"/>
        <v>0</v>
      </c>
      <c r="AF169">
        <f t="shared" si="57"/>
        <v>0</v>
      </c>
      <c r="AG169">
        <f t="shared" si="58"/>
        <v>1</v>
      </c>
      <c r="AH169">
        <f t="shared" si="71"/>
        <v>0</v>
      </c>
      <c r="AI169">
        <f t="shared" si="76"/>
        <v>0</v>
      </c>
      <c r="AJ169">
        <f t="shared" si="76"/>
        <v>0</v>
      </c>
      <c r="AK169">
        <f t="shared" si="76"/>
        <v>0</v>
      </c>
      <c r="AL169">
        <f t="shared" si="76"/>
        <v>0</v>
      </c>
      <c r="AM169">
        <f t="shared" si="76"/>
        <v>0</v>
      </c>
      <c r="AN169">
        <f t="shared" si="76"/>
        <v>0</v>
      </c>
      <c r="AO169">
        <f t="shared" si="76"/>
        <v>0</v>
      </c>
      <c r="AP169">
        <f t="shared" si="76"/>
        <v>0</v>
      </c>
      <c r="AQ169">
        <f t="shared" si="76"/>
        <v>0</v>
      </c>
      <c r="AR169">
        <f t="shared" si="76"/>
        <v>0</v>
      </c>
      <c r="AS169">
        <f t="shared" si="76"/>
        <v>0</v>
      </c>
      <c r="AT169">
        <f t="shared" si="76"/>
        <v>0</v>
      </c>
      <c r="AU169">
        <f t="shared" si="76"/>
        <v>0</v>
      </c>
      <c r="AV169">
        <f t="shared" si="76"/>
        <v>1</v>
      </c>
      <c r="AW169">
        <f t="shared" si="76"/>
        <v>0</v>
      </c>
      <c r="AX169">
        <f t="shared" si="72"/>
        <v>1</v>
      </c>
      <c r="AY169">
        <f t="shared" si="72"/>
        <v>0</v>
      </c>
      <c r="AZ169">
        <f t="shared" si="72"/>
        <v>0</v>
      </c>
      <c r="BA169">
        <f t="shared" si="73"/>
        <v>0</v>
      </c>
      <c r="BB169">
        <f t="shared" si="74"/>
        <v>0</v>
      </c>
    </row>
    <row r="170" spans="1:54">
      <c r="A170">
        <v>167</v>
      </c>
      <c r="B170" t="s">
        <v>20</v>
      </c>
      <c r="C170" t="s">
        <v>21</v>
      </c>
      <c r="D170" t="s">
        <v>27</v>
      </c>
      <c r="E170" t="s">
        <v>20</v>
      </c>
      <c r="F170" t="s">
        <v>28</v>
      </c>
      <c r="G170" t="s">
        <v>24</v>
      </c>
      <c r="H170" s="3">
        <v>0.203837461128129</v>
      </c>
      <c r="I170" s="3">
        <v>0.19506295490308401</v>
      </c>
      <c r="J170" s="3">
        <v>0.17242647519797</v>
      </c>
      <c r="K170" s="3">
        <v>0.175000739320371</v>
      </c>
      <c r="L170" s="3">
        <v>0.129612850366916</v>
      </c>
      <c r="M170" s="3">
        <v>0.101265261081551</v>
      </c>
      <c r="N170" s="3">
        <v>0.22395023328149299</v>
      </c>
      <c r="O170" s="3">
        <v>0.140247339063857</v>
      </c>
      <c r="P170">
        <f t="shared" si="59"/>
        <v>0</v>
      </c>
      <c r="Q170">
        <f t="shared" si="60"/>
        <v>0</v>
      </c>
      <c r="R170">
        <f t="shared" si="61"/>
        <v>1</v>
      </c>
      <c r="S170">
        <f t="shared" si="62"/>
        <v>0</v>
      </c>
      <c r="T170">
        <f t="shared" si="63"/>
        <v>0</v>
      </c>
      <c r="U170">
        <f t="shared" si="64"/>
        <v>0</v>
      </c>
      <c r="V170">
        <f t="shared" si="65"/>
        <v>0</v>
      </c>
      <c r="W170">
        <f t="shared" si="66"/>
        <v>1</v>
      </c>
      <c r="X170">
        <f t="shared" si="67"/>
        <v>0</v>
      </c>
      <c r="Y170">
        <f t="shared" si="68"/>
        <v>0</v>
      </c>
      <c r="Z170">
        <f t="shared" si="69"/>
        <v>0</v>
      </c>
      <c r="AA170">
        <f t="shared" si="70"/>
        <v>0</v>
      </c>
      <c r="AB170">
        <f t="shared" si="53"/>
        <v>0</v>
      </c>
      <c r="AC170">
        <f t="shared" si="54"/>
        <v>0</v>
      </c>
      <c r="AD170">
        <f t="shared" si="55"/>
        <v>1</v>
      </c>
      <c r="AE170">
        <f t="shared" si="56"/>
        <v>0</v>
      </c>
      <c r="AF170">
        <f t="shared" si="57"/>
        <v>0</v>
      </c>
      <c r="AG170">
        <f t="shared" si="58"/>
        <v>1</v>
      </c>
      <c r="AH170">
        <f t="shared" si="71"/>
        <v>1</v>
      </c>
      <c r="AI170">
        <f t="shared" si="76"/>
        <v>0</v>
      </c>
      <c r="AJ170">
        <f t="shared" si="76"/>
        <v>0</v>
      </c>
      <c r="AK170">
        <f t="shared" si="76"/>
        <v>0</v>
      </c>
      <c r="AL170">
        <f t="shared" si="76"/>
        <v>0</v>
      </c>
      <c r="AM170">
        <f t="shared" si="76"/>
        <v>0</v>
      </c>
      <c r="AN170">
        <f t="shared" si="76"/>
        <v>0</v>
      </c>
      <c r="AO170">
        <f t="shared" si="76"/>
        <v>0</v>
      </c>
      <c r="AP170">
        <f t="shared" si="76"/>
        <v>0</v>
      </c>
      <c r="AQ170">
        <f t="shared" si="76"/>
        <v>0</v>
      </c>
      <c r="AR170">
        <f t="shared" si="76"/>
        <v>0</v>
      </c>
      <c r="AS170">
        <f t="shared" si="76"/>
        <v>0</v>
      </c>
      <c r="AT170">
        <f t="shared" si="76"/>
        <v>0</v>
      </c>
      <c r="AU170">
        <f t="shared" si="76"/>
        <v>0</v>
      </c>
      <c r="AV170">
        <f t="shared" si="76"/>
        <v>0</v>
      </c>
      <c r="AW170">
        <f t="shared" si="76"/>
        <v>1</v>
      </c>
      <c r="AX170">
        <f t="shared" si="72"/>
        <v>1</v>
      </c>
      <c r="AY170">
        <f t="shared" si="72"/>
        <v>0</v>
      </c>
      <c r="AZ170">
        <f t="shared" si="72"/>
        <v>0</v>
      </c>
      <c r="BA170">
        <f t="shared" si="73"/>
        <v>0</v>
      </c>
      <c r="BB170">
        <f t="shared" si="74"/>
        <v>0</v>
      </c>
    </row>
    <row r="171" spans="1:54">
      <c r="A171">
        <v>168</v>
      </c>
      <c r="B171" t="s">
        <v>20</v>
      </c>
      <c r="C171" t="s">
        <v>21</v>
      </c>
      <c r="D171" t="s">
        <v>27</v>
      </c>
      <c r="E171" t="s">
        <v>20</v>
      </c>
      <c r="F171" t="s">
        <v>28</v>
      </c>
      <c r="G171" t="s">
        <v>25</v>
      </c>
      <c r="H171" s="3">
        <v>0.147445953887993</v>
      </c>
      <c r="I171" s="3">
        <v>0.14411371923229699</v>
      </c>
      <c r="J171" s="3">
        <v>0.12419755744760801</v>
      </c>
      <c r="K171" s="3">
        <v>0.126612171675065</v>
      </c>
      <c r="L171" s="3">
        <v>9.2618548117470195E-2</v>
      </c>
      <c r="M171" s="3">
        <v>7.0038113545849004E-2</v>
      </c>
      <c r="N171" s="3">
        <v>0.17006200177147901</v>
      </c>
      <c r="O171" s="3">
        <v>9.7988646582210306E-2</v>
      </c>
      <c r="P171">
        <f t="shared" si="59"/>
        <v>0</v>
      </c>
      <c r="Q171">
        <f t="shared" si="60"/>
        <v>0</v>
      </c>
      <c r="R171">
        <f t="shared" si="61"/>
        <v>0</v>
      </c>
      <c r="S171">
        <f t="shared" si="62"/>
        <v>0</v>
      </c>
      <c r="T171">
        <f t="shared" si="63"/>
        <v>0</v>
      </c>
      <c r="U171">
        <f t="shared" si="64"/>
        <v>0</v>
      </c>
      <c r="V171">
        <f t="shared" si="65"/>
        <v>0</v>
      </c>
      <c r="W171">
        <f t="shared" si="66"/>
        <v>1</v>
      </c>
      <c r="X171">
        <f t="shared" si="67"/>
        <v>0</v>
      </c>
      <c r="Y171">
        <f t="shared" si="68"/>
        <v>0</v>
      </c>
      <c r="Z171">
        <f t="shared" si="69"/>
        <v>0</v>
      </c>
      <c r="AA171">
        <f t="shared" si="70"/>
        <v>0</v>
      </c>
      <c r="AB171">
        <f t="shared" si="53"/>
        <v>0</v>
      </c>
      <c r="AC171">
        <f t="shared" si="54"/>
        <v>0</v>
      </c>
      <c r="AD171">
        <f t="shared" si="55"/>
        <v>0</v>
      </c>
      <c r="AE171">
        <f t="shared" si="56"/>
        <v>0</v>
      </c>
      <c r="AF171">
        <f t="shared" si="57"/>
        <v>0</v>
      </c>
      <c r="AG171">
        <f t="shared" si="58"/>
        <v>1</v>
      </c>
      <c r="AH171">
        <f t="shared" si="71"/>
        <v>0</v>
      </c>
      <c r="AI171">
        <f t="shared" ref="AI171:AW187" si="77">IF(OR(AND($D171=AI$1,$G171=AI$2),AND($D171=AI$2,$G171=AI$1)),1,0)</f>
        <v>0</v>
      </c>
      <c r="AJ171">
        <f t="shared" si="77"/>
        <v>0</v>
      </c>
      <c r="AK171">
        <f t="shared" si="77"/>
        <v>0</v>
      </c>
      <c r="AL171">
        <f t="shared" si="77"/>
        <v>0</v>
      </c>
      <c r="AM171">
        <f t="shared" si="77"/>
        <v>0</v>
      </c>
      <c r="AN171">
        <f t="shared" si="77"/>
        <v>0</v>
      </c>
      <c r="AO171">
        <f t="shared" si="77"/>
        <v>0</v>
      </c>
      <c r="AP171">
        <f t="shared" si="77"/>
        <v>0</v>
      </c>
      <c r="AQ171">
        <f t="shared" si="77"/>
        <v>1</v>
      </c>
      <c r="AR171">
        <f t="shared" si="77"/>
        <v>0</v>
      </c>
      <c r="AS171">
        <f t="shared" si="77"/>
        <v>0</v>
      </c>
      <c r="AT171">
        <f t="shared" si="77"/>
        <v>0</v>
      </c>
      <c r="AU171">
        <f t="shared" si="77"/>
        <v>0</v>
      </c>
      <c r="AV171">
        <f t="shared" si="77"/>
        <v>0</v>
      </c>
      <c r="AW171">
        <f t="shared" si="77"/>
        <v>0</v>
      </c>
      <c r="AX171">
        <f t="shared" si="72"/>
        <v>1</v>
      </c>
      <c r="AY171">
        <f t="shared" si="72"/>
        <v>0</v>
      </c>
      <c r="AZ171">
        <f t="shared" si="72"/>
        <v>0</v>
      </c>
      <c r="BA171">
        <f t="shared" si="73"/>
        <v>1</v>
      </c>
      <c r="BB171">
        <f t="shared" si="74"/>
        <v>0</v>
      </c>
    </row>
    <row r="172" spans="1:54">
      <c r="A172">
        <v>169</v>
      </c>
      <c r="B172" t="s">
        <v>20</v>
      </c>
      <c r="C172" t="s">
        <v>21</v>
      </c>
      <c r="D172" t="s">
        <v>27</v>
      </c>
      <c r="E172" t="s">
        <v>20</v>
      </c>
      <c r="F172" t="s">
        <v>28</v>
      </c>
      <c r="G172" t="s">
        <v>26</v>
      </c>
      <c r="H172" s="3">
        <v>0.14971263996332701</v>
      </c>
      <c r="I172" s="3">
        <v>0.1465258738421</v>
      </c>
      <c r="J172" s="3">
        <v>0.12617312075890899</v>
      </c>
      <c r="K172" s="3">
        <v>0.128830281807954</v>
      </c>
      <c r="L172" s="3">
        <v>9.42160723023278E-2</v>
      </c>
      <c r="M172" s="3">
        <v>7.1324178613828101E-2</v>
      </c>
      <c r="N172" s="3">
        <v>0.172610128858255</v>
      </c>
      <c r="O172" s="3">
        <v>9.9605229993803293E-2</v>
      </c>
      <c r="P172">
        <f t="shared" si="59"/>
        <v>0</v>
      </c>
      <c r="Q172">
        <f t="shared" si="60"/>
        <v>0</v>
      </c>
      <c r="R172">
        <f t="shared" si="61"/>
        <v>0</v>
      </c>
      <c r="S172">
        <f t="shared" si="62"/>
        <v>0</v>
      </c>
      <c r="T172">
        <f t="shared" si="63"/>
        <v>0</v>
      </c>
      <c r="U172">
        <f t="shared" si="64"/>
        <v>0</v>
      </c>
      <c r="V172">
        <f t="shared" si="65"/>
        <v>0</v>
      </c>
      <c r="W172">
        <f t="shared" si="66"/>
        <v>1</v>
      </c>
      <c r="X172">
        <f t="shared" si="67"/>
        <v>0</v>
      </c>
      <c r="Y172">
        <f t="shared" si="68"/>
        <v>0</v>
      </c>
      <c r="Z172">
        <f t="shared" si="69"/>
        <v>0</v>
      </c>
      <c r="AA172">
        <f t="shared" si="70"/>
        <v>0</v>
      </c>
      <c r="AB172">
        <f t="shared" si="53"/>
        <v>0</v>
      </c>
      <c r="AC172">
        <f t="shared" si="54"/>
        <v>0</v>
      </c>
      <c r="AD172">
        <f t="shared" si="55"/>
        <v>0</v>
      </c>
      <c r="AE172">
        <f t="shared" si="56"/>
        <v>0</v>
      </c>
      <c r="AF172">
        <f t="shared" si="57"/>
        <v>0</v>
      </c>
      <c r="AG172">
        <f t="shared" si="58"/>
        <v>1</v>
      </c>
      <c r="AH172">
        <f t="shared" si="71"/>
        <v>0</v>
      </c>
      <c r="AI172">
        <f t="shared" si="77"/>
        <v>0</v>
      </c>
      <c r="AJ172">
        <f t="shared" si="77"/>
        <v>0</v>
      </c>
      <c r="AK172">
        <f t="shared" si="77"/>
        <v>0</v>
      </c>
      <c r="AL172">
        <f t="shared" si="77"/>
        <v>0</v>
      </c>
      <c r="AM172">
        <f t="shared" si="77"/>
        <v>1</v>
      </c>
      <c r="AN172">
        <f t="shared" si="77"/>
        <v>0</v>
      </c>
      <c r="AO172">
        <f t="shared" si="77"/>
        <v>0</v>
      </c>
      <c r="AP172">
        <f t="shared" si="77"/>
        <v>0</v>
      </c>
      <c r="AQ172">
        <f t="shared" si="77"/>
        <v>0</v>
      </c>
      <c r="AR172">
        <f t="shared" si="77"/>
        <v>0</v>
      </c>
      <c r="AS172">
        <f t="shared" si="77"/>
        <v>0</v>
      </c>
      <c r="AT172">
        <f t="shared" si="77"/>
        <v>0</v>
      </c>
      <c r="AU172">
        <f t="shared" si="77"/>
        <v>0</v>
      </c>
      <c r="AV172">
        <f t="shared" si="77"/>
        <v>0</v>
      </c>
      <c r="AW172">
        <f t="shared" si="77"/>
        <v>0</v>
      </c>
      <c r="AX172">
        <f t="shared" si="72"/>
        <v>1</v>
      </c>
      <c r="AY172">
        <f t="shared" si="72"/>
        <v>0</v>
      </c>
      <c r="AZ172">
        <f t="shared" si="72"/>
        <v>0</v>
      </c>
      <c r="BA172">
        <f t="shared" si="73"/>
        <v>1</v>
      </c>
      <c r="BB172">
        <f t="shared" si="74"/>
        <v>0</v>
      </c>
    </row>
    <row r="173" spans="1:54">
      <c r="A173">
        <v>170</v>
      </c>
      <c r="B173" t="s">
        <v>20</v>
      </c>
      <c r="C173" t="s">
        <v>21</v>
      </c>
      <c r="D173" t="s">
        <v>27</v>
      </c>
      <c r="E173" t="s">
        <v>20</v>
      </c>
      <c r="F173" t="s">
        <v>28</v>
      </c>
      <c r="G173" t="s">
        <v>27</v>
      </c>
      <c r="H173" s="3">
        <v>0.73114761687629803</v>
      </c>
      <c r="I173" s="3">
        <v>0.75120629355847901</v>
      </c>
      <c r="J173" s="3">
        <v>0.63036238839823999</v>
      </c>
      <c r="K173" s="3">
        <v>0.69868737012646898</v>
      </c>
      <c r="L173" s="3">
        <v>0.61778761455130404</v>
      </c>
      <c r="M173" s="3">
        <v>0.52895176060636095</v>
      </c>
      <c r="N173" s="3">
        <v>0.82168330955777402</v>
      </c>
      <c r="O173" s="3">
        <v>0.57322021705241599</v>
      </c>
      <c r="P173">
        <f t="shared" si="59"/>
        <v>0</v>
      </c>
      <c r="Q173">
        <f t="shared" si="60"/>
        <v>0</v>
      </c>
      <c r="R173">
        <f t="shared" si="61"/>
        <v>0</v>
      </c>
      <c r="S173">
        <f t="shared" si="62"/>
        <v>1</v>
      </c>
      <c r="T173">
        <f t="shared" si="63"/>
        <v>0</v>
      </c>
      <c r="U173">
        <f t="shared" si="64"/>
        <v>0</v>
      </c>
      <c r="V173">
        <f t="shared" si="65"/>
        <v>0</v>
      </c>
      <c r="W173">
        <f t="shared" si="66"/>
        <v>1</v>
      </c>
      <c r="X173">
        <f t="shared" si="67"/>
        <v>0</v>
      </c>
      <c r="Y173">
        <f t="shared" si="68"/>
        <v>0</v>
      </c>
      <c r="Z173">
        <f t="shared" si="69"/>
        <v>0</v>
      </c>
      <c r="AA173">
        <f t="shared" si="70"/>
        <v>0</v>
      </c>
      <c r="AB173">
        <f t="shared" si="53"/>
        <v>0</v>
      </c>
      <c r="AC173">
        <f t="shared" si="54"/>
        <v>0</v>
      </c>
      <c r="AD173">
        <f t="shared" si="55"/>
        <v>1</v>
      </c>
      <c r="AE173">
        <f t="shared" si="56"/>
        <v>0</v>
      </c>
      <c r="AF173">
        <f t="shared" si="57"/>
        <v>0</v>
      </c>
      <c r="AG173">
        <f t="shared" si="58"/>
        <v>1</v>
      </c>
      <c r="AH173">
        <f t="shared" si="71"/>
        <v>1</v>
      </c>
      <c r="AI173">
        <f t="shared" si="77"/>
        <v>0</v>
      </c>
      <c r="AJ173">
        <f t="shared" si="77"/>
        <v>0</v>
      </c>
      <c r="AK173">
        <f t="shared" si="77"/>
        <v>0</v>
      </c>
      <c r="AL173">
        <f t="shared" si="77"/>
        <v>0</v>
      </c>
      <c r="AM173">
        <f t="shared" si="77"/>
        <v>0</v>
      </c>
      <c r="AN173">
        <f t="shared" si="77"/>
        <v>0</v>
      </c>
      <c r="AO173">
        <f t="shared" si="77"/>
        <v>0</v>
      </c>
      <c r="AP173">
        <f t="shared" si="77"/>
        <v>0</v>
      </c>
      <c r="AQ173">
        <f t="shared" si="77"/>
        <v>0</v>
      </c>
      <c r="AR173">
        <f t="shared" si="77"/>
        <v>0</v>
      </c>
      <c r="AS173">
        <f t="shared" si="77"/>
        <v>0</v>
      </c>
      <c r="AT173">
        <f t="shared" si="77"/>
        <v>0</v>
      </c>
      <c r="AU173">
        <f t="shared" si="77"/>
        <v>0</v>
      </c>
      <c r="AV173">
        <f t="shared" si="77"/>
        <v>0</v>
      </c>
      <c r="AW173">
        <f t="shared" si="77"/>
        <v>0</v>
      </c>
      <c r="AX173">
        <f t="shared" si="72"/>
        <v>1</v>
      </c>
      <c r="AY173">
        <f t="shared" si="72"/>
        <v>0</v>
      </c>
      <c r="AZ173">
        <f t="shared" si="72"/>
        <v>0</v>
      </c>
      <c r="BA173">
        <f t="shared" si="73"/>
        <v>0</v>
      </c>
      <c r="BB173">
        <f t="shared" si="74"/>
        <v>0</v>
      </c>
    </row>
    <row r="174" spans="1:54">
      <c r="A174">
        <v>171</v>
      </c>
      <c r="B174" t="s">
        <v>20</v>
      </c>
      <c r="C174" t="s">
        <v>21</v>
      </c>
      <c r="D174" t="s">
        <v>27</v>
      </c>
      <c r="E174" t="s">
        <v>20</v>
      </c>
      <c r="F174" t="s">
        <v>29</v>
      </c>
      <c r="G174" t="s">
        <v>22</v>
      </c>
      <c r="H174" s="3">
        <v>0.25098189718473501</v>
      </c>
      <c r="I174" s="3">
        <v>0.24478845585496201</v>
      </c>
      <c r="J174" s="3">
        <v>0.213628358142289</v>
      </c>
      <c r="K174" s="3">
        <v>0.22278272060218099</v>
      </c>
      <c r="L174" s="3">
        <v>0.160980188374299</v>
      </c>
      <c r="M174" s="3">
        <v>0.12505567069694801</v>
      </c>
      <c r="N174" s="3">
        <v>0.27454718779790199</v>
      </c>
      <c r="O174" s="3">
        <v>0.175350685182389</v>
      </c>
      <c r="P174">
        <f t="shared" si="59"/>
        <v>0</v>
      </c>
      <c r="Q174">
        <f t="shared" si="60"/>
        <v>0</v>
      </c>
      <c r="R174">
        <f t="shared" si="61"/>
        <v>0</v>
      </c>
      <c r="S174">
        <f t="shared" si="62"/>
        <v>0</v>
      </c>
      <c r="T174">
        <f t="shared" si="63"/>
        <v>0</v>
      </c>
      <c r="U174">
        <f t="shared" si="64"/>
        <v>0</v>
      </c>
      <c r="V174">
        <f t="shared" si="65"/>
        <v>0</v>
      </c>
      <c r="W174">
        <f t="shared" si="66"/>
        <v>1</v>
      </c>
      <c r="X174">
        <f t="shared" si="67"/>
        <v>1</v>
      </c>
      <c r="Y174">
        <f t="shared" si="68"/>
        <v>0</v>
      </c>
      <c r="Z174">
        <f t="shared" si="69"/>
        <v>0</v>
      </c>
      <c r="AA174">
        <f t="shared" si="70"/>
        <v>0</v>
      </c>
      <c r="AB174">
        <f t="shared" si="53"/>
        <v>0</v>
      </c>
      <c r="AC174">
        <f t="shared" si="54"/>
        <v>0</v>
      </c>
      <c r="AD174">
        <f t="shared" si="55"/>
        <v>0</v>
      </c>
      <c r="AE174">
        <f t="shared" si="56"/>
        <v>0</v>
      </c>
      <c r="AF174">
        <f t="shared" si="57"/>
        <v>0</v>
      </c>
      <c r="AG174">
        <f t="shared" si="58"/>
        <v>1</v>
      </c>
      <c r="AH174">
        <f t="shared" si="71"/>
        <v>0</v>
      </c>
      <c r="AI174">
        <f t="shared" si="77"/>
        <v>0</v>
      </c>
      <c r="AJ174">
        <f t="shared" si="77"/>
        <v>0</v>
      </c>
      <c r="AK174">
        <f t="shared" si="77"/>
        <v>0</v>
      </c>
      <c r="AL174">
        <f t="shared" si="77"/>
        <v>0</v>
      </c>
      <c r="AM174">
        <f t="shared" si="77"/>
        <v>0</v>
      </c>
      <c r="AN174">
        <f t="shared" si="77"/>
        <v>0</v>
      </c>
      <c r="AO174">
        <f t="shared" si="77"/>
        <v>0</v>
      </c>
      <c r="AP174">
        <f t="shared" si="77"/>
        <v>0</v>
      </c>
      <c r="AQ174">
        <f t="shared" si="77"/>
        <v>0</v>
      </c>
      <c r="AR174">
        <f t="shared" si="77"/>
        <v>0</v>
      </c>
      <c r="AS174">
        <f t="shared" si="77"/>
        <v>0</v>
      </c>
      <c r="AT174">
        <f t="shared" si="77"/>
        <v>1</v>
      </c>
      <c r="AU174">
        <f t="shared" si="77"/>
        <v>0</v>
      </c>
      <c r="AV174">
        <f t="shared" si="77"/>
        <v>0</v>
      </c>
      <c r="AW174">
        <f t="shared" si="77"/>
        <v>0</v>
      </c>
      <c r="AX174">
        <f t="shared" si="72"/>
        <v>0</v>
      </c>
      <c r="AY174">
        <f t="shared" si="72"/>
        <v>0</v>
      </c>
      <c r="AZ174">
        <f t="shared" si="72"/>
        <v>1</v>
      </c>
      <c r="BA174">
        <f t="shared" si="73"/>
        <v>0</v>
      </c>
      <c r="BB174">
        <f t="shared" si="74"/>
        <v>1</v>
      </c>
    </row>
    <row r="175" spans="1:54">
      <c r="A175">
        <v>172</v>
      </c>
      <c r="B175" t="s">
        <v>20</v>
      </c>
      <c r="C175" t="s">
        <v>21</v>
      </c>
      <c r="D175" t="s">
        <v>27</v>
      </c>
      <c r="E175" t="s">
        <v>20</v>
      </c>
      <c r="F175" t="s">
        <v>29</v>
      </c>
      <c r="G175" t="s">
        <v>23</v>
      </c>
      <c r="H175" s="3">
        <v>0.17303967258640501</v>
      </c>
      <c r="I175" s="3">
        <v>0.16730116895186001</v>
      </c>
      <c r="J175" s="3">
        <v>0.14569489372079</v>
      </c>
      <c r="K175" s="3">
        <v>0.14943343214738</v>
      </c>
      <c r="L175" s="3">
        <v>0.110807571200617</v>
      </c>
      <c r="M175" s="3">
        <v>8.5046047957416396E-2</v>
      </c>
      <c r="N175" s="3">
        <v>0.19270833333333301</v>
      </c>
      <c r="O175" s="3">
        <v>0.11710480927623</v>
      </c>
      <c r="P175">
        <f t="shared" si="59"/>
        <v>0</v>
      </c>
      <c r="Q175">
        <f t="shared" si="60"/>
        <v>0</v>
      </c>
      <c r="R175">
        <f t="shared" si="61"/>
        <v>0</v>
      </c>
      <c r="S175">
        <f t="shared" si="62"/>
        <v>0</v>
      </c>
      <c r="T175">
        <f t="shared" si="63"/>
        <v>0</v>
      </c>
      <c r="U175">
        <f t="shared" si="64"/>
        <v>0</v>
      </c>
      <c r="V175">
        <f t="shared" si="65"/>
        <v>0</v>
      </c>
      <c r="W175">
        <f t="shared" si="66"/>
        <v>1</v>
      </c>
      <c r="X175">
        <f t="shared" si="67"/>
        <v>0</v>
      </c>
      <c r="Y175">
        <f t="shared" si="68"/>
        <v>1</v>
      </c>
      <c r="Z175">
        <f t="shared" si="69"/>
        <v>0</v>
      </c>
      <c r="AA175">
        <f t="shared" si="70"/>
        <v>0</v>
      </c>
      <c r="AB175">
        <f t="shared" si="53"/>
        <v>0</v>
      </c>
      <c r="AC175">
        <f t="shared" si="54"/>
        <v>0</v>
      </c>
      <c r="AD175">
        <f t="shared" si="55"/>
        <v>0</v>
      </c>
      <c r="AE175">
        <f t="shared" si="56"/>
        <v>0</v>
      </c>
      <c r="AF175">
        <f t="shared" si="57"/>
        <v>0</v>
      </c>
      <c r="AG175">
        <f t="shared" si="58"/>
        <v>1</v>
      </c>
      <c r="AH175">
        <f t="shared" si="71"/>
        <v>0</v>
      </c>
      <c r="AI175">
        <f t="shared" si="77"/>
        <v>0</v>
      </c>
      <c r="AJ175">
        <f t="shared" si="77"/>
        <v>0</v>
      </c>
      <c r="AK175">
        <f t="shared" si="77"/>
        <v>0</v>
      </c>
      <c r="AL175">
        <f t="shared" si="77"/>
        <v>0</v>
      </c>
      <c r="AM175">
        <f t="shared" si="77"/>
        <v>0</v>
      </c>
      <c r="AN175">
        <f t="shared" si="77"/>
        <v>0</v>
      </c>
      <c r="AO175">
        <f t="shared" si="77"/>
        <v>0</v>
      </c>
      <c r="AP175">
        <f t="shared" si="77"/>
        <v>0</v>
      </c>
      <c r="AQ175">
        <f t="shared" si="77"/>
        <v>0</v>
      </c>
      <c r="AR175">
        <f t="shared" si="77"/>
        <v>0</v>
      </c>
      <c r="AS175">
        <f t="shared" si="77"/>
        <v>0</v>
      </c>
      <c r="AT175">
        <f t="shared" si="77"/>
        <v>0</v>
      </c>
      <c r="AU175">
        <f t="shared" si="77"/>
        <v>0</v>
      </c>
      <c r="AV175">
        <f t="shared" si="77"/>
        <v>1</v>
      </c>
      <c r="AW175">
        <f t="shared" si="77"/>
        <v>0</v>
      </c>
      <c r="AX175">
        <f t="shared" si="72"/>
        <v>0</v>
      </c>
      <c r="AY175">
        <f t="shared" si="72"/>
        <v>0</v>
      </c>
      <c r="AZ175">
        <f t="shared" si="72"/>
        <v>1</v>
      </c>
      <c r="BA175">
        <f t="shared" si="73"/>
        <v>0</v>
      </c>
      <c r="BB175">
        <f t="shared" si="74"/>
        <v>1</v>
      </c>
    </row>
    <row r="176" spans="1:54">
      <c r="A176">
        <v>173</v>
      </c>
      <c r="B176" t="s">
        <v>20</v>
      </c>
      <c r="C176" t="s">
        <v>21</v>
      </c>
      <c r="D176" t="s">
        <v>27</v>
      </c>
      <c r="E176" t="s">
        <v>20</v>
      </c>
      <c r="F176" t="s">
        <v>29</v>
      </c>
      <c r="G176" t="s">
        <v>24</v>
      </c>
      <c r="H176" s="3">
        <v>0.22433869030972201</v>
      </c>
      <c r="I176" s="3">
        <v>0.21331031912794801</v>
      </c>
      <c r="J176" s="3">
        <v>0.189553164200953</v>
      </c>
      <c r="K176" s="3">
        <v>0.19026311668366799</v>
      </c>
      <c r="L176" s="3">
        <v>0.141491243674847</v>
      </c>
      <c r="M176" s="3">
        <v>0.10889383696553501</v>
      </c>
      <c r="N176" s="3">
        <v>0.247635425623387</v>
      </c>
      <c r="O176" s="3">
        <v>0.15317935656057799</v>
      </c>
      <c r="P176">
        <f t="shared" si="59"/>
        <v>0</v>
      </c>
      <c r="Q176">
        <f t="shared" si="60"/>
        <v>0</v>
      </c>
      <c r="R176">
        <f t="shared" si="61"/>
        <v>0</v>
      </c>
      <c r="S176">
        <f t="shared" si="62"/>
        <v>0</v>
      </c>
      <c r="T176">
        <f t="shared" si="63"/>
        <v>0</v>
      </c>
      <c r="U176">
        <f t="shared" si="64"/>
        <v>0</v>
      </c>
      <c r="V176">
        <f t="shared" si="65"/>
        <v>0</v>
      </c>
      <c r="W176">
        <f t="shared" si="66"/>
        <v>1</v>
      </c>
      <c r="X176">
        <f t="shared" si="67"/>
        <v>0</v>
      </c>
      <c r="Y176">
        <f t="shared" si="68"/>
        <v>0</v>
      </c>
      <c r="Z176">
        <f t="shared" si="69"/>
        <v>0</v>
      </c>
      <c r="AA176">
        <f t="shared" si="70"/>
        <v>1</v>
      </c>
      <c r="AB176">
        <f t="shared" si="53"/>
        <v>0</v>
      </c>
      <c r="AC176">
        <f t="shared" si="54"/>
        <v>0</v>
      </c>
      <c r="AD176">
        <f t="shared" si="55"/>
        <v>1</v>
      </c>
      <c r="AE176">
        <f t="shared" si="56"/>
        <v>0</v>
      </c>
      <c r="AF176">
        <f t="shared" si="57"/>
        <v>0</v>
      </c>
      <c r="AG176">
        <f t="shared" si="58"/>
        <v>1</v>
      </c>
      <c r="AH176">
        <f t="shared" si="71"/>
        <v>1</v>
      </c>
      <c r="AI176">
        <f t="shared" si="77"/>
        <v>0</v>
      </c>
      <c r="AJ176">
        <f t="shared" si="77"/>
        <v>0</v>
      </c>
      <c r="AK176">
        <f t="shared" si="77"/>
        <v>0</v>
      </c>
      <c r="AL176">
        <f t="shared" si="77"/>
        <v>0</v>
      </c>
      <c r="AM176">
        <f t="shared" si="77"/>
        <v>0</v>
      </c>
      <c r="AN176">
        <f t="shared" si="77"/>
        <v>0</v>
      </c>
      <c r="AO176">
        <f t="shared" si="77"/>
        <v>0</v>
      </c>
      <c r="AP176">
        <f t="shared" si="77"/>
        <v>0</v>
      </c>
      <c r="AQ176">
        <f t="shared" si="77"/>
        <v>0</v>
      </c>
      <c r="AR176">
        <f t="shared" si="77"/>
        <v>0</v>
      </c>
      <c r="AS176">
        <f t="shared" si="77"/>
        <v>0</v>
      </c>
      <c r="AT176">
        <f t="shared" si="77"/>
        <v>0</v>
      </c>
      <c r="AU176">
        <f t="shared" si="77"/>
        <v>0</v>
      </c>
      <c r="AV176">
        <f t="shared" si="77"/>
        <v>0</v>
      </c>
      <c r="AW176">
        <f t="shared" si="77"/>
        <v>1</v>
      </c>
      <c r="AX176">
        <f t="shared" si="72"/>
        <v>0</v>
      </c>
      <c r="AY176">
        <f t="shared" si="72"/>
        <v>0</v>
      </c>
      <c r="AZ176">
        <f t="shared" si="72"/>
        <v>1</v>
      </c>
      <c r="BA176">
        <f t="shared" si="73"/>
        <v>0</v>
      </c>
      <c r="BB176">
        <f t="shared" si="74"/>
        <v>1</v>
      </c>
    </row>
    <row r="177" spans="1:54">
      <c r="A177">
        <v>174</v>
      </c>
      <c r="B177" t="s">
        <v>20</v>
      </c>
      <c r="C177" t="s">
        <v>21</v>
      </c>
      <c r="D177" t="s">
        <v>27</v>
      </c>
      <c r="E177" t="s">
        <v>20</v>
      </c>
      <c r="F177" t="s">
        <v>29</v>
      </c>
      <c r="G177" t="s">
        <v>31</v>
      </c>
      <c r="H177" s="3">
        <v>0.21110791625709799</v>
      </c>
      <c r="I177" s="3">
        <v>0.20031081925925501</v>
      </c>
      <c r="J177" s="3">
        <v>0.17450778647149601</v>
      </c>
      <c r="K177" s="3">
        <v>0.17831347979343001</v>
      </c>
      <c r="L177" s="3">
        <v>0.13599153065035399</v>
      </c>
      <c r="M177" s="3">
        <v>0.10617011195506899</v>
      </c>
      <c r="N177" s="3">
        <v>0.23263888888888801</v>
      </c>
      <c r="O177" s="3">
        <v>0.13998212172527799</v>
      </c>
      <c r="P177">
        <f t="shared" si="59"/>
        <v>0</v>
      </c>
      <c r="Q177">
        <f t="shared" si="60"/>
        <v>0</v>
      </c>
      <c r="R177">
        <f t="shared" si="61"/>
        <v>0</v>
      </c>
      <c r="S177">
        <f t="shared" si="62"/>
        <v>0</v>
      </c>
      <c r="T177">
        <f t="shared" si="63"/>
        <v>0</v>
      </c>
      <c r="U177">
        <f t="shared" si="64"/>
        <v>0</v>
      </c>
      <c r="V177">
        <f t="shared" si="65"/>
        <v>0</v>
      </c>
      <c r="W177">
        <f t="shared" si="66"/>
        <v>1</v>
      </c>
      <c r="X177">
        <f t="shared" si="67"/>
        <v>0</v>
      </c>
      <c r="Y177">
        <f t="shared" si="68"/>
        <v>0</v>
      </c>
      <c r="Z177">
        <f t="shared" si="69"/>
        <v>1</v>
      </c>
      <c r="AA177">
        <f t="shared" si="70"/>
        <v>0</v>
      </c>
      <c r="AB177">
        <f t="shared" si="53"/>
        <v>0</v>
      </c>
      <c r="AC177">
        <f t="shared" si="54"/>
        <v>0</v>
      </c>
      <c r="AD177">
        <f t="shared" si="55"/>
        <v>0</v>
      </c>
      <c r="AE177">
        <f t="shared" si="56"/>
        <v>0</v>
      </c>
      <c r="AF177">
        <f t="shared" si="57"/>
        <v>0</v>
      </c>
      <c r="AG177">
        <f t="shared" si="58"/>
        <v>1</v>
      </c>
      <c r="AH177">
        <f t="shared" si="71"/>
        <v>0</v>
      </c>
      <c r="AI177">
        <f t="shared" si="77"/>
        <v>0</v>
      </c>
      <c r="AJ177">
        <f t="shared" si="77"/>
        <v>0</v>
      </c>
      <c r="AK177">
        <f t="shared" si="77"/>
        <v>0</v>
      </c>
      <c r="AL177">
        <f t="shared" si="77"/>
        <v>0</v>
      </c>
      <c r="AM177">
        <f t="shared" si="77"/>
        <v>0</v>
      </c>
      <c r="AN177">
        <f t="shared" si="77"/>
        <v>0</v>
      </c>
      <c r="AO177">
        <f t="shared" si="77"/>
        <v>0</v>
      </c>
      <c r="AP177">
        <f t="shared" si="77"/>
        <v>0</v>
      </c>
      <c r="AQ177">
        <f t="shared" si="77"/>
        <v>0</v>
      </c>
      <c r="AR177">
        <f t="shared" si="77"/>
        <v>0</v>
      </c>
      <c r="AS177">
        <f t="shared" si="77"/>
        <v>0</v>
      </c>
      <c r="AT177">
        <f t="shared" si="77"/>
        <v>0</v>
      </c>
      <c r="AU177">
        <f t="shared" si="77"/>
        <v>0</v>
      </c>
      <c r="AV177">
        <f t="shared" si="77"/>
        <v>0</v>
      </c>
      <c r="AW177">
        <f t="shared" si="77"/>
        <v>0</v>
      </c>
      <c r="AX177">
        <f t="shared" si="72"/>
        <v>0</v>
      </c>
      <c r="AY177">
        <f t="shared" si="72"/>
        <v>0</v>
      </c>
      <c r="AZ177">
        <f t="shared" si="72"/>
        <v>1</v>
      </c>
      <c r="BA177">
        <f t="shared" si="73"/>
        <v>0</v>
      </c>
      <c r="BB177">
        <f t="shared" si="74"/>
        <v>1</v>
      </c>
    </row>
    <row r="178" spans="1:54">
      <c r="A178">
        <v>175</v>
      </c>
      <c r="B178" t="s">
        <v>20</v>
      </c>
      <c r="C178" t="s">
        <v>21</v>
      </c>
      <c r="D178" t="s">
        <v>27</v>
      </c>
      <c r="E178" t="s">
        <v>20</v>
      </c>
      <c r="F178" t="s">
        <v>29</v>
      </c>
      <c r="G178" t="s">
        <v>25</v>
      </c>
      <c r="H178" s="3">
        <v>2.34151194412618E-2</v>
      </c>
      <c r="I178" s="3">
        <v>2.2918597491479599E-2</v>
      </c>
      <c r="J178" s="3">
        <v>2.0125468244548899E-2</v>
      </c>
      <c r="K178" s="3">
        <v>2.1121033786315701E-2</v>
      </c>
      <c r="L178" s="3">
        <v>1.5604220653886801E-2</v>
      </c>
      <c r="M178" s="3">
        <v>1.2521889607243699E-2</v>
      </c>
      <c r="N178" s="3">
        <v>2.52997759915667E-2</v>
      </c>
      <c r="O178" s="3">
        <v>1.6890070382712501E-2</v>
      </c>
      <c r="P178">
        <f t="shared" si="59"/>
        <v>0</v>
      </c>
      <c r="Q178">
        <f t="shared" si="60"/>
        <v>0</v>
      </c>
      <c r="R178">
        <f t="shared" si="61"/>
        <v>0</v>
      </c>
      <c r="S178">
        <f t="shared" si="62"/>
        <v>0</v>
      </c>
      <c r="T178">
        <f t="shared" si="63"/>
        <v>0</v>
      </c>
      <c r="U178">
        <f t="shared" si="64"/>
        <v>0</v>
      </c>
      <c r="V178">
        <f t="shared" si="65"/>
        <v>0</v>
      </c>
      <c r="W178">
        <f t="shared" si="66"/>
        <v>1</v>
      </c>
      <c r="X178">
        <f t="shared" si="67"/>
        <v>0</v>
      </c>
      <c r="Y178">
        <f t="shared" si="68"/>
        <v>0</v>
      </c>
      <c r="Z178">
        <f t="shared" si="69"/>
        <v>0</v>
      </c>
      <c r="AA178">
        <f t="shared" si="70"/>
        <v>0</v>
      </c>
      <c r="AB178">
        <f t="shared" si="53"/>
        <v>0</v>
      </c>
      <c r="AC178">
        <f t="shared" si="54"/>
        <v>0</v>
      </c>
      <c r="AD178">
        <f t="shared" si="55"/>
        <v>0</v>
      </c>
      <c r="AE178">
        <f t="shared" si="56"/>
        <v>0</v>
      </c>
      <c r="AF178">
        <f t="shared" si="57"/>
        <v>0</v>
      </c>
      <c r="AG178">
        <f t="shared" si="58"/>
        <v>1</v>
      </c>
      <c r="AH178">
        <f t="shared" si="71"/>
        <v>0</v>
      </c>
      <c r="AI178">
        <f t="shared" si="77"/>
        <v>0</v>
      </c>
      <c r="AJ178">
        <f t="shared" si="77"/>
        <v>0</v>
      </c>
      <c r="AK178">
        <f t="shared" si="77"/>
        <v>0</v>
      </c>
      <c r="AL178">
        <f t="shared" si="77"/>
        <v>0</v>
      </c>
      <c r="AM178">
        <f t="shared" si="77"/>
        <v>0</v>
      </c>
      <c r="AN178">
        <f t="shared" si="77"/>
        <v>0</v>
      </c>
      <c r="AO178">
        <f t="shared" si="77"/>
        <v>0</v>
      </c>
      <c r="AP178">
        <f t="shared" si="77"/>
        <v>0</v>
      </c>
      <c r="AQ178">
        <f t="shared" si="77"/>
        <v>1</v>
      </c>
      <c r="AR178">
        <f t="shared" si="77"/>
        <v>0</v>
      </c>
      <c r="AS178">
        <f t="shared" si="77"/>
        <v>0</v>
      </c>
      <c r="AT178">
        <f t="shared" si="77"/>
        <v>0</v>
      </c>
      <c r="AU178">
        <f t="shared" si="77"/>
        <v>0</v>
      </c>
      <c r="AV178">
        <f t="shared" si="77"/>
        <v>0</v>
      </c>
      <c r="AW178">
        <f t="shared" si="77"/>
        <v>0</v>
      </c>
      <c r="AX178">
        <f t="shared" si="72"/>
        <v>0</v>
      </c>
      <c r="AY178">
        <f t="shared" si="72"/>
        <v>0</v>
      </c>
      <c r="AZ178">
        <f t="shared" si="72"/>
        <v>1</v>
      </c>
      <c r="BA178">
        <f t="shared" si="73"/>
        <v>1</v>
      </c>
      <c r="BB178">
        <f t="shared" si="74"/>
        <v>1</v>
      </c>
    </row>
    <row r="179" spans="1:54">
      <c r="A179">
        <v>176</v>
      </c>
      <c r="B179" t="s">
        <v>20</v>
      </c>
      <c r="C179" t="s">
        <v>21</v>
      </c>
      <c r="D179" t="s">
        <v>27</v>
      </c>
      <c r="E179" t="s">
        <v>20</v>
      </c>
      <c r="F179" t="s">
        <v>29</v>
      </c>
      <c r="G179" t="s">
        <v>26</v>
      </c>
      <c r="H179" s="3">
        <v>2.3975153740768699E-2</v>
      </c>
      <c r="I179" s="3">
        <v>2.34624575997644E-2</v>
      </c>
      <c r="J179" s="3">
        <v>2.0635594526319499E-2</v>
      </c>
      <c r="K179" s="3">
        <v>2.1616762190606501E-2</v>
      </c>
      <c r="L179" s="3">
        <v>1.5992790735879302E-2</v>
      </c>
      <c r="M179" s="3">
        <v>1.28299647212644E-2</v>
      </c>
      <c r="N179" s="3">
        <v>2.5908600215904999E-2</v>
      </c>
      <c r="O179" s="3">
        <v>1.7323344597541101E-2</v>
      </c>
      <c r="P179">
        <f t="shared" si="59"/>
        <v>0</v>
      </c>
      <c r="Q179">
        <f t="shared" si="60"/>
        <v>0</v>
      </c>
      <c r="R179">
        <f t="shared" si="61"/>
        <v>0</v>
      </c>
      <c r="S179">
        <f t="shared" si="62"/>
        <v>0</v>
      </c>
      <c r="T179">
        <f t="shared" si="63"/>
        <v>0</v>
      </c>
      <c r="U179">
        <f t="shared" si="64"/>
        <v>0</v>
      </c>
      <c r="V179">
        <f t="shared" si="65"/>
        <v>0</v>
      </c>
      <c r="W179">
        <f t="shared" si="66"/>
        <v>1</v>
      </c>
      <c r="X179">
        <f t="shared" si="67"/>
        <v>0</v>
      </c>
      <c r="Y179">
        <f t="shared" si="68"/>
        <v>0</v>
      </c>
      <c r="Z179">
        <f t="shared" si="69"/>
        <v>0</v>
      </c>
      <c r="AA179">
        <f t="shared" si="70"/>
        <v>0</v>
      </c>
      <c r="AB179">
        <f t="shared" si="53"/>
        <v>0</v>
      </c>
      <c r="AC179">
        <f t="shared" si="54"/>
        <v>0</v>
      </c>
      <c r="AD179">
        <f t="shared" si="55"/>
        <v>0</v>
      </c>
      <c r="AE179">
        <f t="shared" si="56"/>
        <v>0</v>
      </c>
      <c r="AF179">
        <f t="shared" si="57"/>
        <v>0</v>
      </c>
      <c r="AG179">
        <f t="shared" si="58"/>
        <v>1</v>
      </c>
      <c r="AH179">
        <f t="shared" si="71"/>
        <v>0</v>
      </c>
      <c r="AI179">
        <f t="shared" si="77"/>
        <v>0</v>
      </c>
      <c r="AJ179">
        <f t="shared" si="77"/>
        <v>0</v>
      </c>
      <c r="AK179">
        <f t="shared" si="77"/>
        <v>0</v>
      </c>
      <c r="AL179">
        <f t="shared" si="77"/>
        <v>0</v>
      </c>
      <c r="AM179">
        <f t="shared" si="77"/>
        <v>1</v>
      </c>
      <c r="AN179">
        <f t="shared" si="77"/>
        <v>0</v>
      </c>
      <c r="AO179">
        <f t="shared" si="77"/>
        <v>0</v>
      </c>
      <c r="AP179">
        <f t="shared" si="77"/>
        <v>0</v>
      </c>
      <c r="AQ179">
        <f t="shared" si="77"/>
        <v>0</v>
      </c>
      <c r="AR179">
        <f t="shared" si="77"/>
        <v>0</v>
      </c>
      <c r="AS179">
        <f t="shared" si="77"/>
        <v>0</v>
      </c>
      <c r="AT179">
        <f t="shared" si="77"/>
        <v>0</v>
      </c>
      <c r="AU179">
        <f t="shared" si="77"/>
        <v>0</v>
      </c>
      <c r="AV179">
        <f t="shared" si="77"/>
        <v>0</v>
      </c>
      <c r="AW179">
        <f t="shared" si="77"/>
        <v>0</v>
      </c>
      <c r="AX179">
        <f t="shared" si="72"/>
        <v>0</v>
      </c>
      <c r="AY179">
        <f t="shared" si="72"/>
        <v>0</v>
      </c>
      <c r="AZ179">
        <f t="shared" si="72"/>
        <v>1</v>
      </c>
      <c r="BA179">
        <f t="shared" si="73"/>
        <v>1</v>
      </c>
      <c r="BB179">
        <f t="shared" si="74"/>
        <v>1</v>
      </c>
    </row>
    <row r="180" spans="1:54">
      <c r="A180">
        <v>177</v>
      </c>
      <c r="B180" t="s">
        <v>20</v>
      </c>
      <c r="C180" t="s">
        <v>21</v>
      </c>
      <c r="D180" t="s">
        <v>27</v>
      </c>
      <c r="E180" t="s">
        <v>30</v>
      </c>
      <c r="F180" t="s">
        <v>21</v>
      </c>
      <c r="G180" t="s">
        <v>22</v>
      </c>
      <c r="H180" s="3">
        <v>0.10294999073132</v>
      </c>
      <c r="I180" s="3">
        <v>9.7496868852230897E-2</v>
      </c>
      <c r="J180" s="3">
        <v>8.4553025181760194E-2</v>
      </c>
      <c r="K180" s="3">
        <v>8.7841180607583197E-2</v>
      </c>
      <c r="L180" s="3">
        <v>6.3422924132742906E-2</v>
      </c>
      <c r="M180" s="3">
        <v>4.9732450528598503E-2</v>
      </c>
      <c r="N180" s="3">
        <v>0.11111111111111099</v>
      </c>
      <c r="O180" s="3">
        <v>6.7647750548457106E-2</v>
      </c>
      <c r="P180">
        <f t="shared" si="59"/>
        <v>0</v>
      </c>
      <c r="Q180">
        <f t="shared" si="60"/>
        <v>0</v>
      </c>
      <c r="R180">
        <f t="shared" si="61"/>
        <v>0</v>
      </c>
      <c r="S180">
        <f t="shared" si="62"/>
        <v>0</v>
      </c>
      <c r="T180">
        <f t="shared" si="63"/>
        <v>1</v>
      </c>
      <c r="U180">
        <f t="shared" si="64"/>
        <v>0</v>
      </c>
      <c r="V180">
        <f t="shared" si="65"/>
        <v>0</v>
      </c>
      <c r="W180">
        <f t="shared" si="66"/>
        <v>1</v>
      </c>
      <c r="X180">
        <f t="shared" si="67"/>
        <v>0</v>
      </c>
      <c r="Y180">
        <f t="shared" si="68"/>
        <v>0</v>
      </c>
      <c r="Z180">
        <f t="shared" si="69"/>
        <v>0</v>
      </c>
      <c r="AA180">
        <f t="shared" si="70"/>
        <v>0</v>
      </c>
      <c r="AB180">
        <f t="shared" si="53"/>
        <v>0</v>
      </c>
      <c r="AC180">
        <f t="shared" si="54"/>
        <v>0</v>
      </c>
      <c r="AD180">
        <f t="shared" si="55"/>
        <v>0</v>
      </c>
      <c r="AE180">
        <f t="shared" si="56"/>
        <v>0</v>
      </c>
      <c r="AF180">
        <f t="shared" si="57"/>
        <v>1</v>
      </c>
      <c r="AG180">
        <f t="shared" si="58"/>
        <v>0</v>
      </c>
      <c r="AH180">
        <f t="shared" si="71"/>
        <v>0</v>
      </c>
      <c r="AI180">
        <f t="shared" si="77"/>
        <v>0</v>
      </c>
      <c r="AJ180">
        <f t="shared" si="77"/>
        <v>0</v>
      </c>
      <c r="AK180">
        <f t="shared" si="77"/>
        <v>0</v>
      </c>
      <c r="AL180">
        <f t="shared" si="77"/>
        <v>0</v>
      </c>
      <c r="AM180">
        <f t="shared" si="77"/>
        <v>0</v>
      </c>
      <c r="AN180">
        <f t="shared" si="77"/>
        <v>0</v>
      </c>
      <c r="AO180">
        <f t="shared" si="77"/>
        <v>0</v>
      </c>
      <c r="AP180">
        <f t="shared" si="77"/>
        <v>0</v>
      </c>
      <c r="AQ180">
        <f t="shared" si="77"/>
        <v>0</v>
      </c>
      <c r="AR180">
        <f t="shared" si="77"/>
        <v>0</v>
      </c>
      <c r="AS180">
        <f t="shared" si="77"/>
        <v>0</v>
      </c>
      <c r="AT180">
        <f t="shared" si="77"/>
        <v>1</v>
      </c>
      <c r="AU180">
        <f t="shared" si="77"/>
        <v>0</v>
      </c>
      <c r="AV180">
        <f t="shared" si="77"/>
        <v>0</v>
      </c>
      <c r="AW180">
        <f t="shared" si="77"/>
        <v>0</v>
      </c>
      <c r="AX180">
        <f t="shared" si="72"/>
        <v>0</v>
      </c>
      <c r="AY180">
        <f t="shared" si="72"/>
        <v>0</v>
      </c>
      <c r="AZ180">
        <f t="shared" si="72"/>
        <v>0</v>
      </c>
      <c r="BA180">
        <f t="shared" si="73"/>
        <v>0</v>
      </c>
      <c r="BB180">
        <f t="shared" si="74"/>
        <v>0</v>
      </c>
    </row>
    <row r="181" spans="1:54">
      <c r="A181">
        <v>178</v>
      </c>
      <c r="B181" t="s">
        <v>20</v>
      </c>
      <c r="C181" t="s">
        <v>21</v>
      </c>
      <c r="D181" t="s">
        <v>27</v>
      </c>
      <c r="E181" t="s">
        <v>30</v>
      </c>
      <c r="F181" t="s">
        <v>21</v>
      </c>
      <c r="G181" t="s">
        <v>23</v>
      </c>
      <c r="H181" s="3">
        <v>0.11014128752357601</v>
      </c>
      <c r="I181" s="3">
        <v>0.105043831717925</v>
      </c>
      <c r="J181" s="3">
        <v>9.0148921660597195E-2</v>
      </c>
      <c r="K181" s="3">
        <v>9.4313590318498397E-2</v>
      </c>
      <c r="L181" s="3">
        <v>6.4932783282121903E-2</v>
      </c>
      <c r="M181" s="3">
        <v>4.9745586206982703E-2</v>
      </c>
      <c r="N181" s="3">
        <v>0.11979166666666601</v>
      </c>
      <c r="O181" s="3">
        <v>7.0038321393221595E-2</v>
      </c>
      <c r="P181">
        <f t="shared" si="59"/>
        <v>0</v>
      </c>
      <c r="Q181">
        <f t="shared" si="60"/>
        <v>0</v>
      </c>
      <c r="R181">
        <f t="shared" si="61"/>
        <v>0</v>
      </c>
      <c r="S181">
        <f t="shared" si="62"/>
        <v>0</v>
      </c>
      <c r="T181">
        <f t="shared" si="63"/>
        <v>0</v>
      </c>
      <c r="U181">
        <f t="shared" si="64"/>
        <v>1</v>
      </c>
      <c r="V181">
        <f t="shared" si="65"/>
        <v>0</v>
      </c>
      <c r="W181">
        <f t="shared" si="66"/>
        <v>1</v>
      </c>
      <c r="X181">
        <f t="shared" si="67"/>
        <v>0</v>
      </c>
      <c r="Y181">
        <f t="shared" si="68"/>
        <v>0</v>
      </c>
      <c r="Z181">
        <f t="shared" si="69"/>
        <v>0</v>
      </c>
      <c r="AA181">
        <f t="shared" si="70"/>
        <v>0</v>
      </c>
      <c r="AB181">
        <f t="shared" si="53"/>
        <v>0</v>
      </c>
      <c r="AC181">
        <f t="shared" si="54"/>
        <v>0</v>
      </c>
      <c r="AD181">
        <f t="shared" si="55"/>
        <v>0</v>
      </c>
      <c r="AE181">
        <f t="shared" si="56"/>
        <v>0</v>
      </c>
      <c r="AF181">
        <f t="shared" si="57"/>
        <v>1</v>
      </c>
      <c r="AG181">
        <f t="shared" si="58"/>
        <v>0</v>
      </c>
      <c r="AH181">
        <f t="shared" si="71"/>
        <v>0</v>
      </c>
      <c r="AI181">
        <f t="shared" si="77"/>
        <v>0</v>
      </c>
      <c r="AJ181">
        <f t="shared" si="77"/>
        <v>0</v>
      </c>
      <c r="AK181">
        <f t="shared" si="77"/>
        <v>0</v>
      </c>
      <c r="AL181">
        <f t="shared" si="77"/>
        <v>0</v>
      </c>
      <c r="AM181">
        <f t="shared" si="77"/>
        <v>0</v>
      </c>
      <c r="AN181">
        <f t="shared" si="77"/>
        <v>0</v>
      </c>
      <c r="AO181">
        <f t="shared" si="77"/>
        <v>0</v>
      </c>
      <c r="AP181">
        <f t="shared" si="77"/>
        <v>0</v>
      </c>
      <c r="AQ181">
        <f t="shared" si="77"/>
        <v>0</v>
      </c>
      <c r="AR181">
        <f t="shared" si="77"/>
        <v>0</v>
      </c>
      <c r="AS181">
        <f t="shared" si="77"/>
        <v>0</v>
      </c>
      <c r="AT181">
        <f t="shared" si="77"/>
        <v>0</v>
      </c>
      <c r="AU181">
        <f t="shared" si="77"/>
        <v>0</v>
      </c>
      <c r="AV181">
        <f t="shared" si="77"/>
        <v>1</v>
      </c>
      <c r="AW181">
        <f t="shared" si="77"/>
        <v>0</v>
      </c>
      <c r="AX181">
        <f t="shared" si="72"/>
        <v>0</v>
      </c>
      <c r="AY181">
        <f t="shared" si="72"/>
        <v>0</v>
      </c>
      <c r="AZ181">
        <f t="shared" si="72"/>
        <v>0</v>
      </c>
      <c r="BA181">
        <f t="shared" si="73"/>
        <v>0</v>
      </c>
      <c r="BB181">
        <f t="shared" si="74"/>
        <v>0</v>
      </c>
    </row>
    <row r="182" spans="1:54">
      <c r="A182">
        <v>179</v>
      </c>
      <c r="B182" t="s">
        <v>20</v>
      </c>
      <c r="C182" t="s">
        <v>21</v>
      </c>
      <c r="D182" t="s">
        <v>27</v>
      </c>
      <c r="E182" t="s">
        <v>30</v>
      </c>
      <c r="F182" t="s">
        <v>21</v>
      </c>
      <c r="G182" t="s">
        <v>24</v>
      </c>
      <c r="H182" s="3">
        <v>0.197936827228433</v>
      </c>
      <c r="I182" s="3">
        <v>0.199211670476167</v>
      </c>
      <c r="J182" s="3">
        <v>0.16162979550121501</v>
      </c>
      <c r="K182" s="3">
        <v>0.17861191894265699</v>
      </c>
      <c r="L182" s="3">
        <v>0.118484273408216</v>
      </c>
      <c r="M182" s="3">
        <v>8.9343539162094296E-2</v>
      </c>
      <c r="N182" s="3">
        <v>0.22875297855440799</v>
      </c>
      <c r="O182" s="3">
        <v>0.12627902352878401</v>
      </c>
      <c r="P182">
        <f t="shared" si="59"/>
        <v>0</v>
      </c>
      <c r="Q182">
        <f t="shared" si="60"/>
        <v>0</v>
      </c>
      <c r="R182">
        <f t="shared" si="61"/>
        <v>0</v>
      </c>
      <c r="S182">
        <f t="shared" si="62"/>
        <v>0</v>
      </c>
      <c r="T182">
        <f t="shared" si="63"/>
        <v>0</v>
      </c>
      <c r="U182">
        <f t="shared" si="64"/>
        <v>0</v>
      </c>
      <c r="V182">
        <f t="shared" si="65"/>
        <v>1</v>
      </c>
      <c r="W182">
        <f t="shared" si="66"/>
        <v>1</v>
      </c>
      <c r="X182">
        <f t="shared" si="67"/>
        <v>0</v>
      </c>
      <c r="Y182">
        <f t="shared" si="68"/>
        <v>0</v>
      </c>
      <c r="Z182">
        <f t="shared" si="69"/>
        <v>0</v>
      </c>
      <c r="AA182">
        <f t="shared" si="70"/>
        <v>0</v>
      </c>
      <c r="AB182">
        <f t="shared" si="53"/>
        <v>0</v>
      </c>
      <c r="AC182">
        <f t="shared" si="54"/>
        <v>0</v>
      </c>
      <c r="AD182">
        <f t="shared" si="55"/>
        <v>1</v>
      </c>
      <c r="AE182">
        <f t="shared" si="56"/>
        <v>0</v>
      </c>
      <c r="AF182">
        <f t="shared" si="57"/>
        <v>1</v>
      </c>
      <c r="AG182">
        <f t="shared" si="58"/>
        <v>0</v>
      </c>
      <c r="AH182">
        <f t="shared" si="71"/>
        <v>1</v>
      </c>
      <c r="AI182">
        <f t="shared" si="77"/>
        <v>0</v>
      </c>
      <c r="AJ182">
        <f t="shared" si="77"/>
        <v>0</v>
      </c>
      <c r="AK182">
        <f t="shared" si="77"/>
        <v>0</v>
      </c>
      <c r="AL182">
        <f t="shared" si="77"/>
        <v>0</v>
      </c>
      <c r="AM182">
        <f t="shared" si="77"/>
        <v>0</v>
      </c>
      <c r="AN182">
        <f t="shared" si="77"/>
        <v>0</v>
      </c>
      <c r="AO182">
        <f t="shared" si="77"/>
        <v>0</v>
      </c>
      <c r="AP182">
        <f t="shared" si="77"/>
        <v>0</v>
      </c>
      <c r="AQ182">
        <f t="shared" si="77"/>
        <v>0</v>
      </c>
      <c r="AR182">
        <f t="shared" si="77"/>
        <v>0</v>
      </c>
      <c r="AS182">
        <f t="shared" si="77"/>
        <v>0</v>
      </c>
      <c r="AT182">
        <f t="shared" si="77"/>
        <v>0</v>
      </c>
      <c r="AU182">
        <f t="shared" si="77"/>
        <v>0</v>
      </c>
      <c r="AV182">
        <f t="shared" si="77"/>
        <v>0</v>
      </c>
      <c r="AW182">
        <f t="shared" si="77"/>
        <v>1</v>
      </c>
      <c r="AX182">
        <f t="shared" si="72"/>
        <v>0</v>
      </c>
      <c r="AY182">
        <f t="shared" si="72"/>
        <v>0</v>
      </c>
      <c r="AZ182">
        <f t="shared" si="72"/>
        <v>0</v>
      </c>
      <c r="BA182">
        <f t="shared" si="73"/>
        <v>0</v>
      </c>
      <c r="BB182">
        <f t="shared" si="74"/>
        <v>0</v>
      </c>
    </row>
    <row r="183" spans="1:54">
      <c r="A183">
        <v>180</v>
      </c>
      <c r="B183" t="s">
        <v>20</v>
      </c>
      <c r="C183" t="s">
        <v>21</v>
      </c>
      <c r="D183" t="s">
        <v>27</v>
      </c>
      <c r="E183" t="s">
        <v>30</v>
      </c>
      <c r="F183" t="s">
        <v>21</v>
      </c>
      <c r="G183" t="s">
        <v>25</v>
      </c>
      <c r="H183" s="3">
        <v>0.15840385728985201</v>
      </c>
      <c r="I183" s="3">
        <v>0.15525681363727301</v>
      </c>
      <c r="J183" s="3">
        <v>0.13534510847891101</v>
      </c>
      <c r="K183" s="3">
        <v>0.14245523017117201</v>
      </c>
      <c r="L183" s="3">
        <v>0.102719092300078</v>
      </c>
      <c r="M183" s="3">
        <v>8.0571574920566102E-2</v>
      </c>
      <c r="N183" s="3">
        <v>0.17266187050359699</v>
      </c>
      <c r="O183" s="3">
        <v>0.112023208965864</v>
      </c>
      <c r="P183">
        <f t="shared" si="59"/>
        <v>0</v>
      </c>
      <c r="Q183">
        <f t="shared" si="60"/>
        <v>0</v>
      </c>
      <c r="R183">
        <f t="shared" si="61"/>
        <v>0</v>
      </c>
      <c r="S183">
        <f t="shared" si="62"/>
        <v>0</v>
      </c>
      <c r="T183">
        <f t="shared" si="63"/>
        <v>0</v>
      </c>
      <c r="U183">
        <f t="shared" si="64"/>
        <v>0</v>
      </c>
      <c r="V183">
        <f t="shared" si="65"/>
        <v>0</v>
      </c>
      <c r="W183">
        <f t="shared" si="66"/>
        <v>1</v>
      </c>
      <c r="X183">
        <f t="shared" si="67"/>
        <v>0</v>
      </c>
      <c r="Y183">
        <f t="shared" si="68"/>
        <v>0</v>
      </c>
      <c r="Z183">
        <f t="shared" si="69"/>
        <v>0</v>
      </c>
      <c r="AA183">
        <f t="shared" si="70"/>
        <v>0</v>
      </c>
      <c r="AB183">
        <f t="shared" si="53"/>
        <v>0</v>
      </c>
      <c r="AC183">
        <f t="shared" si="54"/>
        <v>0</v>
      </c>
      <c r="AD183">
        <f t="shared" si="55"/>
        <v>0</v>
      </c>
      <c r="AE183">
        <f t="shared" si="56"/>
        <v>0</v>
      </c>
      <c r="AF183">
        <f t="shared" si="57"/>
        <v>1</v>
      </c>
      <c r="AG183">
        <f t="shared" si="58"/>
        <v>0</v>
      </c>
      <c r="AH183">
        <f t="shared" si="71"/>
        <v>0</v>
      </c>
      <c r="AI183">
        <f t="shared" si="77"/>
        <v>0</v>
      </c>
      <c r="AJ183">
        <f t="shared" si="77"/>
        <v>0</v>
      </c>
      <c r="AK183">
        <f t="shared" si="77"/>
        <v>0</v>
      </c>
      <c r="AL183">
        <f t="shared" si="77"/>
        <v>0</v>
      </c>
      <c r="AM183">
        <f t="shared" si="77"/>
        <v>0</v>
      </c>
      <c r="AN183">
        <f t="shared" si="77"/>
        <v>0</v>
      </c>
      <c r="AO183">
        <f t="shared" si="77"/>
        <v>0</v>
      </c>
      <c r="AP183">
        <f t="shared" si="77"/>
        <v>0</v>
      </c>
      <c r="AQ183">
        <f t="shared" si="77"/>
        <v>1</v>
      </c>
      <c r="AR183">
        <f t="shared" si="77"/>
        <v>0</v>
      </c>
      <c r="AS183">
        <f t="shared" si="77"/>
        <v>0</v>
      </c>
      <c r="AT183">
        <f t="shared" si="77"/>
        <v>0</v>
      </c>
      <c r="AU183">
        <f t="shared" si="77"/>
        <v>0</v>
      </c>
      <c r="AV183">
        <f t="shared" si="77"/>
        <v>0</v>
      </c>
      <c r="AW183">
        <f t="shared" si="77"/>
        <v>0</v>
      </c>
      <c r="AX183">
        <f t="shared" si="72"/>
        <v>0</v>
      </c>
      <c r="AY183">
        <f t="shared" si="72"/>
        <v>0</v>
      </c>
      <c r="AZ183">
        <f t="shared" si="72"/>
        <v>0</v>
      </c>
      <c r="BA183">
        <f t="shared" si="73"/>
        <v>1</v>
      </c>
      <c r="BB183">
        <f t="shared" si="74"/>
        <v>0</v>
      </c>
    </row>
    <row r="184" spans="1:54">
      <c r="A184">
        <v>181</v>
      </c>
      <c r="B184" t="s">
        <v>20</v>
      </c>
      <c r="C184" t="s">
        <v>21</v>
      </c>
      <c r="D184" t="s">
        <v>27</v>
      </c>
      <c r="E184" t="s">
        <v>30</v>
      </c>
      <c r="F184" t="s">
        <v>21</v>
      </c>
      <c r="G184" t="s">
        <v>26</v>
      </c>
      <c r="H184" s="3">
        <v>0.16035741622731001</v>
      </c>
      <c r="I184" s="3">
        <v>0.15721372771603701</v>
      </c>
      <c r="J184" s="3">
        <v>0.13694211139201601</v>
      </c>
      <c r="K184" s="3">
        <v>0.144251645535107</v>
      </c>
      <c r="L184" s="3">
        <v>0.103914610390641</v>
      </c>
      <c r="M184" s="3">
        <v>8.1533546895345504E-2</v>
      </c>
      <c r="N184" s="3">
        <v>0.174810318664643</v>
      </c>
      <c r="O184" s="3">
        <v>0.113336679064761</v>
      </c>
      <c r="P184">
        <f t="shared" si="59"/>
        <v>0</v>
      </c>
      <c r="Q184">
        <f t="shared" si="60"/>
        <v>0</v>
      </c>
      <c r="R184">
        <f t="shared" si="61"/>
        <v>0</v>
      </c>
      <c r="S184">
        <f t="shared" si="62"/>
        <v>0</v>
      </c>
      <c r="T184">
        <f t="shared" si="63"/>
        <v>0</v>
      </c>
      <c r="U184">
        <f t="shared" si="64"/>
        <v>0</v>
      </c>
      <c r="V184">
        <f t="shared" si="65"/>
        <v>0</v>
      </c>
      <c r="W184">
        <f t="shared" si="66"/>
        <v>1</v>
      </c>
      <c r="X184">
        <f t="shared" si="67"/>
        <v>0</v>
      </c>
      <c r="Y184">
        <f t="shared" si="68"/>
        <v>0</v>
      </c>
      <c r="Z184">
        <f t="shared" si="69"/>
        <v>0</v>
      </c>
      <c r="AA184">
        <f t="shared" si="70"/>
        <v>0</v>
      </c>
      <c r="AB184">
        <f t="shared" si="53"/>
        <v>0</v>
      </c>
      <c r="AC184">
        <f t="shared" si="54"/>
        <v>0</v>
      </c>
      <c r="AD184">
        <f t="shared" si="55"/>
        <v>0</v>
      </c>
      <c r="AE184">
        <f t="shared" si="56"/>
        <v>0</v>
      </c>
      <c r="AF184">
        <f t="shared" si="57"/>
        <v>1</v>
      </c>
      <c r="AG184">
        <f t="shared" si="58"/>
        <v>0</v>
      </c>
      <c r="AH184">
        <f t="shared" si="71"/>
        <v>0</v>
      </c>
      <c r="AI184">
        <f t="shared" si="77"/>
        <v>0</v>
      </c>
      <c r="AJ184">
        <f t="shared" si="77"/>
        <v>0</v>
      </c>
      <c r="AK184">
        <f t="shared" si="77"/>
        <v>0</v>
      </c>
      <c r="AL184">
        <f t="shared" si="77"/>
        <v>0</v>
      </c>
      <c r="AM184">
        <f t="shared" si="77"/>
        <v>1</v>
      </c>
      <c r="AN184">
        <f t="shared" si="77"/>
        <v>0</v>
      </c>
      <c r="AO184">
        <f t="shared" si="77"/>
        <v>0</v>
      </c>
      <c r="AP184">
        <f t="shared" si="77"/>
        <v>0</v>
      </c>
      <c r="AQ184">
        <f t="shared" si="77"/>
        <v>0</v>
      </c>
      <c r="AR184">
        <f t="shared" si="77"/>
        <v>0</v>
      </c>
      <c r="AS184">
        <f t="shared" si="77"/>
        <v>0</v>
      </c>
      <c r="AT184">
        <f t="shared" si="77"/>
        <v>0</v>
      </c>
      <c r="AU184">
        <f t="shared" si="77"/>
        <v>0</v>
      </c>
      <c r="AV184">
        <f t="shared" si="77"/>
        <v>0</v>
      </c>
      <c r="AW184">
        <f t="shared" si="77"/>
        <v>0</v>
      </c>
      <c r="AX184">
        <f t="shared" si="72"/>
        <v>0</v>
      </c>
      <c r="AY184">
        <f t="shared" si="72"/>
        <v>0</v>
      </c>
      <c r="AZ184">
        <f t="shared" si="72"/>
        <v>0</v>
      </c>
      <c r="BA184">
        <f t="shared" si="73"/>
        <v>1</v>
      </c>
      <c r="BB184">
        <f t="shared" si="74"/>
        <v>0</v>
      </c>
    </row>
    <row r="185" spans="1:54">
      <c r="A185">
        <v>182</v>
      </c>
      <c r="B185" t="s">
        <v>20</v>
      </c>
      <c r="C185" t="s">
        <v>21</v>
      </c>
      <c r="D185" t="s">
        <v>27</v>
      </c>
      <c r="E185" t="s">
        <v>30</v>
      </c>
      <c r="F185" t="s">
        <v>21</v>
      </c>
      <c r="G185" t="s">
        <v>27</v>
      </c>
      <c r="H185" s="3">
        <v>0.54671503765665297</v>
      </c>
      <c r="I185" s="3">
        <v>0.53526493451024504</v>
      </c>
      <c r="J185" s="3">
        <v>0.481883324281216</v>
      </c>
      <c r="K185" s="3">
        <v>0.50039550471920202</v>
      </c>
      <c r="L185" s="3">
        <v>0.43788225693215399</v>
      </c>
      <c r="M185" s="3">
        <v>0.37172607278382302</v>
      </c>
      <c r="N185" s="3">
        <v>0.58240647118301303</v>
      </c>
      <c r="O185" s="3">
        <v>0.43956001735682099</v>
      </c>
      <c r="P185">
        <f t="shared" si="59"/>
        <v>0</v>
      </c>
      <c r="Q185">
        <f t="shared" si="60"/>
        <v>0</v>
      </c>
      <c r="R185">
        <f t="shared" si="61"/>
        <v>0</v>
      </c>
      <c r="S185">
        <f t="shared" si="62"/>
        <v>0</v>
      </c>
      <c r="T185">
        <f t="shared" si="63"/>
        <v>0</v>
      </c>
      <c r="U185">
        <f t="shared" si="64"/>
        <v>0</v>
      </c>
      <c r="V185">
        <f t="shared" si="65"/>
        <v>0</v>
      </c>
      <c r="W185">
        <f t="shared" si="66"/>
        <v>1</v>
      </c>
      <c r="X185">
        <f t="shared" si="67"/>
        <v>0</v>
      </c>
      <c r="Y185">
        <f t="shared" si="68"/>
        <v>0</v>
      </c>
      <c r="Z185">
        <f t="shared" si="69"/>
        <v>0</v>
      </c>
      <c r="AA185">
        <f t="shared" si="70"/>
        <v>0</v>
      </c>
      <c r="AB185">
        <f t="shared" si="53"/>
        <v>0</v>
      </c>
      <c r="AC185">
        <f t="shared" si="54"/>
        <v>0</v>
      </c>
      <c r="AD185">
        <f t="shared" si="55"/>
        <v>1</v>
      </c>
      <c r="AE185">
        <f t="shared" si="56"/>
        <v>0</v>
      </c>
      <c r="AF185">
        <f t="shared" si="57"/>
        <v>1</v>
      </c>
      <c r="AG185">
        <f t="shared" si="58"/>
        <v>0</v>
      </c>
      <c r="AH185">
        <f t="shared" si="71"/>
        <v>1</v>
      </c>
      <c r="AI185">
        <f t="shared" si="77"/>
        <v>0</v>
      </c>
      <c r="AJ185">
        <f t="shared" si="77"/>
        <v>0</v>
      </c>
      <c r="AK185">
        <f t="shared" si="77"/>
        <v>0</v>
      </c>
      <c r="AL185">
        <f t="shared" si="77"/>
        <v>0</v>
      </c>
      <c r="AM185">
        <f t="shared" si="77"/>
        <v>0</v>
      </c>
      <c r="AN185">
        <f t="shared" si="77"/>
        <v>0</v>
      </c>
      <c r="AO185">
        <f t="shared" si="77"/>
        <v>0</v>
      </c>
      <c r="AP185">
        <f t="shared" si="77"/>
        <v>0</v>
      </c>
      <c r="AQ185">
        <f t="shared" si="77"/>
        <v>0</v>
      </c>
      <c r="AR185">
        <f t="shared" si="77"/>
        <v>0</v>
      </c>
      <c r="AS185">
        <f t="shared" si="77"/>
        <v>0</v>
      </c>
      <c r="AT185">
        <f t="shared" si="77"/>
        <v>0</v>
      </c>
      <c r="AU185">
        <f t="shared" si="77"/>
        <v>0</v>
      </c>
      <c r="AV185">
        <f t="shared" si="77"/>
        <v>0</v>
      </c>
      <c r="AW185">
        <f t="shared" si="77"/>
        <v>0</v>
      </c>
      <c r="AX185">
        <f t="shared" si="72"/>
        <v>0</v>
      </c>
      <c r="AY185">
        <f t="shared" si="72"/>
        <v>0</v>
      </c>
      <c r="AZ185">
        <f t="shared" si="72"/>
        <v>0</v>
      </c>
      <c r="BA185">
        <f t="shared" si="73"/>
        <v>0</v>
      </c>
      <c r="BB185">
        <f t="shared" si="74"/>
        <v>0</v>
      </c>
    </row>
    <row r="186" spans="1:54">
      <c r="A186">
        <v>183</v>
      </c>
      <c r="B186" t="s">
        <v>20</v>
      </c>
      <c r="C186" t="s">
        <v>21</v>
      </c>
      <c r="D186" t="s">
        <v>27</v>
      </c>
      <c r="E186" t="s">
        <v>30</v>
      </c>
      <c r="F186" t="s">
        <v>28</v>
      </c>
      <c r="G186" t="s">
        <v>22</v>
      </c>
      <c r="H186" s="3">
        <v>0.108893970129431</v>
      </c>
      <c r="I186" s="3">
        <v>0.105617032649947</v>
      </c>
      <c r="J186" s="3">
        <v>9.0575016388726504E-2</v>
      </c>
      <c r="K186" s="3">
        <v>9.48173947021652E-2</v>
      </c>
      <c r="L186" s="3">
        <v>6.8351664398861298E-2</v>
      </c>
      <c r="M186" s="3">
        <v>5.2294924990303401E-2</v>
      </c>
      <c r="N186" s="3">
        <v>0.121527777777777</v>
      </c>
      <c r="O186" s="3">
        <v>7.2792610512921199E-2</v>
      </c>
      <c r="P186">
        <f t="shared" si="59"/>
        <v>1</v>
      </c>
      <c r="Q186">
        <f t="shared" si="60"/>
        <v>0</v>
      </c>
      <c r="R186">
        <f t="shared" si="61"/>
        <v>0</v>
      </c>
      <c r="S186">
        <f t="shared" si="62"/>
        <v>0</v>
      </c>
      <c r="T186">
        <f t="shared" si="63"/>
        <v>0</v>
      </c>
      <c r="U186">
        <f t="shared" si="64"/>
        <v>0</v>
      </c>
      <c r="V186">
        <f t="shared" si="65"/>
        <v>0</v>
      </c>
      <c r="W186">
        <f t="shared" si="66"/>
        <v>1</v>
      </c>
      <c r="X186">
        <f t="shared" si="67"/>
        <v>0</v>
      </c>
      <c r="Y186">
        <f t="shared" si="68"/>
        <v>0</v>
      </c>
      <c r="Z186">
        <f t="shared" si="69"/>
        <v>0</v>
      </c>
      <c r="AA186">
        <f t="shared" si="70"/>
        <v>0</v>
      </c>
      <c r="AB186">
        <f t="shared" si="53"/>
        <v>0</v>
      </c>
      <c r="AC186">
        <f t="shared" si="54"/>
        <v>0</v>
      </c>
      <c r="AD186">
        <f t="shared" si="55"/>
        <v>0</v>
      </c>
      <c r="AE186">
        <f t="shared" si="56"/>
        <v>0</v>
      </c>
      <c r="AF186">
        <f t="shared" si="57"/>
        <v>0</v>
      </c>
      <c r="AG186">
        <f t="shared" si="58"/>
        <v>0</v>
      </c>
      <c r="AH186">
        <f t="shared" si="71"/>
        <v>0</v>
      </c>
      <c r="AI186">
        <f t="shared" si="77"/>
        <v>0</v>
      </c>
      <c r="AJ186">
        <f t="shared" si="77"/>
        <v>0</v>
      </c>
      <c r="AK186">
        <f t="shared" si="77"/>
        <v>0</v>
      </c>
      <c r="AL186">
        <f t="shared" si="77"/>
        <v>0</v>
      </c>
      <c r="AM186">
        <f t="shared" si="77"/>
        <v>0</v>
      </c>
      <c r="AN186">
        <f t="shared" si="77"/>
        <v>0</v>
      </c>
      <c r="AO186">
        <f t="shared" si="77"/>
        <v>0</v>
      </c>
      <c r="AP186">
        <f t="shared" si="77"/>
        <v>0</v>
      </c>
      <c r="AQ186">
        <f t="shared" si="77"/>
        <v>0</v>
      </c>
      <c r="AR186">
        <f t="shared" si="77"/>
        <v>0</v>
      </c>
      <c r="AS186">
        <f t="shared" si="77"/>
        <v>0</v>
      </c>
      <c r="AT186">
        <f t="shared" si="77"/>
        <v>1</v>
      </c>
      <c r="AU186">
        <f t="shared" si="77"/>
        <v>0</v>
      </c>
      <c r="AV186">
        <f t="shared" si="77"/>
        <v>0</v>
      </c>
      <c r="AW186">
        <f t="shared" si="77"/>
        <v>0</v>
      </c>
      <c r="AX186">
        <f t="shared" si="72"/>
        <v>1</v>
      </c>
      <c r="AY186">
        <f t="shared" si="72"/>
        <v>0</v>
      </c>
      <c r="AZ186">
        <f t="shared" si="72"/>
        <v>0</v>
      </c>
      <c r="BA186">
        <f t="shared" si="73"/>
        <v>0</v>
      </c>
      <c r="BB186">
        <f t="shared" si="74"/>
        <v>0</v>
      </c>
    </row>
    <row r="187" spans="1:54">
      <c r="A187">
        <v>184</v>
      </c>
      <c r="B187" t="s">
        <v>20</v>
      </c>
      <c r="C187" t="s">
        <v>21</v>
      </c>
      <c r="D187" t="s">
        <v>27</v>
      </c>
      <c r="E187" t="s">
        <v>30</v>
      </c>
      <c r="F187" t="s">
        <v>28</v>
      </c>
      <c r="G187" t="s">
        <v>23</v>
      </c>
      <c r="H187" s="3">
        <v>0.12914403564194599</v>
      </c>
      <c r="I187" s="3">
        <v>0.12485739093595501</v>
      </c>
      <c r="J187" s="3">
        <v>0.105925463739883</v>
      </c>
      <c r="K187" s="3">
        <v>0.11170537881822901</v>
      </c>
      <c r="L187" s="3">
        <v>8.0423273058452899E-2</v>
      </c>
      <c r="M187" s="3">
        <v>6.1551227776692301E-2</v>
      </c>
      <c r="N187" s="3">
        <v>0.14409722222222199</v>
      </c>
      <c r="O187" s="3">
        <v>8.3596228298692399E-2</v>
      </c>
      <c r="P187">
        <f t="shared" si="59"/>
        <v>0</v>
      </c>
      <c r="Q187">
        <f t="shared" si="60"/>
        <v>1</v>
      </c>
      <c r="R187">
        <f t="shared" si="61"/>
        <v>0</v>
      </c>
      <c r="S187">
        <f t="shared" si="62"/>
        <v>0</v>
      </c>
      <c r="T187">
        <f t="shared" si="63"/>
        <v>0</v>
      </c>
      <c r="U187">
        <f t="shared" si="64"/>
        <v>0</v>
      </c>
      <c r="V187">
        <f t="shared" si="65"/>
        <v>0</v>
      </c>
      <c r="W187">
        <f t="shared" si="66"/>
        <v>1</v>
      </c>
      <c r="X187">
        <f t="shared" si="67"/>
        <v>0</v>
      </c>
      <c r="Y187">
        <f t="shared" si="68"/>
        <v>0</v>
      </c>
      <c r="Z187">
        <f t="shared" si="69"/>
        <v>0</v>
      </c>
      <c r="AA187">
        <f t="shared" si="70"/>
        <v>0</v>
      </c>
      <c r="AB187">
        <f t="shared" si="53"/>
        <v>0</v>
      </c>
      <c r="AC187">
        <f t="shared" si="54"/>
        <v>0</v>
      </c>
      <c r="AD187">
        <f t="shared" si="55"/>
        <v>0</v>
      </c>
      <c r="AE187">
        <f t="shared" si="56"/>
        <v>0</v>
      </c>
      <c r="AF187">
        <f t="shared" si="57"/>
        <v>0</v>
      </c>
      <c r="AG187">
        <f t="shared" si="58"/>
        <v>0</v>
      </c>
      <c r="AH187">
        <f t="shared" si="71"/>
        <v>0</v>
      </c>
      <c r="AI187">
        <f t="shared" si="77"/>
        <v>0</v>
      </c>
      <c r="AJ187">
        <f t="shared" si="77"/>
        <v>0</v>
      </c>
      <c r="AK187">
        <f t="shared" si="77"/>
        <v>0</v>
      </c>
      <c r="AL187">
        <f t="shared" si="77"/>
        <v>0</v>
      </c>
      <c r="AM187">
        <f t="shared" si="77"/>
        <v>0</v>
      </c>
      <c r="AN187">
        <f t="shared" si="77"/>
        <v>0</v>
      </c>
      <c r="AO187">
        <f t="shared" si="77"/>
        <v>0</v>
      </c>
      <c r="AP187">
        <f t="shared" si="77"/>
        <v>0</v>
      </c>
      <c r="AQ187">
        <f t="shared" si="77"/>
        <v>0</v>
      </c>
      <c r="AR187">
        <f t="shared" si="77"/>
        <v>0</v>
      </c>
      <c r="AS187">
        <f t="shared" si="77"/>
        <v>0</v>
      </c>
      <c r="AT187">
        <f t="shared" si="77"/>
        <v>0</v>
      </c>
      <c r="AU187">
        <f t="shared" si="77"/>
        <v>0</v>
      </c>
      <c r="AV187">
        <f t="shared" si="77"/>
        <v>1</v>
      </c>
      <c r="AW187">
        <f t="shared" si="77"/>
        <v>0</v>
      </c>
      <c r="AX187">
        <f t="shared" si="72"/>
        <v>1</v>
      </c>
      <c r="AY187">
        <f t="shared" si="72"/>
        <v>0</v>
      </c>
      <c r="AZ187">
        <f t="shared" si="72"/>
        <v>0</v>
      </c>
      <c r="BA187">
        <f t="shared" si="73"/>
        <v>0</v>
      </c>
      <c r="BB187">
        <f t="shared" si="74"/>
        <v>0</v>
      </c>
    </row>
    <row r="188" spans="1:54">
      <c r="A188">
        <v>185</v>
      </c>
      <c r="B188" t="s">
        <v>20</v>
      </c>
      <c r="C188" t="s">
        <v>21</v>
      </c>
      <c r="D188" t="s">
        <v>27</v>
      </c>
      <c r="E188" t="s">
        <v>30</v>
      </c>
      <c r="F188" t="s">
        <v>28</v>
      </c>
      <c r="G188" t="s">
        <v>24</v>
      </c>
      <c r="H188" s="3">
        <v>0.19830400278702501</v>
      </c>
      <c r="I188" s="3">
        <v>0.19668039369769899</v>
      </c>
      <c r="J188" s="3">
        <v>0.162302839632989</v>
      </c>
      <c r="K188" s="3">
        <v>0.17474334542093001</v>
      </c>
      <c r="L188" s="3">
        <v>0.119975366088174</v>
      </c>
      <c r="M188" s="3">
        <v>9.1102716928234906E-2</v>
      </c>
      <c r="N188" s="3">
        <v>0.229116945107398</v>
      </c>
      <c r="O188" s="3">
        <v>0.12650324547039499</v>
      </c>
      <c r="P188">
        <f t="shared" si="59"/>
        <v>0</v>
      </c>
      <c r="Q188">
        <f t="shared" si="60"/>
        <v>0</v>
      </c>
      <c r="R188">
        <f t="shared" si="61"/>
        <v>1</v>
      </c>
      <c r="S188">
        <f t="shared" si="62"/>
        <v>0</v>
      </c>
      <c r="T188">
        <f t="shared" si="63"/>
        <v>0</v>
      </c>
      <c r="U188">
        <f t="shared" si="64"/>
        <v>0</v>
      </c>
      <c r="V188">
        <f t="shared" si="65"/>
        <v>0</v>
      </c>
      <c r="W188">
        <f t="shared" si="66"/>
        <v>1</v>
      </c>
      <c r="X188">
        <f t="shared" si="67"/>
        <v>0</v>
      </c>
      <c r="Y188">
        <f t="shared" si="68"/>
        <v>0</v>
      </c>
      <c r="Z188">
        <f t="shared" si="69"/>
        <v>0</v>
      </c>
      <c r="AA188">
        <f t="shared" si="70"/>
        <v>0</v>
      </c>
      <c r="AB188">
        <f t="shared" si="53"/>
        <v>0</v>
      </c>
      <c r="AC188">
        <f t="shared" si="54"/>
        <v>0</v>
      </c>
      <c r="AD188">
        <f t="shared" si="55"/>
        <v>1</v>
      </c>
      <c r="AE188">
        <f t="shared" si="56"/>
        <v>0</v>
      </c>
      <c r="AF188">
        <f t="shared" si="57"/>
        <v>0</v>
      </c>
      <c r="AG188">
        <f t="shared" si="58"/>
        <v>0</v>
      </c>
      <c r="AH188">
        <f t="shared" si="71"/>
        <v>1</v>
      </c>
      <c r="AI188">
        <f t="shared" ref="AI188:AW204" si="78">IF(OR(AND($D188=AI$1,$G188=AI$2),AND($D188=AI$2,$G188=AI$1)),1,0)</f>
        <v>0</v>
      </c>
      <c r="AJ188">
        <f t="shared" si="78"/>
        <v>0</v>
      </c>
      <c r="AK188">
        <f t="shared" si="78"/>
        <v>0</v>
      </c>
      <c r="AL188">
        <f t="shared" si="78"/>
        <v>0</v>
      </c>
      <c r="AM188">
        <f t="shared" si="78"/>
        <v>0</v>
      </c>
      <c r="AN188">
        <f t="shared" si="78"/>
        <v>0</v>
      </c>
      <c r="AO188">
        <f t="shared" si="78"/>
        <v>0</v>
      </c>
      <c r="AP188">
        <f t="shared" si="78"/>
        <v>0</v>
      </c>
      <c r="AQ188">
        <f t="shared" si="78"/>
        <v>0</v>
      </c>
      <c r="AR188">
        <f t="shared" si="78"/>
        <v>0</v>
      </c>
      <c r="AS188">
        <f t="shared" si="78"/>
        <v>0</v>
      </c>
      <c r="AT188">
        <f t="shared" si="78"/>
        <v>0</v>
      </c>
      <c r="AU188">
        <f t="shared" si="78"/>
        <v>0</v>
      </c>
      <c r="AV188">
        <f t="shared" si="78"/>
        <v>0</v>
      </c>
      <c r="AW188">
        <f t="shared" si="78"/>
        <v>1</v>
      </c>
      <c r="AX188">
        <f t="shared" si="72"/>
        <v>1</v>
      </c>
      <c r="AY188">
        <f t="shared" si="72"/>
        <v>0</v>
      </c>
      <c r="AZ188">
        <f t="shared" si="72"/>
        <v>0</v>
      </c>
      <c r="BA188">
        <f t="shared" si="73"/>
        <v>0</v>
      </c>
      <c r="BB188">
        <f t="shared" si="74"/>
        <v>0</v>
      </c>
    </row>
    <row r="189" spans="1:54">
      <c r="A189">
        <v>186</v>
      </c>
      <c r="B189" t="s">
        <v>20</v>
      </c>
      <c r="C189" t="s">
        <v>21</v>
      </c>
      <c r="D189" t="s">
        <v>27</v>
      </c>
      <c r="E189" t="s">
        <v>30</v>
      </c>
      <c r="F189" t="s">
        <v>28</v>
      </c>
      <c r="G189" t="s">
        <v>25</v>
      </c>
      <c r="H189" s="3">
        <v>0.15663332017693499</v>
      </c>
      <c r="I189" s="3">
        <v>0.153470777498705</v>
      </c>
      <c r="J189" s="3">
        <v>0.13378708893498101</v>
      </c>
      <c r="K189" s="3">
        <v>0.14097891469624399</v>
      </c>
      <c r="L189" s="3">
        <v>0.101346012679467</v>
      </c>
      <c r="M189" s="3">
        <v>7.9733687493638405E-2</v>
      </c>
      <c r="N189" s="3">
        <v>0.17031342400946101</v>
      </c>
      <c r="O189" s="3">
        <v>0.110635583831377</v>
      </c>
      <c r="P189">
        <f t="shared" si="59"/>
        <v>0</v>
      </c>
      <c r="Q189">
        <f t="shared" si="60"/>
        <v>0</v>
      </c>
      <c r="R189">
        <f t="shared" si="61"/>
        <v>0</v>
      </c>
      <c r="S189">
        <f t="shared" si="62"/>
        <v>0</v>
      </c>
      <c r="T189">
        <f t="shared" si="63"/>
        <v>0</v>
      </c>
      <c r="U189">
        <f t="shared" si="64"/>
        <v>0</v>
      </c>
      <c r="V189">
        <f t="shared" si="65"/>
        <v>0</v>
      </c>
      <c r="W189">
        <f t="shared" si="66"/>
        <v>1</v>
      </c>
      <c r="X189">
        <f t="shared" si="67"/>
        <v>0</v>
      </c>
      <c r="Y189">
        <f t="shared" si="68"/>
        <v>0</v>
      </c>
      <c r="Z189">
        <f t="shared" si="69"/>
        <v>0</v>
      </c>
      <c r="AA189">
        <f t="shared" si="70"/>
        <v>0</v>
      </c>
      <c r="AB189">
        <f t="shared" si="53"/>
        <v>0</v>
      </c>
      <c r="AC189">
        <f t="shared" si="54"/>
        <v>0</v>
      </c>
      <c r="AD189">
        <f t="shared" si="55"/>
        <v>0</v>
      </c>
      <c r="AE189">
        <f t="shared" si="56"/>
        <v>0</v>
      </c>
      <c r="AF189">
        <f t="shared" si="57"/>
        <v>0</v>
      </c>
      <c r="AG189">
        <f t="shared" si="58"/>
        <v>0</v>
      </c>
      <c r="AH189">
        <f t="shared" si="71"/>
        <v>0</v>
      </c>
      <c r="AI189">
        <f t="shared" si="78"/>
        <v>0</v>
      </c>
      <c r="AJ189">
        <f t="shared" si="78"/>
        <v>0</v>
      </c>
      <c r="AK189">
        <f t="shared" si="78"/>
        <v>0</v>
      </c>
      <c r="AL189">
        <f t="shared" si="78"/>
        <v>0</v>
      </c>
      <c r="AM189">
        <f t="shared" si="78"/>
        <v>0</v>
      </c>
      <c r="AN189">
        <f t="shared" si="78"/>
        <v>0</v>
      </c>
      <c r="AO189">
        <f t="shared" si="78"/>
        <v>0</v>
      </c>
      <c r="AP189">
        <f t="shared" si="78"/>
        <v>0</v>
      </c>
      <c r="AQ189">
        <f t="shared" si="78"/>
        <v>1</v>
      </c>
      <c r="AR189">
        <f t="shared" si="78"/>
        <v>0</v>
      </c>
      <c r="AS189">
        <f t="shared" si="78"/>
        <v>0</v>
      </c>
      <c r="AT189">
        <f t="shared" si="78"/>
        <v>0</v>
      </c>
      <c r="AU189">
        <f t="shared" si="78"/>
        <v>0</v>
      </c>
      <c r="AV189">
        <f t="shared" si="78"/>
        <v>0</v>
      </c>
      <c r="AW189">
        <f t="shared" si="78"/>
        <v>0</v>
      </c>
      <c r="AX189">
        <f t="shared" si="72"/>
        <v>1</v>
      </c>
      <c r="AY189">
        <f t="shared" si="72"/>
        <v>0</v>
      </c>
      <c r="AZ189">
        <f t="shared" si="72"/>
        <v>0</v>
      </c>
      <c r="BA189">
        <f t="shared" si="73"/>
        <v>1</v>
      </c>
      <c r="BB189">
        <f t="shared" si="74"/>
        <v>0</v>
      </c>
    </row>
    <row r="190" spans="1:54">
      <c r="A190">
        <v>187</v>
      </c>
      <c r="B190" t="s">
        <v>20</v>
      </c>
      <c r="C190" t="s">
        <v>21</v>
      </c>
      <c r="D190" t="s">
        <v>27</v>
      </c>
      <c r="E190" t="s">
        <v>30</v>
      </c>
      <c r="F190" t="s">
        <v>28</v>
      </c>
      <c r="G190" t="s">
        <v>26</v>
      </c>
      <c r="H190" s="3">
        <v>0.15904901136136601</v>
      </c>
      <c r="I190" s="3">
        <v>0.155861539905298</v>
      </c>
      <c r="J190" s="3">
        <v>0.13579971924886899</v>
      </c>
      <c r="K190" s="3">
        <v>0.14319485390966399</v>
      </c>
      <c r="L190" s="3">
        <v>0.102875746055762</v>
      </c>
      <c r="M190" s="3">
        <v>8.1067061297515106E-2</v>
      </c>
      <c r="N190" s="3">
        <v>0.17292104473131101</v>
      </c>
      <c r="O190" s="3">
        <v>0.11225270859884801</v>
      </c>
      <c r="P190">
        <f t="shared" si="59"/>
        <v>0</v>
      </c>
      <c r="Q190">
        <f t="shared" si="60"/>
        <v>0</v>
      </c>
      <c r="R190">
        <f t="shared" si="61"/>
        <v>0</v>
      </c>
      <c r="S190">
        <f t="shared" si="62"/>
        <v>0</v>
      </c>
      <c r="T190">
        <f t="shared" si="63"/>
        <v>0</v>
      </c>
      <c r="U190">
        <f t="shared" si="64"/>
        <v>0</v>
      </c>
      <c r="V190">
        <f t="shared" si="65"/>
        <v>0</v>
      </c>
      <c r="W190">
        <f t="shared" si="66"/>
        <v>1</v>
      </c>
      <c r="X190">
        <f t="shared" si="67"/>
        <v>0</v>
      </c>
      <c r="Y190">
        <f t="shared" si="68"/>
        <v>0</v>
      </c>
      <c r="Z190">
        <f t="shared" si="69"/>
        <v>0</v>
      </c>
      <c r="AA190">
        <f t="shared" si="70"/>
        <v>0</v>
      </c>
      <c r="AB190">
        <f t="shared" si="53"/>
        <v>0</v>
      </c>
      <c r="AC190">
        <f t="shared" si="54"/>
        <v>0</v>
      </c>
      <c r="AD190">
        <f t="shared" si="55"/>
        <v>0</v>
      </c>
      <c r="AE190">
        <f t="shared" si="56"/>
        <v>0</v>
      </c>
      <c r="AF190">
        <f t="shared" si="57"/>
        <v>0</v>
      </c>
      <c r="AG190">
        <f t="shared" si="58"/>
        <v>0</v>
      </c>
      <c r="AH190">
        <f t="shared" si="71"/>
        <v>0</v>
      </c>
      <c r="AI190">
        <f t="shared" si="78"/>
        <v>0</v>
      </c>
      <c r="AJ190">
        <f t="shared" si="78"/>
        <v>0</v>
      </c>
      <c r="AK190">
        <f t="shared" si="78"/>
        <v>0</v>
      </c>
      <c r="AL190">
        <f t="shared" si="78"/>
        <v>0</v>
      </c>
      <c r="AM190">
        <f t="shared" si="78"/>
        <v>1</v>
      </c>
      <c r="AN190">
        <f t="shared" si="78"/>
        <v>0</v>
      </c>
      <c r="AO190">
        <f t="shared" si="78"/>
        <v>0</v>
      </c>
      <c r="AP190">
        <f t="shared" si="78"/>
        <v>0</v>
      </c>
      <c r="AQ190">
        <f t="shared" si="78"/>
        <v>0</v>
      </c>
      <c r="AR190">
        <f t="shared" si="78"/>
        <v>0</v>
      </c>
      <c r="AS190">
        <f t="shared" si="78"/>
        <v>0</v>
      </c>
      <c r="AT190">
        <f t="shared" si="78"/>
        <v>0</v>
      </c>
      <c r="AU190">
        <f t="shared" si="78"/>
        <v>0</v>
      </c>
      <c r="AV190">
        <f t="shared" si="78"/>
        <v>0</v>
      </c>
      <c r="AW190">
        <f t="shared" si="78"/>
        <v>0</v>
      </c>
      <c r="AX190">
        <f t="shared" si="72"/>
        <v>1</v>
      </c>
      <c r="AY190">
        <f t="shared" si="72"/>
        <v>0</v>
      </c>
      <c r="AZ190">
        <f t="shared" si="72"/>
        <v>0</v>
      </c>
      <c r="BA190">
        <f t="shared" si="73"/>
        <v>1</v>
      </c>
      <c r="BB190">
        <f t="shared" si="74"/>
        <v>0</v>
      </c>
    </row>
    <row r="191" spans="1:54">
      <c r="A191">
        <v>188</v>
      </c>
      <c r="B191" t="s">
        <v>20</v>
      </c>
      <c r="C191" t="s">
        <v>21</v>
      </c>
      <c r="D191" t="s">
        <v>27</v>
      </c>
      <c r="E191" t="s">
        <v>30</v>
      </c>
      <c r="F191" t="s">
        <v>28</v>
      </c>
      <c r="G191" t="s">
        <v>27</v>
      </c>
      <c r="H191" s="3">
        <v>0.42632195684743601</v>
      </c>
      <c r="I191" s="3">
        <v>0.423481942851411</v>
      </c>
      <c r="J191" s="3">
        <v>0.36440938983924098</v>
      </c>
      <c r="K191" s="3">
        <v>0.38621916434332298</v>
      </c>
      <c r="L191" s="3">
        <v>0.31445560141851098</v>
      </c>
      <c r="M191" s="3">
        <v>0.25485408222690598</v>
      </c>
      <c r="N191" s="3">
        <v>0.474855729596042</v>
      </c>
      <c r="O191" s="3">
        <v>0.31195850935654201</v>
      </c>
      <c r="P191">
        <f t="shared" si="59"/>
        <v>0</v>
      </c>
      <c r="Q191">
        <f t="shared" si="60"/>
        <v>0</v>
      </c>
      <c r="R191">
        <f t="shared" si="61"/>
        <v>0</v>
      </c>
      <c r="S191">
        <f t="shared" si="62"/>
        <v>1</v>
      </c>
      <c r="T191">
        <f t="shared" si="63"/>
        <v>0</v>
      </c>
      <c r="U191">
        <f t="shared" si="64"/>
        <v>0</v>
      </c>
      <c r="V191">
        <f t="shared" si="65"/>
        <v>0</v>
      </c>
      <c r="W191">
        <f t="shared" si="66"/>
        <v>1</v>
      </c>
      <c r="X191">
        <f t="shared" si="67"/>
        <v>0</v>
      </c>
      <c r="Y191">
        <f t="shared" si="68"/>
        <v>0</v>
      </c>
      <c r="Z191">
        <f t="shared" si="69"/>
        <v>0</v>
      </c>
      <c r="AA191">
        <f t="shared" si="70"/>
        <v>0</v>
      </c>
      <c r="AB191">
        <f t="shared" si="53"/>
        <v>0</v>
      </c>
      <c r="AC191">
        <f t="shared" si="54"/>
        <v>0</v>
      </c>
      <c r="AD191">
        <f t="shared" si="55"/>
        <v>1</v>
      </c>
      <c r="AE191">
        <f t="shared" si="56"/>
        <v>0</v>
      </c>
      <c r="AF191">
        <f t="shared" si="57"/>
        <v>0</v>
      </c>
      <c r="AG191">
        <f t="shared" si="58"/>
        <v>0</v>
      </c>
      <c r="AH191">
        <f t="shared" si="71"/>
        <v>1</v>
      </c>
      <c r="AI191">
        <f t="shared" si="78"/>
        <v>0</v>
      </c>
      <c r="AJ191">
        <f t="shared" si="78"/>
        <v>0</v>
      </c>
      <c r="AK191">
        <f t="shared" si="78"/>
        <v>0</v>
      </c>
      <c r="AL191">
        <f t="shared" si="78"/>
        <v>0</v>
      </c>
      <c r="AM191">
        <f t="shared" si="78"/>
        <v>0</v>
      </c>
      <c r="AN191">
        <f t="shared" si="78"/>
        <v>0</v>
      </c>
      <c r="AO191">
        <f t="shared" si="78"/>
        <v>0</v>
      </c>
      <c r="AP191">
        <f t="shared" si="78"/>
        <v>0</v>
      </c>
      <c r="AQ191">
        <f t="shared" si="78"/>
        <v>0</v>
      </c>
      <c r="AR191">
        <f t="shared" si="78"/>
        <v>0</v>
      </c>
      <c r="AS191">
        <f t="shared" si="78"/>
        <v>0</v>
      </c>
      <c r="AT191">
        <f t="shared" si="78"/>
        <v>0</v>
      </c>
      <c r="AU191">
        <f t="shared" si="78"/>
        <v>0</v>
      </c>
      <c r="AV191">
        <f t="shared" si="78"/>
        <v>0</v>
      </c>
      <c r="AW191">
        <f t="shared" si="78"/>
        <v>0</v>
      </c>
      <c r="AX191">
        <f t="shared" si="72"/>
        <v>1</v>
      </c>
      <c r="AY191">
        <f t="shared" si="72"/>
        <v>0</v>
      </c>
      <c r="AZ191">
        <f t="shared" si="72"/>
        <v>0</v>
      </c>
      <c r="BA191">
        <f t="shared" si="73"/>
        <v>0</v>
      </c>
      <c r="BB191">
        <f t="shared" si="74"/>
        <v>0</v>
      </c>
    </row>
    <row r="192" spans="1:54">
      <c r="A192">
        <v>189</v>
      </c>
      <c r="B192" t="s">
        <v>20</v>
      </c>
      <c r="C192" t="s">
        <v>21</v>
      </c>
      <c r="D192" t="s">
        <v>27</v>
      </c>
      <c r="E192" t="s">
        <v>30</v>
      </c>
      <c r="F192" t="s">
        <v>29</v>
      </c>
      <c r="G192" t="s">
        <v>22</v>
      </c>
      <c r="H192" s="3">
        <v>0.20221382485956799</v>
      </c>
      <c r="I192" s="3">
        <v>0.197501737585799</v>
      </c>
      <c r="J192" s="3">
        <v>0.171005296170472</v>
      </c>
      <c r="K192" s="3">
        <v>0.17967248712496101</v>
      </c>
      <c r="L192" s="3">
        <v>0.12919679762300099</v>
      </c>
      <c r="M192" s="3">
        <v>0.100727845744584</v>
      </c>
      <c r="N192" s="3">
        <v>0.221794378128609</v>
      </c>
      <c r="O192" s="3">
        <v>0.139800358219867</v>
      </c>
      <c r="P192">
        <f t="shared" si="59"/>
        <v>0</v>
      </c>
      <c r="Q192">
        <f t="shared" si="60"/>
        <v>0</v>
      </c>
      <c r="R192">
        <f t="shared" si="61"/>
        <v>0</v>
      </c>
      <c r="S192">
        <f t="shared" si="62"/>
        <v>0</v>
      </c>
      <c r="T192">
        <f t="shared" si="63"/>
        <v>0</v>
      </c>
      <c r="U192">
        <f t="shared" si="64"/>
        <v>0</v>
      </c>
      <c r="V192">
        <f t="shared" si="65"/>
        <v>0</v>
      </c>
      <c r="W192">
        <f t="shared" si="66"/>
        <v>1</v>
      </c>
      <c r="X192">
        <f t="shared" si="67"/>
        <v>1</v>
      </c>
      <c r="Y192">
        <f t="shared" si="68"/>
        <v>0</v>
      </c>
      <c r="Z192">
        <f t="shared" si="69"/>
        <v>0</v>
      </c>
      <c r="AA192">
        <f t="shared" si="70"/>
        <v>0</v>
      </c>
      <c r="AB192">
        <f t="shared" si="53"/>
        <v>0</v>
      </c>
      <c r="AC192">
        <f t="shared" si="54"/>
        <v>0</v>
      </c>
      <c r="AD192">
        <f t="shared" si="55"/>
        <v>0</v>
      </c>
      <c r="AE192">
        <f t="shared" si="56"/>
        <v>0</v>
      </c>
      <c r="AF192">
        <f t="shared" si="57"/>
        <v>0</v>
      </c>
      <c r="AG192">
        <f t="shared" si="58"/>
        <v>0</v>
      </c>
      <c r="AH192">
        <f t="shared" si="71"/>
        <v>0</v>
      </c>
      <c r="AI192">
        <f t="shared" si="78"/>
        <v>0</v>
      </c>
      <c r="AJ192">
        <f t="shared" si="78"/>
        <v>0</v>
      </c>
      <c r="AK192">
        <f t="shared" si="78"/>
        <v>0</v>
      </c>
      <c r="AL192">
        <f t="shared" si="78"/>
        <v>0</v>
      </c>
      <c r="AM192">
        <f t="shared" si="78"/>
        <v>0</v>
      </c>
      <c r="AN192">
        <f t="shared" si="78"/>
        <v>0</v>
      </c>
      <c r="AO192">
        <f t="shared" si="78"/>
        <v>0</v>
      </c>
      <c r="AP192">
        <f t="shared" si="78"/>
        <v>0</v>
      </c>
      <c r="AQ192">
        <f t="shared" si="78"/>
        <v>0</v>
      </c>
      <c r="AR192">
        <f t="shared" si="78"/>
        <v>0</v>
      </c>
      <c r="AS192">
        <f t="shared" si="78"/>
        <v>0</v>
      </c>
      <c r="AT192">
        <f t="shared" si="78"/>
        <v>1</v>
      </c>
      <c r="AU192">
        <f t="shared" si="78"/>
        <v>0</v>
      </c>
      <c r="AV192">
        <f t="shared" si="78"/>
        <v>0</v>
      </c>
      <c r="AW192">
        <f t="shared" si="78"/>
        <v>0</v>
      </c>
      <c r="AX192">
        <f t="shared" si="72"/>
        <v>0</v>
      </c>
      <c r="AY192">
        <f t="shared" si="72"/>
        <v>0</v>
      </c>
      <c r="AZ192">
        <f t="shared" si="72"/>
        <v>1</v>
      </c>
      <c r="BA192">
        <f t="shared" si="73"/>
        <v>0</v>
      </c>
      <c r="BB192">
        <f t="shared" si="74"/>
        <v>1</v>
      </c>
    </row>
    <row r="193" spans="1:54">
      <c r="A193">
        <v>190</v>
      </c>
      <c r="B193" t="s">
        <v>20</v>
      </c>
      <c r="C193" t="s">
        <v>21</v>
      </c>
      <c r="D193" t="s">
        <v>27</v>
      </c>
      <c r="E193" t="s">
        <v>30</v>
      </c>
      <c r="F193" t="s">
        <v>29</v>
      </c>
      <c r="G193" t="s">
        <v>23</v>
      </c>
      <c r="H193" s="3">
        <v>0.167563896338701</v>
      </c>
      <c r="I193" s="3">
        <v>0.16170771297876299</v>
      </c>
      <c r="J193" s="3">
        <v>0.14071781190256399</v>
      </c>
      <c r="K193" s="3">
        <v>0.144726786432368</v>
      </c>
      <c r="L193" s="3">
        <v>0.10595079556062401</v>
      </c>
      <c r="M193" s="3">
        <v>8.1953879512054906E-2</v>
      </c>
      <c r="N193" s="3">
        <v>0.18576388888888801</v>
      </c>
      <c r="O193" s="3">
        <v>0.111975110234414</v>
      </c>
      <c r="P193">
        <f t="shared" si="59"/>
        <v>0</v>
      </c>
      <c r="Q193">
        <f t="shared" si="60"/>
        <v>0</v>
      </c>
      <c r="R193">
        <f t="shared" si="61"/>
        <v>0</v>
      </c>
      <c r="S193">
        <f t="shared" si="62"/>
        <v>0</v>
      </c>
      <c r="T193">
        <f t="shared" si="63"/>
        <v>0</v>
      </c>
      <c r="U193">
        <f t="shared" si="64"/>
        <v>0</v>
      </c>
      <c r="V193">
        <f t="shared" si="65"/>
        <v>0</v>
      </c>
      <c r="W193">
        <f t="shared" si="66"/>
        <v>1</v>
      </c>
      <c r="X193">
        <f t="shared" si="67"/>
        <v>0</v>
      </c>
      <c r="Y193">
        <f t="shared" si="68"/>
        <v>1</v>
      </c>
      <c r="Z193">
        <f t="shared" si="69"/>
        <v>0</v>
      </c>
      <c r="AA193">
        <f t="shared" si="70"/>
        <v>0</v>
      </c>
      <c r="AB193">
        <f t="shared" si="53"/>
        <v>0</v>
      </c>
      <c r="AC193">
        <f t="shared" si="54"/>
        <v>0</v>
      </c>
      <c r="AD193">
        <f t="shared" si="55"/>
        <v>0</v>
      </c>
      <c r="AE193">
        <f t="shared" si="56"/>
        <v>0</v>
      </c>
      <c r="AF193">
        <f t="shared" si="57"/>
        <v>0</v>
      </c>
      <c r="AG193">
        <f t="shared" si="58"/>
        <v>0</v>
      </c>
      <c r="AH193">
        <f t="shared" si="71"/>
        <v>0</v>
      </c>
      <c r="AI193">
        <f t="shared" si="78"/>
        <v>0</v>
      </c>
      <c r="AJ193">
        <f t="shared" si="78"/>
        <v>0</v>
      </c>
      <c r="AK193">
        <f t="shared" si="78"/>
        <v>0</v>
      </c>
      <c r="AL193">
        <f t="shared" si="78"/>
        <v>0</v>
      </c>
      <c r="AM193">
        <f t="shared" si="78"/>
        <v>0</v>
      </c>
      <c r="AN193">
        <f t="shared" si="78"/>
        <v>0</v>
      </c>
      <c r="AO193">
        <f t="shared" si="78"/>
        <v>0</v>
      </c>
      <c r="AP193">
        <f t="shared" si="78"/>
        <v>0</v>
      </c>
      <c r="AQ193">
        <f t="shared" si="78"/>
        <v>0</v>
      </c>
      <c r="AR193">
        <f t="shared" si="78"/>
        <v>0</v>
      </c>
      <c r="AS193">
        <f t="shared" si="78"/>
        <v>0</v>
      </c>
      <c r="AT193">
        <f t="shared" si="78"/>
        <v>0</v>
      </c>
      <c r="AU193">
        <f t="shared" si="78"/>
        <v>0</v>
      </c>
      <c r="AV193">
        <f t="shared" si="78"/>
        <v>1</v>
      </c>
      <c r="AW193">
        <f t="shared" si="78"/>
        <v>0</v>
      </c>
      <c r="AX193">
        <f t="shared" si="72"/>
        <v>0</v>
      </c>
      <c r="AY193">
        <f t="shared" si="72"/>
        <v>0</v>
      </c>
      <c r="AZ193">
        <f t="shared" si="72"/>
        <v>1</v>
      </c>
      <c r="BA193">
        <f t="shared" si="73"/>
        <v>0</v>
      </c>
      <c r="BB193">
        <f t="shared" si="74"/>
        <v>1</v>
      </c>
    </row>
    <row r="194" spans="1:54">
      <c r="A194">
        <v>191</v>
      </c>
      <c r="B194" t="s">
        <v>20</v>
      </c>
      <c r="C194" t="s">
        <v>21</v>
      </c>
      <c r="D194" t="s">
        <v>27</v>
      </c>
      <c r="E194" t="s">
        <v>30</v>
      </c>
      <c r="F194" t="s">
        <v>29</v>
      </c>
      <c r="G194" t="s">
        <v>24</v>
      </c>
      <c r="H194" s="3">
        <v>0.29127744221326102</v>
      </c>
      <c r="I194" s="3">
        <v>0.28328511803430501</v>
      </c>
      <c r="J194" s="3">
        <v>0.24400728034265301</v>
      </c>
      <c r="K194" s="3">
        <v>0.252223774392561</v>
      </c>
      <c r="L194" s="3">
        <v>0.17579615443021401</v>
      </c>
      <c r="M194" s="3">
        <v>0.133050835397825</v>
      </c>
      <c r="N194" s="3">
        <v>0.331224841863139</v>
      </c>
      <c r="O194" s="3">
        <v>0.19353234504285299</v>
      </c>
      <c r="P194">
        <f t="shared" si="59"/>
        <v>0</v>
      </c>
      <c r="Q194">
        <f t="shared" si="60"/>
        <v>0</v>
      </c>
      <c r="R194">
        <f t="shared" si="61"/>
        <v>0</v>
      </c>
      <c r="S194">
        <f t="shared" si="62"/>
        <v>0</v>
      </c>
      <c r="T194">
        <f t="shared" si="63"/>
        <v>0</v>
      </c>
      <c r="U194">
        <f t="shared" si="64"/>
        <v>0</v>
      </c>
      <c r="V194">
        <f t="shared" si="65"/>
        <v>0</v>
      </c>
      <c r="W194">
        <f t="shared" si="66"/>
        <v>1</v>
      </c>
      <c r="X194">
        <f t="shared" si="67"/>
        <v>0</v>
      </c>
      <c r="Y194">
        <f t="shared" si="68"/>
        <v>0</v>
      </c>
      <c r="Z194">
        <f t="shared" si="69"/>
        <v>0</v>
      </c>
      <c r="AA194">
        <f t="shared" si="70"/>
        <v>1</v>
      </c>
      <c r="AB194">
        <f t="shared" si="53"/>
        <v>0</v>
      </c>
      <c r="AC194">
        <f t="shared" si="54"/>
        <v>0</v>
      </c>
      <c r="AD194">
        <f t="shared" si="55"/>
        <v>1</v>
      </c>
      <c r="AE194">
        <f t="shared" si="56"/>
        <v>0</v>
      </c>
      <c r="AF194">
        <f t="shared" si="57"/>
        <v>0</v>
      </c>
      <c r="AG194">
        <f t="shared" si="58"/>
        <v>0</v>
      </c>
      <c r="AH194">
        <f t="shared" si="71"/>
        <v>1</v>
      </c>
      <c r="AI194">
        <f t="shared" si="78"/>
        <v>0</v>
      </c>
      <c r="AJ194">
        <f t="shared" si="78"/>
        <v>0</v>
      </c>
      <c r="AK194">
        <f t="shared" si="78"/>
        <v>0</v>
      </c>
      <c r="AL194">
        <f t="shared" si="78"/>
        <v>0</v>
      </c>
      <c r="AM194">
        <f t="shared" si="78"/>
        <v>0</v>
      </c>
      <c r="AN194">
        <f t="shared" si="78"/>
        <v>0</v>
      </c>
      <c r="AO194">
        <f t="shared" si="78"/>
        <v>0</v>
      </c>
      <c r="AP194">
        <f t="shared" si="78"/>
        <v>0</v>
      </c>
      <c r="AQ194">
        <f t="shared" si="78"/>
        <v>0</v>
      </c>
      <c r="AR194">
        <f t="shared" si="78"/>
        <v>0</v>
      </c>
      <c r="AS194">
        <f t="shared" si="78"/>
        <v>0</v>
      </c>
      <c r="AT194">
        <f t="shared" si="78"/>
        <v>0</v>
      </c>
      <c r="AU194">
        <f t="shared" si="78"/>
        <v>0</v>
      </c>
      <c r="AV194">
        <f t="shared" si="78"/>
        <v>0</v>
      </c>
      <c r="AW194">
        <f t="shared" si="78"/>
        <v>1</v>
      </c>
      <c r="AX194">
        <f t="shared" si="72"/>
        <v>0</v>
      </c>
      <c r="AY194">
        <f t="shared" si="72"/>
        <v>0</v>
      </c>
      <c r="AZ194">
        <f t="shared" si="72"/>
        <v>1</v>
      </c>
      <c r="BA194">
        <f t="shared" si="73"/>
        <v>0</v>
      </c>
      <c r="BB194">
        <f t="shared" si="74"/>
        <v>1</v>
      </c>
    </row>
    <row r="195" spans="1:54">
      <c r="A195">
        <v>192</v>
      </c>
      <c r="B195" t="s">
        <v>20</v>
      </c>
      <c r="C195" t="s">
        <v>21</v>
      </c>
      <c r="D195" t="s">
        <v>27</v>
      </c>
      <c r="E195" t="s">
        <v>30</v>
      </c>
      <c r="F195" t="s">
        <v>29</v>
      </c>
      <c r="G195" t="s">
        <v>31</v>
      </c>
      <c r="H195" s="3">
        <v>0.20457022625676899</v>
      </c>
      <c r="I195" s="3">
        <v>0.190411932386755</v>
      </c>
      <c r="J195" s="3">
        <v>0.16879814379272701</v>
      </c>
      <c r="K195" s="3">
        <v>0.16740391435033999</v>
      </c>
      <c r="L195" s="3">
        <v>0.13096141011099899</v>
      </c>
      <c r="M195" s="3">
        <v>0.10189351750382999</v>
      </c>
      <c r="N195" s="3">
        <v>0.22439236111111099</v>
      </c>
      <c r="O195" s="3">
        <v>0.13410123199552901</v>
      </c>
      <c r="P195">
        <f t="shared" si="59"/>
        <v>0</v>
      </c>
      <c r="Q195">
        <f t="shared" si="60"/>
        <v>0</v>
      </c>
      <c r="R195">
        <f t="shared" si="61"/>
        <v>0</v>
      </c>
      <c r="S195">
        <f t="shared" si="62"/>
        <v>0</v>
      </c>
      <c r="T195">
        <f t="shared" si="63"/>
        <v>0</v>
      </c>
      <c r="U195">
        <f t="shared" si="64"/>
        <v>0</v>
      </c>
      <c r="V195">
        <f t="shared" si="65"/>
        <v>0</v>
      </c>
      <c r="W195">
        <f t="shared" si="66"/>
        <v>1</v>
      </c>
      <c r="X195">
        <f t="shared" si="67"/>
        <v>0</v>
      </c>
      <c r="Y195">
        <f t="shared" si="68"/>
        <v>0</v>
      </c>
      <c r="Z195">
        <f t="shared" si="69"/>
        <v>1</v>
      </c>
      <c r="AA195">
        <f t="shared" si="70"/>
        <v>0</v>
      </c>
      <c r="AB195">
        <f t="shared" ref="AB195:AB258" si="79">IF(AND(AND(C195="windows",D195="clang"),AND(F195="windows",G195="clang")),1,0)</f>
        <v>0</v>
      </c>
      <c r="AC195">
        <f t="shared" ref="AC195:AC258" si="80">IF(AND(OR(D195="clang",D195="gcc",D195="msvc"),OR(G195="gcc",G195="clang",G195="msvc")),1,0)</f>
        <v>0</v>
      </c>
      <c r="AD195">
        <f t="shared" ref="AD195:AD258" si="81">IF(AND(OR(D195="go",D195="tgo"),OR(G195="go",G195="tgo")),1,0)</f>
        <v>0</v>
      </c>
      <c r="AE195">
        <f t="shared" ref="AE195:AE258" si="82">IF(AND(OR(D195="rs-pure",D195="rs-sys"),OR(G195="rs-pure",G195="rs-sys")),1,0)</f>
        <v>0</v>
      </c>
      <c r="AF195">
        <f t="shared" ref="AF195:AF258" si="83">IF(C195=F195,1,0)</f>
        <v>0</v>
      </c>
      <c r="AG195">
        <f t="shared" ref="AG195:AG258" si="84">IF(B195=E195,1,0)</f>
        <v>0</v>
      </c>
      <c r="AH195">
        <f t="shared" si="71"/>
        <v>0</v>
      </c>
      <c r="AI195">
        <f t="shared" si="78"/>
        <v>0</v>
      </c>
      <c r="AJ195">
        <f t="shared" si="78"/>
        <v>0</v>
      </c>
      <c r="AK195">
        <f t="shared" si="78"/>
        <v>0</v>
      </c>
      <c r="AL195">
        <f t="shared" si="78"/>
        <v>0</v>
      </c>
      <c r="AM195">
        <f t="shared" si="78"/>
        <v>0</v>
      </c>
      <c r="AN195">
        <f t="shared" si="78"/>
        <v>0</v>
      </c>
      <c r="AO195">
        <f t="shared" si="78"/>
        <v>0</v>
      </c>
      <c r="AP195">
        <f t="shared" si="78"/>
        <v>0</v>
      </c>
      <c r="AQ195">
        <f t="shared" si="78"/>
        <v>0</v>
      </c>
      <c r="AR195">
        <f t="shared" si="78"/>
        <v>0</v>
      </c>
      <c r="AS195">
        <f t="shared" si="78"/>
        <v>0</v>
      </c>
      <c r="AT195">
        <f t="shared" si="78"/>
        <v>0</v>
      </c>
      <c r="AU195">
        <f t="shared" si="78"/>
        <v>0</v>
      </c>
      <c r="AV195">
        <f t="shared" si="78"/>
        <v>0</v>
      </c>
      <c r="AW195">
        <f t="shared" si="78"/>
        <v>0</v>
      </c>
      <c r="AX195">
        <f t="shared" si="72"/>
        <v>0</v>
      </c>
      <c r="AY195">
        <f t="shared" si="72"/>
        <v>0</v>
      </c>
      <c r="AZ195">
        <f t="shared" si="72"/>
        <v>1</v>
      </c>
      <c r="BA195">
        <f t="shared" si="73"/>
        <v>0</v>
      </c>
      <c r="BB195">
        <f t="shared" si="74"/>
        <v>1</v>
      </c>
    </row>
    <row r="196" spans="1:54">
      <c r="A196">
        <v>193</v>
      </c>
      <c r="B196" t="s">
        <v>20</v>
      </c>
      <c r="C196" t="s">
        <v>21</v>
      </c>
      <c r="D196" t="s">
        <v>27</v>
      </c>
      <c r="E196" t="s">
        <v>30</v>
      </c>
      <c r="F196" t="s">
        <v>29</v>
      </c>
      <c r="G196" t="s">
        <v>25</v>
      </c>
      <c r="H196" s="3">
        <v>2.6747070161132001E-2</v>
      </c>
      <c r="I196" s="3">
        <v>2.62605622280065E-2</v>
      </c>
      <c r="J196" s="3">
        <v>2.30682953930305E-2</v>
      </c>
      <c r="K196" s="3">
        <v>2.4247169493608101E-2</v>
      </c>
      <c r="L196" s="3">
        <v>1.7868076217727898E-2</v>
      </c>
      <c r="M196" s="3">
        <v>1.43396772610278E-2</v>
      </c>
      <c r="N196" s="3">
        <v>2.8914211133979201E-2</v>
      </c>
      <c r="O196" s="3">
        <v>1.9300955403007001E-2</v>
      </c>
      <c r="P196">
        <f t="shared" ref="P196:P259" si="85">IF(OR(AND($C196="linux",$D196="clang"),AND($F196="linux",$G196="clang")),1,0)</f>
        <v>0</v>
      </c>
      <c r="Q196">
        <f t="shared" ref="Q196:Q259" si="86">IF(OR(AND($C196="linux",$D196="gcc"),AND($F196="linux",$G196="gcc")),1,0)</f>
        <v>0</v>
      </c>
      <c r="R196">
        <f t="shared" ref="R196:R259" si="87">IF(OR(AND($C196="linux",$D196="go"),AND($F196="linux",$G196="go")),1,0)</f>
        <v>0</v>
      </c>
      <c r="S196">
        <f t="shared" ref="S196:S259" si="88">IF(OR(AND($C196="linux",$D196="tgo"),AND($F196="linux",$G196="tgo")),1,0)</f>
        <v>0</v>
      </c>
      <c r="T196">
        <f t="shared" ref="T196:T259" si="89">IF(OR(AND($C196="darwin",$D196="clang"),AND($F196="darwin",$G196="clang")),1,0)</f>
        <v>0</v>
      </c>
      <c r="U196">
        <f t="shared" ref="U196:U259" si="90">IF(OR(AND($C196="darwin",$D196="gcc"),AND($F196="darwin",$G196="gcc")),1,0)</f>
        <v>0</v>
      </c>
      <c r="V196">
        <f t="shared" ref="V196:V259" si="91">IF(OR(AND($C196="darwin",$D196="go"),AND($F196="darwin",$G196="go")),1,0)</f>
        <v>0</v>
      </c>
      <c r="W196">
        <f t="shared" ref="W196:W259" si="92">IF(OR(AND($C196="darwin",$D196="tgo"),AND($F196="darwin",$G196="tgo")),1,0)</f>
        <v>1</v>
      </c>
      <c r="X196">
        <f t="shared" ref="X196:X259" si="93">IF(OR(AND($C196="windows",$D196="clang"),AND($F196="windows",$G196="clang")),1,0)</f>
        <v>0</v>
      </c>
      <c r="Y196">
        <f t="shared" ref="Y196:Y259" si="94">IF(OR(AND($C196="windows",$D196="gcc"),AND($F196="windows",$G196="gcc")),1,0)</f>
        <v>0</v>
      </c>
      <c r="Z196">
        <f t="shared" ref="Z196:Z259" si="95">IF(OR(AND($C196="windows",$D196="msvc"),AND($F196="windows",$G196="msvc")),1,0)</f>
        <v>0</v>
      </c>
      <c r="AA196">
        <f t="shared" ref="AA196:AA259" si="96">IF(OR(AND($C196="windows",$D196="go"),AND($F196="windows",$G196="go")),1,0)</f>
        <v>0</v>
      </c>
      <c r="AB196">
        <f t="shared" si="79"/>
        <v>0</v>
      </c>
      <c r="AC196">
        <f t="shared" si="80"/>
        <v>0</v>
      </c>
      <c r="AD196">
        <f t="shared" si="81"/>
        <v>0</v>
      </c>
      <c r="AE196">
        <f t="shared" si="82"/>
        <v>0</v>
      </c>
      <c r="AF196">
        <f t="shared" si="83"/>
        <v>0</v>
      </c>
      <c r="AG196">
        <f t="shared" si="84"/>
        <v>0</v>
      </c>
      <c r="AH196">
        <f t="shared" ref="AH196:AH259" si="97">IF(SUM(AC196:AE196)=1,1,0)</f>
        <v>0</v>
      </c>
      <c r="AI196">
        <f t="shared" si="78"/>
        <v>0</v>
      </c>
      <c r="AJ196">
        <f t="shared" si="78"/>
        <v>0</v>
      </c>
      <c r="AK196">
        <f t="shared" si="78"/>
        <v>0</v>
      </c>
      <c r="AL196">
        <f t="shared" si="78"/>
        <v>0</v>
      </c>
      <c r="AM196">
        <f t="shared" si="78"/>
        <v>0</v>
      </c>
      <c r="AN196">
        <f t="shared" si="78"/>
        <v>0</v>
      </c>
      <c r="AO196">
        <f t="shared" si="78"/>
        <v>0</v>
      </c>
      <c r="AP196">
        <f t="shared" si="78"/>
        <v>0</v>
      </c>
      <c r="AQ196">
        <f t="shared" si="78"/>
        <v>1</v>
      </c>
      <c r="AR196">
        <f t="shared" si="78"/>
        <v>0</v>
      </c>
      <c r="AS196">
        <f t="shared" si="78"/>
        <v>0</v>
      </c>
      <c r="AT196">
        <f t="shared" si="78"/>
        <v>0</v>
      </c>
      <c r="AU196">
        <f t="shared" si="78"/>
        <v>0</v>
      </c>
      <c r="AV196">
        <f t="shared" si="78"/>
        <v>0</v>
      </c>
      <c r="AW196">
        <f t="shared" si="78"/>
        <v>0</v>
      </c>
      <c r="AX196">
        <f t="shared" ref="AX196:AZ259" si="98">IF(OR(AND($C196=AX$1,$F196=AX$2),AND($C196=AX$2,$F196=AX$1)),1,0)</f>
        <v>0</v>
      </c>
      <c r="AY196">
        <f t="shared" si="98"/>
        <v>0</v>
      </c>
      <c r="AZ196">
        <f t="shared" si="98"/>
        <v>1</v>
      </c>
      <c r="BA196">
        <f t="shared" ref="BA196:BA259" si="99">IF(SUM(AI196:AQ196)=1,1,0)</f>
        <v>1</v>
      </c>
      <c r="BB196">
        <f t="shared" ref="BB196:BB259" si="100">IF(OR(C196="windows",F196="windows"),1,0)</f>
        <v>1</v>
      </c>
    </row>
    <row r="197" spans="1:54">
      <c r="A197">
        <v>194</v>
      </c>
      <c r="B197" t="s">
        <v>20</v>
      </c>
      <c r="C197" t="s">
        <v>21</v>
      </c>
      <c r="D197" t="s">
        <v>27</v>
      </c>
      <c r="E197" t="s">
        <v>30</v>
      </c>
      <c r="F197" t="s">
        <v>29</v>
      </c>
      <c r="G197" t="s">
        <v>26</v>
      </c>
      <c r="H197" s="3">
        <v>2.7368981718234899E-2</v>
      </c>
      <c r="I197" s="3">
        <v>2.6848227257462699E-2</v>
      </c>
      <c r="J197" s="3">
        <v>2.3622214546050801E-2</v>
      </c>
      <c r="K197" s="3">
        <v>2.47877230169018E-2</v>
      </c>
      <c r="L197" s="3">
        <v>1.8279072223171999E-2</v>
      </c>
      <c r="M197" s="3">
        <v>1.4655769567564401E-2</v>
      </c>
      <c r="N197" s="3">
        <v>2.9568788501026601E-2</v>
      </c>
      <c r="O197" s="3">
        <v>1.9754418671588499E-2</v>
      </c>
      <c r="P197">
        <f t="shared" si="85"/>
        <v>0</v>
      </c>
      <c r="Q197">
        <f t="shared" si="86"/>
        <v>0</v>
      </c>
      <c r="R197">
        <f t="shared" si="87"/>
        <v>0</v>
      </c>
      <c r="S197">
        <f t="shared" si="88"/>
        <v>0</v>
      </c>
      <c r="T197">
        <f t="shared" si="89"/>
        <v>0</v>
      </c>
      <c r="U197">
        <f t="shared" si="90"/>
        <v>0</v>
      </c>
      <c r="V197">
        <f t="shared" si="91"/>
        <v>0</v>
      </c>
      <c r="W197">
        <f t="shared" si="92"/>
        <v>1</v>
      </c>
      <c r="X197">
        <f t="shared" si="93"/>
        <v>0</v>
      </c>
      <c r="Y197">
        <f t="shared" si="94"/>
        <v>0</v>
      </c>
      <c r="Z197">
        <f t="shared" si="95"/>
        <v>0</v>
      </c>
      <c r="AA197">
        <f t="shared" si="96"/>
        <v>0</v>
      </c>
      <c r="AB197">
        <f t="shared" si="79"/>
        <v>0</v>
      </c>
      <c r="AC197">
        <f t="shared" si="80"/>
        <v>0</v>
      </c>
      <c r="AD197">
        <f t="shared" si="81"/>
        <v>0</v>
      </c>
      <c r="AE197">
        <f t="shared" si="82"/>
        <v>0</v>
      </c>
      <c r="AF197">
        <f t="shared" si="83"/>
        <v>0</v>
      </c>
      <c r="AG197">
        <f t="shared" si="84"/>
        <v>0</v>
      </c>
      <c r="AH197">
        <f t="shared" si="97"/>
        <v>0</v>
      </c>
      <c r="AI197">
        <f t="shared" si="78"/>
        <v>0</v>
      </c>
      <c r="AJ197">
        <f t="shared" si="78"/>
        <v>0</v>
      </c>
      <c r="AK197">
        <f t="shared" si="78"/>
        <v>0</v>
      </c>
      <c r="AL197">
        <f t="shared" si="78"/>
        <v>0</v>
      </c>
      <c r="AM197">
        <f t="shared" si="78"/>
        <v>1</v>
      </c>
      <c r="AN197">
        <f t="shared" si="78"/>
        <v>0</v>
      </c>
      <c r="AO197">
        <f t="shared" si="78"/>
        <v>0</v>
      </c>
      <c r="AP197">
        <f t="shared" si="78"/>
        <v>0</v>
      </c>
      <c r="AQ197">
        <f t="shared" si="78"/>
        <v>0</v>
      </c>
      <c r="AR197">
        <f t="shared" si="78"/>
        <v>0</v>
      </c>
      <c r="AS197">
        <f t="shared" si="78"/>
        <v>0</v>
      </c>
      <c r="AT197">
        <f t="shared" si="78"/>
        <v>0</v>
      </c>
      <c r="AU197">
        <f t="shared" si="78"/>
        <v>0</v>
      </c>
      <c r="AV197">
        <f t="shared" si="78"/>
        <v>0</v>
      </c>
      <c r="AW197">
        <f t="shared" si="78"/>
        <v>0</v>
      </c>
      <c r="AX197">
        <f t="shared" si="98"/>
        <v>0</v>
      </c>
      <c r="AY197">
        <f t="shared" si="98"/>
        <v>0</v>
      </c>
      <c r="AZ197">
        <f t="shared" si="98"/>
        <v>1</v>
      </c>
      <c r="BA197">
        <f t="shared" si="99"/>
        <v>1</v>
      </c>
      <c r="BB197">
        <f t="shared" si="100"/>
        <v>1</v>
      </c>
    </row>
    <row r="198" spans="1:54">
      <c r="A198">
        <v>195</v>
      </c>
      <c r="B198" t="s">
        <v>20</v>
      </c>
      <c r="C198" t="s">
        <v>28</v>
      </c>
      <c r="D198" t="s">
        <v>22</v>
      </c>
      <c r="E198" t="s">
        <v>20</v>
      </c>
      <c r="F198" t="s">
        <v>28</v>
      </c>
      <c r="G198" t="s">
        <v>23</v>
      </c>
      <c r="H198" s="3">
        <v>0.84944583264970996</v>
      </c>
      <c r="I198" s="3">
        <v>0.81147984812222296</v>
      </c>
      <c r="J198" s="3">
        <v>0.71004476353074397</v>
      </c>
      <c r="K198" s="3">
        <v>0.74673090350304705</v>
      </c>
      <c r="L198" s="3">
        <v>0.60363108668729404</v>
      </c>
      <c r="M198" s="3">
        <v>0.50178250701789995</v>
      </c>
      <c r="N198" s="3">
        <v>0.90666666666666595</v>
      </c>
      <c r="O198" s="3">
        <v>0.62388820357619101</v>
      </c>
      <c r="P198">
        <f t="shared" si="85"/>
        <v>1</v>
      </c>
      <c r="Q198">
        <f t="shared" si="86"/>
        <v>1</v>
      </c>
      <c r="R198">
        <f t="shared" si="87"/>
        <v>0</v>
      </c>
      <c r="S198">
        <f t="shared" si="88"/>
        <v>0</v>
      </c>
      <c r="T198">
        <f t="shared" si="89"/>
        <v>0</v>
      </c>
      <c r="U198">
        <f t="shared" si="90"/>
        <v>0</v>
      </c>
      <c r="V198">
        <f t="shared" si="91"/>
        <v>0</v>
      </c>
      <c r="W198">
        <f t="shared" si="92"/>
        <v>0</v>
      </c>
      <c r="X198">
        <f t="shared" si="93"/>
        <v>0</v>
      </c>
      <c r="Y198">
        <f t="shared" si="94"/>
        <v>0</v>
      </c>
      <c r="Z198">
        <f t="shared" si="95"/>
        <v>0</v>
      </c>
      <c r="AA198">
        <f t="shared" si="96"/>
        <v>0</v>
      </c>
      <c r="AB198">
        <f t="shared" si="79"/>
        <v>0</v>
      </c>
      <c r="AC198">
        <f t="shared" si="80"/>
        <v>1</v>
      </c>
      <c r="AD198">
        <f t="shared" si="81"/>
        <v>0</v>
      </c>
      <c r="AE198">
        <f t="shared" si="82"/>
        <v>0</v>
      </c>
      <c r="AF198">
        <f t="shared" si="83"/>
        <v>1</v>
      </c>
      <c r="AG198">
        <f t="shared" si="84"/>
        <v>1</v>
      </c>
      <c r="AH198">
        <f t="shared" si="97"/>
        <v>1</v>
      </c>
      <c r="AI198">
        <f t="shared" si="78"/>
        <v>0</v>
      </c>
      <c r="AJ198">
        <f t="shared" si="78"/>
        <v>0</v>
      </c>
      <c r="AK198">
        <f t="shared" si="78"/>
        <v>0</v>
      </c>
      <c r="AL198">
        <f t="shared" si="78"/>
        <v>0</v>
      </c>
      <c r="AM198">
        <f t="shared" si="78"/>
        <v>0</v>
      </c>
      <c r="AN198">
        <f t="shared" si="78"/>
        <v>0</v>
      </c>
      <c r="AO198">
        <f t="shared" si="78"/>
        <v>0</v>
      </c>
      <c r="AP198">
        <f t="shared" si="78"/>
        <v>0</v>
      </c>
      <c r="AQ198">
        <f t="shared" si="78"/>
        <v>0</v>
      </c>
      <c r="AR198">
        <f t="shared" si="78"/>
        <v>1</v>
      </c>
      <c r="AS198">
        <f t="shared" si="78"/>
        <v>0</v>
      </c>
      <c r="AT198">
        <f t="shared" si="78"/>
        <v>0</v>
      </c>
      <c r="AU198">
        <f t="shared" si="78"/>
        <v>0</v>
      </c>
      <c r="AV198">
        <f t="shared" si="78"/>
        <v>0</v>
      </c>
      <c r="AW198">
        <f t="shared" si="78"/>
        <v>0</v>
      </c>
      <c r="AX198">
        <f t="shared" si="98"/>
        <v>0</v>
      </c>
      <c r="AY198">
        <f t="shared" si="98"/>
        <v>0</v>
      </c>
      <c r="AZ198">
        <f t="shared" si="98"/>
        <v>0</v>
      </c>
      <c r="BA198">
        <f t="shared" si="99"/>
        <v>0</v>
      </c>
      <c r="BB198">
        <f t="shared" si="100"/>
        <v>0</v>
      </c>
    </row>
    <row r="199" spans="1:54">
      <c r="A199">
        <v>196</v>
      </c>
      <c r="B199" t="s">
        <v>20</v>
      </c>
      <c r="C199" t="s">
        <v>28</v>
      </c>
      <c r="D199" t="s">
        <v>22</v>
      </c>
      <c r="E199" t="s">
        <v>20</v>
      </c>
      <c r="F199" t="s">
        <v>28</v>
      </c>
      <c r="G199" t="s">
        <v>24</v>
      </c>
      <c r="H199" s="3">
        <v>2.4301629594760302E-2</v>
      </c>
      <c r="I199" s="3">
        <v>2.3266090017637801E-2</v>
      </c>
      <c r="J199" s="3">
        <v>2.0426355571444899E-2</v>
      </c>
      <c r="K199" s="3">
        <v>2.0996650431939001E-2</v>
      </c>
      <c r="L199" s="3">
        <v>1.5399814697899E-2</v>
      </c>
      <c r="M199" s="3">
        <v>1.2294331448010599E-2</v>
      </c>
      <c r="N199" s="3">
        <v>2.6438569206842899E-2</v>
      </c>
      <c r="O199" s="3">
        <v>1.6688567813328101E-2</v>
      </c>
      <c r="P199">
        <f t="shared" si="85"/>
        <v>1</v>
      </c>
      <c r="Q199">
        <f t="shared" si="86"/>
        <v>0</v>
      </c>
      <c r="R199">
        <f t="shared" si="87"/>
        <v>1</v>
      </c>
      <c r="S199">
        <f t="shared" si="88"/>
        <v>0</v>
      </c>
      <c r="T199">
        <f t="shared" si="89"/>
        <v>0</v>
      </c>
      <c r="U199">
        <f t="shared" si="90"/>
        <v>0</v>
      </c>
      <c r="V199">
        <f t="shared" si="91"/>
        <v>0</v>
      </c>
      <c r="W199">
        <f t="shared" si="92"/>
        <v>0</v>
      </c>
      <c r="X199">
        <f t="shared" si="93"/>
        <v>0</v>
      </c>
      <c r="Y199">
        <f t="shared" si="94"/>
        <v>0</v>
      </c>
      <c r="Z199">
        <f t="shared" si="95"/>
        <v>0</v>
      </c>
      <c r="AA199">
        <f t="shared" si="96"/>
        <v>0</v>
      </c>
      <c r="AB199">
        <f t="shared" si="79"/>
        <v>0</v>
      </c>
      <c r="AC199">
        <f t="shared" si="80"/>
        <v>0</v>
      </c>
      <c r="AD199">
        <f t="shared" si="81"/>
        <v>0</v>
      </c>
      <c r="AE199">
        <f t="shared" si="82"/>
        <v>0</v>
      </c>
      <c r="AF199">
        <f t="shared" si="83"/>
        <v>1</v>
      </c>
      <c r="AG199">
        <f t="shared" si="84"/>
        <v>1</v>
      </c>
      <c r="AH199">
        <f t="shared" si="97"/>
        <v>0</v>
      </c>
      <c r="AI199">
        <f t="shared" si="78"/>
        <v>0</v>
      </c>
      <c r="AJ199">
        <f t="shared" si="78"/>
        <v>0</v>
      </c>
      <c r="AK199">
        <f t="shared" si="78"/>
        <v>0</v>
      </c>
      <c r="AL199">
        <f t="shared" si="78"/>
        <v>0</v>
      </c>
      <c r="AM199">
        <f t="shared" si="78"/>
        <v>0</v>
      </c>
      <c r="AN199">
        <f t="shared" si="78"/>
        <v>0</v>
      </c>
      <c r="AO199">
        <f t="shared" si="78"/>
        <v>0</v>
      </c>
      <c r="AP199">
        <f t="shared" si="78"/>
        <v>0</v>
      </c>
      <c r="AQ199">
        <f t="shared" si="78"/>
        <v>0</v>
      </c>
      <c r="AR199">
        <f t="shared" si="78"/>
        <v>0</v>
      </c>
      <c r="AS199">
        <f t="shared" si="78"/>
        <v>1</v>
      </c>
      <c r="AT199">
        <f t="shared" si="78"/>
        <v>0</v>
      </c>
      <c r="AU199">
        <f t="shared" si="78"/>
        <v>0</v>
      </c>
      <c r="AV199">
        <f t="shared" si="78"/>
        <v>0</v>
      </c>
      <c r="AW199">
        <f t="shared" si="78"/>
        <v>0</v>
      </c>
      <c r="AX199">
        <f t="shared" si="98"/>
        <v>0</v>
      </c>
      <c r="AY199">
        <f t="shared" si="98"/>
        <v>0</v>
      </c>
      <c r="AZ199">
        <f t="shared" si="98"/>
        <v>0</v>
      </c>
      <c r="BA199">
        <f t="shared" si="99"/>
        <v>0</v>
      </c>
      <c r="BB199">
        <f t="shared" si="100"/>
        <v>0</v>
      </c>
    </row>
    <row r="200" spans="1:54">
      <c r="A200">
        <v>197</v>
      </c>
      <c r="B200" t="s">
        <v>20</v>
      </c>
      <c r="C200" t="s">
        <v>28</v>
      </c>
      <c r="D200" t="s">
        <v>22</v>
      </c>
      <c r="E200" t="s">
        <v>20</v>
      </c>
      <c r="F200" t="s">
        <v>28</v>
      </c>
      <c r="G200" t="s">
        <v>25</v>
      </c>
      <c r="H200" s="3">
        <v>1.8390138164349399E-2</v>
      </c>
      <c r="I200" s="3">
        <v>1.7986259096314301E-2</v>
      </c>
      <c r="J200" s="3">
        <v>1.5926420757922399E-2</v>
      </c>
      <c r="K200" s="3">
        <v>1.64856070696952E-2</v>
      </c>
      <c r="L200" s="3">
        <v>1.23954613268362E-2</v>
      </c>
      <c r="M200" s="3">
        <v>1.0102704347977999E-2</v>
      </c>
      <c r="N200" s="3">
        <v>2.0076764098021799E-2</v>
      </c>
      <c r="O200" s="3">
        <v>1.32152994606689E-2</v>
      </c>
      <c r="P200">
        <f t="shared" si="85"/>
        <v>1</v>
      </c>
      <c r="Q200">
        <f t="shared" si="86"/>
        <v>0</v>
      </c>
      <c r="R200">
        <f t="shared" si="87"/>
        <v>0</v>
      </c>
      <c r="S200">
        <f t="shared" si="88"/>
        <v>0</v>
      </c>
      <c r="T200">
        <f t="shared" si="89"/>
        <v>0</v>
      </c>
      <c r="U200">
        <f t="shared" si="90"/>
        <v>0</v>
      </c>
      <c r="V200">
        <f t="shared" si="91"/>
        <v>0</v>
      </c>
      <c r="W200">
        <f t="shared" si="92"/>
        <v>0</v>
      </c>
      <c r="X200">
        <f t="shared" si="93"/>
        <v>0</v>
      </c>
      <c r="Y200">
        <f t="shared" si="94"/>
        <v>0</v>
      </c>
      <c r="Z200">
        <f t="shared" si="95"/>
        <v>0</v>
      </c>
      <c r="AA200">
        <f t="shared" si="96"/>
        <v>0</v>
      </c>
      <c r="AB200">
        <f t="shared" si="79"/>
        <v>0</v>
      </c>
      <c r="AC200">
        <f t="shared" si="80"/>
        <v>0</v>
      </c>
      <c r="AD200">
        <f t="shared" si="81"/>
        <v>0</v>
      </c>
      <c r="AE200">
        <f t="shared" si="82"/>
        <v>0</v>
      </c>
      <c r="AF200">
        <f t="shared" si="83"/>
        <v>1</v>
      </c>
      <c r="AG200">
        <f t="shared" si="84"/>
        <v>1</v>
      </c>
      <c r="AH200">
        <f t="shared" si="97"/>
        <v>0</v>
      </c>
      <c r="AI200">
        <f t="shared" si="78"/>
        <v>0</v>
      </c>
      <c r="AJ200">
        <f t="shared" si="78"/>
        <v>0</v>
      </c>
      <c r="AK200">
        <f t="shared" si="78"/>
        <v>0</v>
      </c>
      <c r="AL200">
        <f t="shared" si="78"/>
        <v>0</v>
      </c>
      <c r="AM200">
        <f t="shared" si="78"/>
        <v>0</v>
      </c>
      <c r="AN200">
        <f t="shared" si="78"/>
        <v>1</v>
      </c>
      <c r="AO200">
        <f t="shared" si="78"/>
        <v>0</v>
      </c>
      <c r="AP200">
        <f t="shared" si="78"/>
        <v>0</v>
      </c>
      <c r="AQ200">
        <f t="shared" si="78"/>
        <v>0</v>
      </c>
      <c r="AR200">
        <f t="shared" si="78"/>
        <v>0</v>
      </c>
      <c r="AS200">
        <f t="shared" si="78"/>
        <v>0</v>
      </c>
      <c r="AT200">
        <f t="shared" si="78"/>
        <v>0</v>
      </c>
      <c r="AU200">
        <f t="shared" si="78"/>
        <v>0</v>
      </c>
      <c r="AV200">
        <f t="shared" si="78"/>
        <v>0</v>
      </c>
      <c r="AW200">
        <f t="shared" si="78"/>
        <v>0</v>
      </c>
      <c r="AX200">
        <f t="shared" si="98"/>
        <v>0</v>
      </c>
      <c r="AY200">
        <f t="shared" si="98"/>
        <v>0</v>
      </c>
      <c r="AZ200">
        <f t="shared" si="98"/>
        <v>0</v>
      </c>
      <c r="BA200">
        <f t="shared" si="99"/>
        <v>1</v>
      </c>
      <c r="BB200">
        <f t="shared" si="100"/>
        <v>0</v>
      </c>
    </row>
    <row r="201" spans="1:54">
      <c r="A201">
        <v>198</v>
      </c>
      <c r="B201" t="s">
        <v>20</v>
      </c>
      <c r="C201" t="s">
        <v>28</v>
      </c>
      <c r="D201" t="s">
        <v>22</v>
      </c>
      <c r="E201" t="s">
        <v>20</v>
      </c>
      <c r="F201" t="s">
        <v>28</v>
      </c>
      <c r="G201" t="s">
        <v>26</v>
      </c>
      <c r="H201" s="3">
        <v>1.8680314866407501E-2</v>
      </c>
      <c r="I201" s="3">
        <v>1.8308722918492899E-2</v>
      </c>
      <c r="J201" s="3">
        <v>1.61796355645249E-2</v>
      </c>
      <c r="K201" s="3">
        <v>1.6813905553349301E-2</v>
      </c>
      <c r="L201" s="3">
        <v>1.26250034753125E-2</v>
      </c>
      <c r="M201" s="3">
        <v>1.03038885859685E-2</v>
      </c>
      <c r="N201" s="3">
        <v>2.03775846568774E-2</v>
      </c>
      <c r="O201" s="3">
        <v>1.34783015053219E-2</v>
      </c>
      <c r="P201">
        <f t="shared" si="85"/>
        <v>1</v>
      </c>
      <c r="Q201">
        <f t="shared" si="86"/>
        <v>0</v>
      </c>
      <c r="R201">
        <f t="shared" si="87"/>
        <v>0</v>
      </c>
      <c r="S201">
        <f t="shared" si="88"/>
        <v>0</v>
      </c>
      <c r="T201">
        <f t="shared" si="89"/>
        <v>0</v>
      </c>
      <c r="U201">
        <f t="shared" si="90"/>
        <v>0</v>
      </c>
      <c r="V201">
        <f t="shared" si="91"/>
        <v>0</v>
      </c>
      <c r="W201">
        <f t="shared" si="92"/>
        <v>0</v>
      </c>
      <c r="X201">
        <f t="shared" si="93"/>
        <v>0</v>
      </c>
      <c r="Y201">
        <f t="shared" si="94"/>
        <v>0</v>
      </c>
      <c r="Z201">
        <f t="shared" si="95"/>
        <v>0</v>
      </c>
      <c r="AA201">
        <f t="shared" si="96"/>
        <v>0</v>
      </c>
      <c r="AB201">
        <f t="shared" si="79"/>
        <v>0</v>
      </c>
      <c r="AC201">
        <f t="shared" si="80"/>
        <v>0</v>
      </c>
      <c r="AD201">
        <f t="shared" si="81"/>
        <v>0</v>
      </c>
      <c r="AE201">
        <f t="shared" si="82"/>
        <v>0</v>
      </c>
      <c r="AF201">
        <f t="shared" si="83"/>
        <v>1</v>
      </c>
      <c r="AG201">
        <f t="shared" si="84"/>
        <v>1</v>
      </c>
      <c r="AH201">
        <f t="shared" si="97"/>
        <v>0</v>
      </c>
      <c r="AI201">
        <f t="shared" si="78"/>
        <v>0</v>
      </c>
      <c r="AJ201">
        <f t="shared" si="78"/>
        <v>1</v>
      </c>
      <c r="AK201">
        <f t="shared" si="78"/>
        <v>0</v>
      </c>
      <c r="AL201">
        <f t="shared" si="78"/>
        <v>0</v>
      </c>
      <c r="AM201">
        <f t="shared" si="78"/>
        <v>0</v>
      </c>
      <c r="AN201">
        <f t="shared" si="78"/>
        <v>0</v>
      </c>
      <c r="AO201">
        <f t="shared" si="78"/>
        <v>0</v>
      </c>
      <c r="AP201">
        <f t="shared" si="78"/>
        <v>0</v>
      </c>
      <c r="AQ201">
        <f t="shared" si="78"/>
        <v>0</v>
      </c>
      <c r="AR201">
        <f t="shared" si="78"/>
        <v>0</v>
      </c>
      <c r="AS201">
        <f t="shared" si="78"/>
        <v>0</v>
      </c>
      <c r="AT201">
        <f t="shared" si="78"/>
        <v>0</v>
      </c>
      <c r="AU201">
        <f t="shared" si="78"/>
        <v>0</v>
      </c>
      <c r="AV201">
        <f t="shared" si="78"/>
        <v>0</v>
      </c>
      <c r="AW201">
        <f t="shared" si="78"/>
        <v>0</v>
      </c>
      <c r="AX201">
        <f t="shared" si="98"/>
        <v>0</v>
      </c>
      <c r="AY201">
        <f t="shared" si="98"/>
        <v>0</v>
      </c>
      <c r="AZ201">
        <f t="shared" si="98"/>
        <v>0</v>
      </c>
      <c r="BA201">
        <f t="shared" si="99"/>
        <v>1</v>
      </c>
      <c r="BB201">
        <f t="shared" si="100"/>
        <v>0</v>
      </c>
    </row>
    <row r="202" spans="1:54">
      <c r="A202">
        <v>199</v>
      </c>
      <c r="B202" t="s">
        <v>20</v>
      </c>
      <c r="C202" t="s">
        <v>28</v>
      </c>
      <c r="D202" t="s">
        <v>22</v>
      </c>
      <c r="E202" t="s">
        <v>20</v>
      </c>
      <c r="F202" t="s">
        <v>28</v>
      </c>
      <c r="G202" t="s">
        <v>27</v>
      </c>
      <c r="H202" s="3">
        <v>8.9113855375453799E-2</v>
      </c>
      <c r="I202" s="3">
        <v>8.4887884739672695E-2</v>
      </c>
      <c r="J202" s="3">
        <v>7.3173156277645701E-2</v>
      </c>
      <c r="K202" s="3">
        <v>7.6399045272264501E-2</v>
      </c>
      <c r="L202" s="3">
        <v>5.60341355112534E-2</v>
      </c>
      <c r="M202" s="3">
        <v>4.46549100014259E-2</v>
      </c>
      <c r="N202" s="3">
        <v>9.7004279600570606E-2</v>
      </c>
      <c r="O202" s="3">
        <v>5.8274255800109899E-2</v>
      </c>
      <c r="P202">
        <f t="shared" si="85"/>
        <v>1</v>
      </c>
      <c r="Q202">
        <f t="shared" si="86"/>
        <v>0</v>
      </c>
      <c r="R202">
        <f t="shared" si="87"/>
        <v>0</v>
      </c>
      <c r="S202">
        <f t="shared" si="88"/>
        <v>1</v>
      </c>
      <c r="T202">
        <f t="shared" si="89"/>
        <v>0</v>
      </c>
      <c r="U202">
        <f t="shared" si="90"/>
        <v>0</v>
      </c>
      <c r="V202">
        <f t="shared" si="91"/>
        <v>0</v>
      </c>
      <c r="W202">
        <f t="shared" si="92"/>
        <v>0</v>
      </c>
      <c r="X202">
        <f t="shared" si="93"/>
        <v>0</v>
      </c>
      <c r="Y202">
        <f t="shared" si="94"/>
        <v>0</v>
      </c>
      <c r="Z202">
        <f t="shared" si="95"/>
        <v>0</v>
      </c>
      <c r="AA202">
        <f t="shared" si="96"/>
        <v>0</v>
      </c>
      <c r="AB202">
        <f t="shared" si="79"/>
        <v>0</v>
      </c>
      <c r="AC202">
        <f t="shared" si="80"/>
        <v>0</v>
      </c>
      <c r="AD202">
        <f t="shared" si="81"/>
        <v>0</v>
      </c>
      <c r="AE202">
        <f t="shared" si="82"/>
        <v>0</v>
      </c>
      <c r="AF202">
        <f t="shared" si="83"/>
        <v>1</v>
      </c>
      <c r="AG202">
        <f t="shared" si="84"/>
        <v>1</v>
      </c>
      <c r="AH202">
        <f t="shared" si="97"/>
        <v>0</v>
      </c>
      <c r="AI202">
        <f t="shared" si="78"/>
        <v>0</v>
      </c>
      <c r="AJ202">
        <f t="shared" si="78"/>
        <v>0</v>
      </c>
      <c r="AK202">
        <f t="shared" si="78"/>
        <v>0</v>
      </c>
      <c r="AL202">
        <f t="shared" si="78"/>
        <v>0</v>
      </c>
      <c r="AM202">
        <f t="shared" si="78"/>
        <v>0</v>
      </c>
      <c r="AN202">
        <f t="shared" si="78"/>
        <v>0</v>
      </c>
      <c r="AO202">
        <f t="shared" si="78"/>
        <v>0</v>
      </c>
      <c r="AP202">
        <f t="shared" si="78"/>
        <v>0</v>
      </c>
      <c r="AQ202">
        <f t="shared" si="78"/>
        <v>0</v>
      </c>
      <c r="AR202">
        <f t="shared" si="78"/>
        <v>0</v>
      </c>
      <c r="AS202">
        <f t="shared" si="78"/>
        <v>0</v>
      </c>
      <c r="AT202">
        <f t="shared" si="78"/>
        <v>1</v>
      </c>
      <c r="AU202">
        <f t="shared" si="78"/>
        <v>0</v>
      </c>
      <c r="AV202">
        <f t="shared" si="78"/>
        <v>0</v>
      </c>
      <c r="AW202">
        <f t="shared" si="78"/>
        <v>0</v>
      </c>
      <c r="AX202">
        <f t="shared" si="98"/>
        <v>0</v>
      </c>
      <c r="AY202">
        <f t="shared" si="98"/>
        <v>0</v>
      </c>
      <c r="AZ202">
        <f t="shared" si="98"/>
        <v>0</v>
      </c>
      <c r="BA202">
        <f t="shared" si="99"/>
        <v>0</v>
      </c>
      <c r="BB202">
        <f t="shared" si="100"/>
        <v>0</v>
      </c>
    </row>
    <row r="203" spans="1:54">
      <c r="A203">
        <v>200</v>
      </c>
      <c r="B203" t="s">
        <v>20</v>
      </c>
      <c r="C203" t="s">
        <v>28</v>
      </c>
      <c r="D203" t="s">
        <v>22</v>
      </c>
      <c r="E203" t="s">
        <v>20</v>
      </c>
      <c r="F203" t="s">
        <v>29</v>
      </c>
      <c r="G203" t="s">
        <v>22</v>
      </c>
      <c r="H203" s="3">
        <v>3.0620990914309601E-2</v>
      </c>
      <c r="I203" s="3">
        <v>3.0575995286603701E-2</v>
      </c>
      <c r="J203" s="3">
        <v>2.7074744797628E-2</v>
      </c>
      <c r="K203" s="3">
        <v>2.9094794005165101E-2</v>
      </c>
      <c r="L203" s="3">
        <v>2.4961928376158099E-2</v>
      </c>
      <c r="M203" s="3">
        <v>2.16182665128976E-2</v>
      </c>
      <c r="N203" s="3">
        <v>3.2411820781696798E-2</v>
      </c>
      <c r="O203" s="3">
        <v>2.4614816620236499E-2</v>
      </c>
      <c r="P203">
        <f t="shared" si="85"/>
        <v>1</v>
      </c>
      <c r="Q203">
        <f t="shared" si="86"/>
        <v>0</v>
      </c>
      <c r="R203">
        <f t="shared" si="87"/>
        <v>0</v>
      </c>
      <c r="S203">
        <f t="shared" si="88"/>
        <v>0</v>
      </c>
      <c r="T203">
        <f t="shared" si="89"/>
        <v>0</v>
      </c>
      <c r="U203">
        <f t="shared" si="90"/>
        <v>0</v>
      </c>
      <c r="V203">
        <f t="shared" si="91"/>
        <v>0</v>
      </c>
      <c r="W203">
        <f t="shared" si="92"/>
        <v>0</v>
      </c>
      <c r="X203">
        <f t="shared" si="93"/>
        <v>1</v>
      </c>
      <c r="Y203">
        <f t="shared" si="94"/>
        <v>0</v>
      </c>
      <c r="Z203">
        <f t="shared" si="95"/>
        <v>0</v>
      </c>
      <c r="AA203">
        <f t="shared" si="96"/>
        <v>0</v>
      </c>
      <c r="AB203">
        <f t="shared" si="79"/>
        <v>0</v>
      </c>
      <c r="AC203">
        <f t="shared" si="80"/>
        <v>1</v>
      </c>
      <c r="AD203">
        <f t="shared" si="81"/>
        <v>0</v>
      </c>
      <c r="AE203">
        <f t="shared" si="82"/>
        <v>0</v>
      </c>
      <c r="AF203">
        <f t="shared" si="83"/>
        <v>0</v>
      </c>
      <c r="AG203">
        <f t="shared" si="84"/>
        <v>1</v>
      </c>
      <c r="AH203">
        <f t="shared" si="97"/>
        <v>1</v>
      </c>
      <c r="AI203">
        <f t="shared" si="78"/>
        <v>0</v>
      </c>
      <c r="AJ203">
        <f t="shared" si="78"/>
        <v>0</v>
      </c>
      <c r="AK203">
        <f t="shared" si="78"/>
        <v>0</v>
      </c>
      <c r="AL203">
        <f t="shared" si="78"/>
        <v>0</v>
      </c>
      <c r="AM203">
        <f t="shared" si="78"/>
        <v>0</v>
      </c>
      <c r="AN203">
        <f t="shared" si="78"/>
        <v>0</v>
      </c>
      <c r="AO203">
        <f t="shared" si="78"/>
        <v>0</v>
      </c>
      <c r="AP203">
        <f t="shared" si="78"/>
        <v>0</v>
      </c>
      <c r="AQ203">
        <f t="shared" si="78"/>
        <v>0</v>
      </c>
      <c r="AR203">
        <f t="shared" si="78"/>
        <v>0</v>
      </c>
      <c r="AS203">
        <f t="shared" si="78"/>
        <v>0</v>
      </c>
      <c r="AT203">
        <f t="shared" si="78"/>
        <v>0</v>
      </c>
      <c r="AU203">
        <f t="shared" si="78"/>
        <v>0</v>
      </c>
      <c r="AV203">
        <f t="shared" si="78"/>
        <v>0</v>
      </c>
      <c r="AW203">
        <f t="shared" si="78"/>
        <v>0</v>
      </c>
      <c r="AX203">
        <f t="shared" si="98"/>
        <v>0</v>
      </c>
      <c r="AY203">
        <f t="shared" si="98"/>
        <v>1</v>
      </c>
      <c r="AZ203">
        <f t="shared" si="98"/>
        <v>0</v>
      </c>
      <c r="BA203">
        <f t="shared" si="99"/>
        <v>0</v>
      </c>
      <c r="BB203">
        <f t="shared" si="100"/>
        <v>1</v>
      </c>
    </row>
    <row r="204" spans="1:54">
      <c r="A204">
        <v>201</v>
      </c>
      <c r="B204" t="s">
        <v>20</v>
      </c>
      <c r="C204" t="s">
        <v>28</v>
      </c>
      <c r="D204" t="s">
        <v>22</v>
      </c>
      <c r="E204" t="s">
        <v>20</v>
      </c>
      <c r="F204" t="s">
        <v>29</v>
      </c>
      <c r="G204" t="s">
        <v>23</v>
      </c>
      <c r="H204" s="3">
        <v>0.57281372013627596</v>
      </c>
      <c r="I204" s="3">
        <v>0.55434940140212197</v>
      </c>
      <c r="J204" s="3">
        <v>0.47022361900526899</v>
      </c>
      <c r="K204" s="3">
        <v>0.51193885458593802</v>
      </c>
      <c r="L204" s="3">
        <v>0.39286849820469599</v>
      </c>
      <c r="M204" s="3">
        <v>0.31950052975343102</v>
      </c>
      <c r="N204" s="3">
        <v>0.61261261261261202</v>
      </c>
      <c r="O204" s="3">
        <v>0.40502892084342801</v>
      </c>
      <c r="P204">
        <f t="shared" si="85"/>
        <v>1</v>
      </c>
      <c r="Q204">
        <f t="shared" si="86"/>
        <v>0</v>
      </c>
      <c r="R204">
        <f t="shared" si="87"/>
        <v>0</v>
      </c>
      <c r="S204">
        <f t="shared" si="88"/>
        <v>0</v>
      </c>
      <c r="T204">
        <f t="shared" si="89"/>
        <v>0</v>
      </c>
      <c r="U204">
        <f t="shared" si="90"/>
        <v>0</v>
      </c>
      <c r="V204">
        <f t="shared" si="91"/>
        <v>0</v>
      </c>
      <c r="W204">
        <f t="shared" si="92"/>
        <v>0</v>
      </c>
      <c r="X204">
        <f t="shared" si="93"/>
        <v>0</v>
      </c>
      <c r="Y204">
        <f t="shared" si="94"/>
        <v>1</v>
      </c>
      <c r="Z204">
        <f t="shared" si="95"/>
        <v>0</v>
      </c>
      <c r="AA204">
        <f t="shared" si="96"/>
        <v>0</v>
      </c>
      <c r="AB204">
        <f t="shared" si="79"/>
        <v>0</v>
      </c>
      <c r="AC204">
        <f t="shared" si="80"/>
        <v>1</v>
      </c>
      <c r="AD204">
        <f t="shared" si="81"/>
        <v>0</v>
      </c>
      <c r="AE204">
        <f t="shared" si="82"/>
        <v>0</v>
      </c>
      <c r="AF204">
        <f t="shared" si="83"/>
        <v>0</v>
      </c>
      <c r="AG204">
        <f t="shared" si="84"/>
        <v>1</v>
      </c>
      <c r="AH204">
        <f t="shared" si="97"/>
        <v>1</v>
      </c>
      <c r="AI204">
        <f t="shared" si="78"/>
        <v>0</v>
      </c>
      <c r="AJ204">
        <f t="shared" si="78"/>
        <v>0</v>
      </c>
      <c r="AK204">
        <f t="shared" si="78"/>
        <v>0</v>
      </c>
      <c r="AL204">
        <f t="shared" si="78"/>
        <v>0</v>
      </c>
      <c r="AM204">
        <f t="shared" si="78"/>
        <v>0</v>
      </c>
      <c r="AN204">
        <f t="shared" si="78"/>
        <v>0</v>
      </c>
      <c r="AO204">
        <f t="shared" si="78"/>
        <v>0</v>
      </c>
      <c r="AP204">
        <f t="shared" si="78"/>
        <v>0</v>
      </c>
      <c r="AQ204">
        <f t="shared" si="78"/>
        <v>0</v>
      </c>
      <c r="AR204">
        <f t="shared" si="78"/>
        <v>1</v>
      </c>
      <c r="AS204">
        <f t="shared" si="78"/>
        <v>0</v>
      </c>
      <c r="AT204">
        <f t="shared" si="78"/>
        <v>0</v>
      </c>
      <c r="AU204">
        <f t="shared" si="78"/>
        <v>0</v>
      </c>
      <c r="AV204">
        <f t="shared" si="78"/>
        <v>0</v>
      </c>
      <c r="AW204">
        <f t="shared" si="78"/>
        <v>0</v>
      </c>
      <c r="AX204">
        <f t="shared" si="98"/>
        <v>0</v>
      </c>
      <c r="AY204">
        <f t="shared" si="98"/>
        <v>1</v>
      </c>
      <c r="AZ204">
        <f t="shared" si="98"/>
        <v>0</v>
      </c>
      <c r="BA204">
        <f t="shared" si="99"/>
        <v>0</v>
      </c>
      <c r="BB204">
        <f t="shared" si="100"/>
        <v>1</v>
      </c>
    </row>
    <row r="205" spans="1:54">
      <c r="A205">
        <v>202</v>
      </c>
      <c r="B205" t="s">
        <v>20</v>
      </c>
      <c r="C205" t="s">
        <v>28</v>
      </c>
      <c r="D205" t="s">
        <v>22</v>
      </c>
      <c r="E205" t="s">
        <v>20</v>
      </c>
      <c r="F205" t="s">
        <v>29</v>
      </c>
      <c r="G205" t="s">
        <v>24</v>
      </c>
      <c r="H205" s="3">
        <v>2.68824246906136E-2</v>
      </c>
      <c r="I205" s="3">
        <v>2.56537443792027E-2</v>
      </c>
      <c r="J205" s="3">
        <v>2.3062362134214399E-2</v>
      </c>
      <c r="K205" s="3">
        <v>2.3126921506024099E-2</v>
      </c>
      <c r="L205" s="3">
        <v>1.7512717509974799E-2</v>
      </c>
      <c r="M205" s="3">
        <v>1.39351552664007E-2</v>
      </c>
      <c r="N205" s="3">
        <v>2.9234737747205499E-2</v>
      </c>
      <c r="O205" s="3">
        <v>1.88798445255739E-2</v>
      </c>
      <c r="P205">
        <f t="shared" si="85"/>
        <v>1</v>
      </c>
      <c r="Q205">
        <f t="shared" si="86"/>
        <v>0</v>
      </c>
      <c r="R205">
        <f t="shared" si="87"/>
        <v>0</v>
      </c>
      <c r="S205">
        <f t="shared" si="88"/>
        <v>0</v>
      </c>
      <c r="T205">
        <f t="shared" si="89"/>
        <v>0</v>
      </c>
      <c r="U205">
        <f t="shared" si="90"/>
        <v>0</v>
      </c>
      <c r="V205">
        <f t="shared" si="91"/>
        <v>0</v>
      </c>
      <c r="W205">
        <f t="shared" si="92"/>
        <v>0</v>
      </c>
      <c r="X205">
        <f t="shared" si="93"/>
        <v>0</v>
      </c>
      <c r="Y205">
        <f t="shared" si="94"/>
        <v>0</v>
      </c>
      <c r="Z205">
        <f t="shared" si="95"/>
        <v>0</v>
      </c>
      <c r="AA205">
        <f t="shared" si="96"/>
        <v>1</v>
      </c>
      <c r="AB205">
        <f t="shared" si="79"/>
        <v>0</v>
      </c>
      <c r="AC205">
        <f t="shared" si="80"/>
        <v>0</v>
      </c>
      <c r="AD205">
        <f t="shared" si="81"/>
        <v>0</v>
      </c>
      <c r="AE205">
        <f t="shared" si="82"/>
        <v>0</v>
      </c>
      <c r="AF205">
        <f t="shared" si="83"/>
        <v>0</v>
      </c>
      <c r="AG205">
        <f t="shared" si="84"/>
        <v>1</v>
      </c>
      <c r="AH205">
        <f t="shared" si="97"/>
        <v>0</v>
      </c>
      <c r="AI205">
        <f t="shared" ref="AI205:AW221" si="101">IF(OR(AND($D205=AI$1,$G205=AI$2),AND($D205=AI$2,$G205=AI$1)),1,0)</f>
        <v>0</v>
      </c>
      <c r="AJ205">
        <f t="shared" si="101"/>
        <v>0</v>
      </c>
      <c r="AK205">
        <f t="shared" si="101"/>
        <v>0</v>
      </c>
      <c r="AL205">
        <f t="shared" si="101"/>
        <v>0</v>
      </c>
      <c r="AM205">
        <f t="shared" si="101"/>
        <v>0</v>
      </c>
      <c r="AN205">
        <f t="shared" si="101"/>
        <v>0</v>
      </c>
      <c r="AO205">
        <f t="shared" si="101"/>
        <v>0</v>
      </c>
      <c r="AP205">
        <f t="shared" si="101"/>
        <v>0</v>
      </c>
      <c r="AQ205">
        <f t="shared" si="101"/>
        <v>0</v>
      </c>
      <c r="AR205">
        <f t="shared" si="101"/>
        <v>0</v>
      </c>
      <c r="AS205">
        <f t="shared" si="101"/>
        <v>1</v>
      </c>
      <c r="AT205">
        <f t="shared" si="101"/>
        <v>0</v>
      </c>
      <c r="AU205">
        <f t="shared" si="101"/>
        <v>0</v>
      </c>
      <c r="AV205">
        <f t="shared" si="101"/>
        <v>0</v>
      </c>
      <c r="AW205">
        <f t="shared" si="101"/>
        <v>0</v>
      </c>
      <c r="AX205">
        <f t="shared" si="98"/>
        <v>0</v>
      </c>
      <c r="AY205">
        <f t="shared" si="98"/>
        <v>1</v>
      </c>
      <c r="AZ205">
        <f t="shared" si="98"/>
        <v>0</v>
      </c>
      <c r="BA205">
        <f t="shared" si="99"/>
        <v>0</v>
      </c>
      <c r="BB205">
        <f t="shared" si="100"/>
        <v>1</v>
      </c>
    </row>
    <row r="206" spans="1:54">
      <c r="A206">
        <v>203</v>
      </c>
      <c r="B206" t="s">
        <v>20</v>
      </c>
      <c r="C206" t="s">
        <v>28</v>
      </c>
      <c r="D206" t="s">
        <v>22</v>
      </c>
      <c r="E206" t="s">
        <v>20</v>
      </c>
      <c r="F206" t="s">
        <v>29</v>
      </c>
      <c r="G206" t="s">
        <v>31</v>
      </c>
      <c r="H206" s="3">
        <v>0.45038813299348501</v>
      </c>
      <c r="I206" s="3">
        <v>0.43869194801183797</v>
      </c>
      <c r="J206" s="3">
        <v>0.36116122775130599</v>
      </c>
      <c r="K206" s="3">
        <v>0.39286062112307002</v>
      </c>
      <c r="L206" s="3">
        <v>0.29624366982498002</v>
      </c>
      <c r="M206" s="3">
        <v>0.22709338390973699</v>
      </c>
      <c r="N206" s="3">
        <v>0.50746268656716398</v>
      </c>
      <c r="O206" s="3">
        <v>0.29729057582361801</v>
      </c>
      <c r="P206">
        <f t="shared" si="85"/>
        <v>1</v>
      </c>
      <c r="Q206">
        <f t="shared" si="86"/>
        <v>0</v>
      </c>
      <c r="R206">
        <f t="shared" si="87"/>
        <v>0</v>
      </c>
      <c r="S206">
        <f t="shared" si="88"/>
        <v>0</v>
      </c>
      <c r="T206">
        <f t="shared" si="89"/>
        <v>0</v>
      </c>
      <c r="U206">
        <f t="shared" si="90"/>
        <v>0</v>
      </c>
      <c r="V206">
        <f t="shared" si="91"/>
        <v>0</v>
      </c>
      <c r="W206">
        <f t="shared" si="92"/>
        <v>0</v>
      </c>
      <c r="X206">
        <f t="shared" si="93"/>
        <v>0</v>
      </c>
      <c r="Y206">
        <f t="shared" si="94"/>
        <v>0</v>
      </c>
      <c r="Z206">
        <f t="shared" si="95"/>
        <v>1</v>
      </c>
      <c r="AA206">
        <f t="shared" si="96"/>
        <v>0</v>
      </c>
      <c r="AB206">
        <f t="shared" si="79"/>
        <v>0</v>
      </c>
      <c r="AC206">
        <f t="shared" si="80"/>
        <v>1</v>
      </c>
      <c r="AD206">
        <f t="shared" si="81"/>
        <v>0</v>
      </c>
      <c r="AE206">
        <f t="shared" si="82"/>
        <v>0</v>
      </c>
      <c r="AF206">
        <f t="shared" si="83"/>
        <v>0</v>
      </c>
      <c r="AG206">
        <f t="shared" si="84"/>
        <v>1</v>
      </c>
      <c r="AH206">
        <f t="shared" si="97"/>
        <v>1</v>
      </c>
      <c r="AI206">
        <f t="shared" si="101"/>
        <v>0</v>
      </c>
      <c r="AJ206">
        <f t="shared" si="101"/>
        <v>0</v>
      </c>
      <c r="AK206">
        <f t="shared" si="101"/>
        <v>0</v>
      </c>
      <c r="AL206">
        <f t="shared" si="101"/>
        <v>0</v>
      </c>
      <c r="AM206">
        <f t="shared" si="101"/>
        <v>0</v>
      </c>
      <c r="AN206">
        <f t="shared" si="101"/>
        <v>0</v>
      </c>
      <c r="AO206">
        <f t="shared" si="101"/>
        <v>0</v>
      </c>
      <c r="AP206">
        <f t="shared" si="101"/>
        <v>0</v>
      </c>
      <c r="AQ206">
        <f t="shared" si="101"/>
        <v>0</v>
      </c>
      <c r="AR206">
        <f t="shared" si="101"/>
        <v>0</v>
      </c>
      <c r="AS206">
        <f t="shared" si="101"/>
        <v>0</v>
      </c>
      <c r="AT206">
        <f t="shared" si="101"/>
        <v>0</v>
      </c>
      <c r="AU206">
        <f t="shared" si="101"/>
        <v>0</v>
      </c>
      <c r="AV206">
        <f t="shared" si="101"/>
        <v>0</v>
      </c>
      <c r="AW206">
        <f t="shared" si="101"/>
        <v>0</v>
      </c>
      <c r="AX206">
        <f t="shared" si="98"/>
        <v>0</v>
      </c>
      <c r="AY206">
        <f t="shared" si="98"/>
        <v>1</v>
      </c>
      <c r="AZ206">
        <f t="shared" si="98"/>
        <v>0</v>
      </c>
      <c r="BA206">
        <f t="shared" si="99"/>
        <v>0</v>
      </c>
      <c r="BB206">
        <f t="shared" si="100"/>
        <v>1</v>
      </c>
    </row>
    <row r="207" spans="1:54">
      <c r="A207">
        <v>204</v>
      </c>
      <c r="B207" t="s">
        <v>20</v>
      </c>
      <c r="C207" t="s">
        <v>28</v>
      </c>
      <c r="D207" t="s">
        <v>22</v>
      </c>
      <c r="E207" t="s">
        <v>20</v>
      </c>
      <c r="F207" t="s">
        <v>29</v>
      </c>
      <c r="G207" t="s">
        <v>25</v>
      </c>
      <c r="H207" s="3">
        <v>2.7501019493526698E-3</v>
      </c>
      <c r="I207" s="3">
        <v>2.6738949931047399E-3</v>
      </c>
      <c r="J207" s="3">
        <v>2.3707185378546401E-3</v>
      </c>
      <c r="K207" s="3">
        <v>2.4404975813227901E-3</v>
      </c>
      <c r="L207" s="3">
        <v>1.8509204622447399E-3</v>
      </c>
      <c r="M207" s="3">
        <v>1.5001369389604699E-3</v>
      </c>
      <c r="N207" s="3">
        <v>2.9867791101155102E-3</v>
      </c>
      <c r="O207" s="3">
        <v>1.96576938232048E-3</v>
      </c>
      <c r="P207">
        <f t="shared" si="85"/>
        <v>1</v>
      </c>
      <c r="Q207">
        <f t="shared" si="86"/>
        <v>0</v>
      </c>
      <c r="R207">
        <f t="shared" si="87"/>
        <v>0</v>
      </c>
      <c r="S207">
        <f t="shared" si="88"/>
        <v>0</v>
      </c>
      <c r="T207">
        <f t="shared" si="89"/>
        <v>0</v>
      </c>
      <c r="U207">
        <f t="shared" si="90"/>
        <v>0</v>
      </c>
      <c r="V207">
        <f t="shared" si="91"/>
        <v>0</v>
      </c>
      <c r="W207">
        <f t="shared" si="92"/>
        <v>0</v>
      </c>
      <c r="X207">
        <f t="shared" si="93"/>
        <v>0</v>
      </c>
      <c r="Y207">
        <f t="shared" si="94"/>
        <v>0</v>
      </c>
      <c r="Z207">
        <f t="shared" si="95"/>
        <v>0</v>
      </c>
      <c r="AA207">
        <f t="shared" si="96"/>
        <v>0</v>
      </c>
      <c r="AB207">
        <f t="shared" si="79"/>
        <v>0</v>
      </c>
      <c r="AC207">
        <f t="shared" si="80"/>
        <v>0</v>
      </c>
      <c r="AD207">
        <f t="shared" si="81"/>
        <v>0</v>
      </c>
      <c r="AE207">
        <f t="shared" si="82"/>
        <v>0</v>
      </c>
      <c r="AF207">
        <f t="shared" si="83"/>
        <v>0</v>
      </c>
      <c r="AG207">
        <f t="shared" si="84"/>
        <v>1</v>
      </c>
      <c r="AH207">
        <f t="shared" si="97"/>
        <v>0</v>
      </c>
      <c r="AI207">
        <f t="shared" si="101"/>
        <v>0</v>
      </c>
      <c r="AJ207">
        <f t="shared" si="101"/>
        <v>0</v>
      </c>
      <c r="AK207">
        <f t="shared" si="101"/>
        <v>0</v>
      </c>
      <c r="AL207">
        <f t="shared" si="101"/>
        <v>0</v>
      </c>
      <c r="AM207">
        <f t="shared" si="101"/>
        <v>0</v>
      </c>
      <c r="AN207">
        <f t="shared" si="101"/>
        <v>1</v>
      </c>
      <c r="AO207">
        <f t="shared" si="101"/>
        <v>0</v>
      </c>
      <c r="AP207">
        <f t="shared" si="101"/>
        <v>0</v>
      </c>
      <c r="AQ207">
        <f t="shared" si="101"/>
        <v>0</v>
      </c>
      <c r="AR207">
        <f t="shared" si="101"/>
        <v>0</v>
      </c>
      <c r="AS207">
        <f t="shared" si="101"/>
        <v>0</v>
      </c>
      <c r="AT207">
        <f t="shared" si="101"/>
        <v>0</v>
      </c>
      <c r="AU207">
        <f t="shared" si="101"/>
        <v>0</v>
      </c>
      <c r="AV207">
        <f t="shared" si="101"/>
        <v>0</v>
      </c>
      <c r="AW207">
        <f t="shared" si="101"/>
        <v>0</v>
      </c>
      <c r="AX207">
        <f t="shared" si="98"/>
        <v>0</v>
      </c>
      <c r="AY207">
        <f t="shared" si="98"/>
        <v>1</v>
      </c>
      <c r="AZ207">
        <f t="shared" si="98"/>
        <v>0</v>
      </c>
      <c r="BA207">
        <f t="shared" si="99"/>
        <v>1</v>
      </c>
      <c r="BB207">
        <f t="shared" si="100"/>
        <v>1</v>
      </c>
    </row>
    <row r="208" spans="1:54">
      <c r="A208">
        <v>205</v>
      </c>
      <c r="B208" t="s">
        <v>20</v>
      </c>
      <c r="C208" t="s">
        <v>28</v>
      </c>
      <c r="D208" t="s">
        <v>22</v>
      </c>
      <c r="E208" t="s">
        <v>20</v>
      </c>
      <c r="F208" t="s">
        <v>29</v>
      </c>
      <c r="G208" t="s">
        <v>26</v>
      </c>
      <c r="H208" s="3">
        <v>2.8163256832807199E-3</v>
      </c>
      <c r="I208" s="3">
        <v>2.7406536055476498E-3</v>
      </c>
      <c r="J208" s="3">
        <v>2.42889082857901E-3</v>
      </c>
      <c r="K208" s="3">
        <v>2.5032978898385902E-3</v>
      </c>
      <c r="L208" s="3">
        <v>1.8963412542213299E-3</v>
      </c>
      <c r="M208" s="3">
        <v>1.53634553199068E-3</v>
      </c>
      <c r="N208" s="3">
        <v>3.05865419215545E-3</v>
      </c>
      <c r="O208" s="3">
        <v>2.0151866365914601E-3</v>
      </c>
      <c r="P208">
        <f t="shared" si="85"/>
        <v>1</v>
      </c>
      <c r="Q208">
        <f t="shared" si="86"/>
        <v>0</v>
      </c>
      <c r="R208">
        <f t="shared" si="87"/>
        <v>0</v>
      </c>
      <c r="S208">
        <f t="shared" si="88"/>
        <v>0</v>
      </c>
      <c r="T208">
        <f t="shared" si="89"/>
        <v>0</v>
      </c>
      <c r="U208">
        <f t="shared" si="90"/>
        <v>0</v>
      </c>
      <c r="V208">
        <f t="shared" si="91"/>
        <v>0</v>
      </c>
      <c r="W208">
        <f t="shared" si="92"/>
        <v>0</v>
      </c>
      <c r="X208">
        <f t="shared" si="93"/>
        <v>0</v>
      </c>
      <c r="Y208">
        <f t="shared" si="94"/>
        <v>0</v>
      </c>
      <c r="Z208">
        <f t="shared" si="95"/>
        <v>0</v>
      </c>
      <c r="AA208">
        <f t="shared" si="96"/>
        <v>0</v>
      </c>
      <c r="AB208">
        <f t="shared" si="79"/>
        <v>0</v>
      </c>
      <c r="AC208">
        <f t="shared" si="80"/>
        <v>0</v>
      </c>
      <c r="AD208">
        <f t="shared" si="81"/>
        <v>0</v>
      </c>
      <c r="AE208">
        <f t="shared" si="82"/>
        <v>0</v>
      </c>
      <c r="AF208">
        <f t="shared" si="83"/>
        <v>0</v>
      </c>
      <c r="AG208">
        <f t="shared" si="84"/>
        <v>1</v>
      </c>
      <c r="AH208">
        <f t="shared" si="97"/>
        <v>0</v>
      </c>
      <c r="AI208">
        <f t="shared" si="101"/>
        <v>0</v>
      </c>
      <c r="AJ208">
        <f t="shared" si="101"/>
        <v>1</v>
      </c>
      <c r="AK208">
        <f t="shared" si="101"/>
        <v>0</v>
      </c>
      <c r="AL208">
        <f t="shared" si="101"/>
        <v>0</v>
      </c>
      <c r="AM208">
        <f t="shared" si="101"/>
        <v>0</v>
      </c>
      <c r="AN208">
        <f t="shared" si="101"/>
        <v>0</v>
      </c>
      <c r="AO208">
        <f t="shared" si="101"/>
        <v>0</v>
      </c>
      <c r="AP208">
        <f t="shared" si="101"/>
        <v>0</v>
      </c>
      <c r="AQ208">
        <f t="shared" si="101"/>
        <v>0</v>
      </c>
      <c r="AR208">
        <f t="shared" si="101"/>
        <v>0</v>
      </c>
      <c r="AS208">
        <f t="shared" si="101"/>
        <v>0</v>
      </c>
      <c r="AT208">
        <f t="shared" si="101"/>
        <v>0</v>
      </c>
      <c r="AU208">
        <f t="shared" si="101"/>
        <v>0</v>
      </c>
      <c r="AV208">
        <f t="shared" si="101"/>
        <v>0</v>
      </c>
      <c r="AW208">
        <f t="shared" si="101"/>
        <v>0</v>
      </c>
      <c r="AX208">
        <f t="shared" si="98"/>
        <v>0</v>
      </c>
      <c r="AY208">
        <f t="shared" si="98"/>
        <v>1</v>
      </c>
      <c r="AZ208">
        <f t="shared" si="98"/>
        <v>0</v>
      </c>
      <c r="BA208">
        <f t="shared" si="99"/>
        <v>1</v>
      </c>
      <c r="BB208">
        <f t="shared" si="100"/>
        <v>1</v>
      </c>
    </row>
    <row r="209" spans="1:54">
      <c r="A209">
        <v>206</v>
      </c>
      <c r="B209" t="s">
        <v>20</v>
      </c>
      <c r="C209" t="s">
        <v>28</v>
      </c>
      <c r="D209" t="s">
        <v>22</v>
      </c>
      <c r="E209" t="s">
        <v>30</v>
      </c>
      <c r="F209" t="s">
        <v>21</v>
      </c>
      <c r="G209" t="s">
        <v>22</v>
      </c>
      <c r="H209" s="3">
        <v>0.84945366927300403</v>
      </c>
      <c r="I209" s="3">
        <v>0.85595929064081799</v>
      </c>
      <c r="J209" s="3">
        <v>0.75728299313851899</v>
      </c>
      <c r="K209" s="3">
        <v>0.79973614281396599</v>
      </c>
      <c r="L209" s="3">
        <v>0.685769284276184</v>
      </c>
      <c r="M209" s="3">
        <v>0.58841761688774996</v>
      </c>
      <c r="N209" s="3">
        <v>0.94117647058823495</v>
      </c>
      <c r="O209" s="3">
        <v>0.701208617501486</v>
      </c>
      <c r="P209">
        <f t="shared" si="85"/>
        <v>1</v>
      </c>
      <c r="Q209">
        <f t="shared" si="86"/>
        <v>0</v>
      </c>
      <c r="R209">
        <f t="shared" si="87"/>
        <v>0</v>
      </c>
      <c r="S209">
        <f t="shared" si="88"/>
        <v>0</v>
      </c>
      <c r="T209">
        <f t="shared" si="89"/>
        <v>1</v>
      </c>
      <c r="U209">
        <f t="shared" si="90"/>
        <v>0</v>
      </c>
      <c r="V209">
        <f t="shared" si="91"/>
        <v>0</v>
      </c>
      <c r="W209">
        <f t="shared" si="92"/>
        <v>0</v>
      </c>
      <c r="X209">
        <f t="shared" si="93"/>
        <v>0</v>
      </c>
      <c r="Y209">
        <f t="shared" si="94"/>
        <v>0</v>
      </c>
      <c r="Z209">
        <f t="shared" si="95"/>
        <v>0</v>
      </c>
      <c r="AA209">
        <f t="shared" si="96"/>
        <v>0</v>
      </c>
      <c r="AB209">
        <f t="shared" si="79"/>
        <v>0</v>
      </c>
      <c r="AC209">
        <f t="shared" si="80"/>
        <v>1</v>
      </c>
      <c r="AD209">
        <f t="shared" si="81"/>
        <v>0</v>
      </c>
      <c r="AE209">
        <f t="shared" si="82"/>
        <v>0</v>
      </c>
      <c r="AF209">
        <f t="shared" si="83"/>
        <v>0</v>
      </c>
      <c r="AG209">
        <f t="shared" si="84"/>
        <v>0</v>
      </c>
      <c r="AH209">
        <f t="shared" si="97"/>
        <v>1</v>
      </c>
      <c r="AI209">
        <f t="shared" si="101"/>
        <v>0</v>
      </c>
      <c r="AJ209">
        <f t="shared" si="101"/>
        <v>0</v>
      </c>
      <c r="AK209">
        <f t="shared" si="101"/>
        <v>0</v>
      </c>
      <c r="AL209">
        <f t="shared" si="101"/>
        <v>0</v>
      </c>
      <c r="AM209">
        <f t="shared" si="101"/>
        <v>0</v>
      </c>
      <c r="AN209">
        <f t="shared" si="101"/>
        <v>0</v>
      </c>
      <c r="AO209">
        <f t="shared" si="101"/>
        <v>0</v>
      </c>
      <c r="AP209">
        <f t="shared" si="101"/>
        <v>0</v>
      </c>
      <c r="AQ209">
        <f t="shared" si="101"/>
        <v>0</v>
      </c>
      <c r="AR209">
        <f t="shared" si="101"/>
        <v>0</v>
      </c>
      <c r="AS209">
        <f t="shared" si="101"/>
        <v>0</v>
      </c>
      <c r="AT209">
        <f t="shared" si="101"/>
        <v>0</v>
      </c>
      <c r="AU209">
        <f t="shared" si="101"/>
        <v>0</v>
      </c>
      <c r="AV209">
        <f t="shared" si="101"/>
        <v>0</v>
      </c>
      <c r="AW209">
        <f t="shared" si="101"/>
        <v>0</v>
      </c>
      <c r="AX209">
        <f t="shared" si="98"/>
        <v>1</v>
      </c>
      <c r="AY209">
        <f t="shared" si="98"/>
        <v>0</v>
      </c>
      <c r="AZ209">
        <f t="shared" si="98"/>
        <v>0</v>
      </c>
      <c r="BA209">
        <f t="shared" si="99"/>
        <v>0</v>
      </c>
      <c r="BB209">
        <f t="shared" si="100"/>
        <v>0</v>
      </c>
    </row>
    <row r="210" spans="1:54">
      <c r="A210">
        <v>207</v>
      </c>
      <c r="B210" t="s">
        <v>20</v>
      </c>
      <c r="C210" t="s">
        <v>28</v>
      </c>
      <c r="D210" t="s">
        <v>22</v>
      </c>
      <c r="E210" t="s">
        <v>30</v>
      </c>
      <c r="F210" t="s">
        <v>21</v>
      </c>
      <c r="G210" t="s">
        <v>23</v>
      </c>
      <c r="H210" s="3">
        <v>0.850293585012452</v>
      </c>
      <c r="I210" s="3">
        <v>0.81724541795722505</v>
      </c>
      <c r="J210" s="3">
        <v>0.65293264229215198</v>
      </c>
      <c r="K210" s="3">
        <v>0.73817095847700198</v>
      </c>
      <c r="L210" s="3">
        <v>0.52850436672957102</v>
      </c>
      <c r="M210" s="3">
        <v>0.41048926394703</v>
      </c>
      <c r="N210" s="3">
        <v>0.98550724637681097</v>
      </c>
      <c r="O210" s="3">
        <v>0.55241725014198395</v>
      </c>
      <c r="P210">
        <f t="shared" si="85"/>
        <v>1</v>
      </c>
      <c r="Q210">
        <f t="shared" si="86"/>
        <v>0</v>
      </c>
      <c r="R210">
        <f t="shared" si="87"/>
        <v>0</v>
      </c>
      <c r="S210">
        <f t="shared" si="88"/>
        <v>0</v>
      </c>
      <c r="T210">
        <f t="shared" si="89"/>
        <v>0</v>
      </c>
      <c r="U210">
        <f t="shared" si="90"/>
        <v>1</v>
      </c>
      <c r="V210">
        <f t="shared" si="91"/>
        <v>0</v>
      </c>
      <c r="W210">
        <f t="shared" si="92"/>
        <v>0</v>
      </c>
      <c r="X210">
        <f t="shared" si="93"/>
        <v>0</v>
      </c>
      <c r="Y210">
        <f t="shared" si="94"/>
        <v>0</v>
      </c>
      <c r="Z210">
        <f t="shared" si="95"/>
        <v>0</v>
      </c>
      <c r="AA210">
        <f t="shared" si="96"/>
        <v>0</v>
      </c>
      <c r="AB210">
        <f t="shared" si="79"/>
        <v>0</v>
      </c>
      <c r="AC210">
        <f t="shared" si="80"/>
        <v>1</v>
      </c>
      <c r="AD210">
        <f t="shared" si="81"/>
        <v>0</v>
      </c>
      <c r="AE210">
        <f t="shared" si="82"/>
        <v>0</v>
      </c>
      <c r="AF210">
        <f t="shared" si="83"/>
        <v>0</v>
      </c>
      <c r="AG210">
        <f t="shared" si="84"/>
        <v>0</v>
      </c>
      <c r="AH210">
        <f t="shared" si="97"/>
        <v>1</v>
      </c>
      <c r="AI210">
        <f t="shared" si="101"/>
        <v>0</v>
      </c>
      <c r="AJ210">
        <f t="shared" si="101"/>
        <v>0</v>
      </c>
      <c r="AK210">
        <f t="shared" si="101"/>
        <v>0</v>
      </c>
      <c r="AL210">
        <f t="shared" si="101"/>
        <v>0</v>
      </c>
      <c r="AM210">
        <f t="shared" si="101"/>
        <v>0</v>
      </c>
      <c r="AN210">
        <f t="shared" si="101"/>
        <v>0</v>
      </c>
      <c r="AO210">
        <f t="shared" si="101"/>
        <v>0</v>
      </c>
      <c r="AP210">
        <f t="shared" si="101"/>
        <v>0</v>
      </c>
      <c r="AQ210">
        <f t="shared" si="101"/>
        <v>0</v>
      </c>
      <c r="AR210">
        <f t="shared" si="101"/>
        <v>1</v>
      </c>
      <c r="AS210">
        <f t="shared" si="101"/>
        <v>0</v>
      </c>
      <c r="AT210">
        <f t="shared" si="101"/>
        <v>0</v>
      </c>
      <c r="AU210">
        <f t="shared" si="101"/>
        <v>0</v>
      </c>
      <c r="AV210">
        <f t="shared" si="101"/>
        <v>0</v>
      </c>
      <c r="AW210">
        <f t="shared" si="101"/>
        <v>0</v>
      </c>
      <c r="AX210">
        <f t="shared" si="98"/>
        <v>1</v>
      </c>
      <c r="AY210">
        <f t="shared" si="98"/>
        <v>0</v>
      </c>
      <c r="AZ210">
        <f t="shared" si="98"/>
        <v>0</v>
      </c>
      <c r="BA210">
        <f t="shared" si="99"/>
        <v>0</v>
      </c>
      <c r="BB210">
        <f t="shared" si="100"/>
        <v>0</v>
      </c>
    </row>
    <row r="211" spans="1:54">
      <c r="A211">
        <v>208</v>
      </c>
      <c r="B211" t="s">
        <v>20</v>
      </c>
      <c r="C211" t="s">
        <v>28</v>
      </c>
      <c r="D211" t="s">
        <v>22</v>
      </c>
      <c r="E211" t="s">
        <v>30</v>
      </c>
      <c r="F211" t="s">
        <v>21</v>
      </c>
      <c r="G211" t="s">
        <v>24</v>
      </c>
      <c r="H211" s="3">
        <v>2.4989783626744699E-2</v>
      </c>
      <c r="I211" s="3">
        <v>2.40573266467187E-2</v>
      </c>
      <c r="J211" s="3">
        <v>2.0701030714164501E-2</v>
      </c>
      <c r="K211" s="3">
        <v>2.1933766748700099E-2</v>
      </c>
      <c r="L211" s="3">
        <v>1.5786994622414799E-2</v>
      </c>
      <c r="M211" s="3">
        <v>1.24819157788289E-2</v>
      </c>
      <c r="N211" s="3">
        <v>2.7005559968228701E-2</v>
      </c>
      <c r="O211" s="3">
        <v>1.68308588566684E-2</v>
      </c>
      <c r="P211">
        <f t="shared" si="85"/>
        <v>1</v>
      </c>
      <c r="Q211">
        <f t="shared" si="86"/>
        <v>0</v>
      </c>
      <c r="R211">
        <f t="shared" si="87"/>
        <v>0</v>
      </c>
      <c r="S211">
        <f t="shared" si="88"/>
        <v>0</v>
      </c>
      <c r="T211">
        <f t="shared" si="89"/>
        <v>0</v>
      </c>
      <c r="U211">
        <f t="shared" si="90"/>
        <v>0</v>
      </c>
      <c r="V211">
        <f t="shared" si="91"/>
        <v>1</v>
      </c>
      <c r="W211">
        <f t="shared" si="92"/>
        <v>0</v>
      </c>
      <c r="X211">
        <f t="shared" si="93"/>
        <v>0</v>
      </c>
      <c r="Y211">
        <f t="shared" si="94"/>
        <v>0</v>
      </c>
      <c r="Z211">
        <f t="shared" si="95"/>
        <v>0</v>
      </c>
      <c r="AA211">
        <f t="shared" si="96"/>
        <v>0</v>
      </c>
      <c r="AB211">
        <f t="shared" si="79"/>
        <v>0</v>
      </c>
      <c r="AC211">
        <f t="shared" si="80"/>
        <v>0</v>
      </c>
      <c r="AD211">
        <f t="shared" si="81"/>
        <v>0</v>
      </c>
      <c r="AE211">
        <f t="shared" si="82"/>
        <v>0</v>
      </c>
      <c r="AF211">
        <f t="shared" si="83"/>
        <v>0</v>
      </c>
      <c r="AG211">
        <f t="shared" si="84"/>
        <v>0</v>
      </c>
      <c r="AH211">
        <f t="shared" si="97"/>
        <v>0</v>
      </c>
      <c r="AI211">
        <f t="shared" si="101"/>
        <v>0</v>
      </c>
      <c r="AJ211">
        <f t="shared" si="101"/>
        <v>0</v>
      </c>
      <c r="AK211">
        <f t="shared" si="101"/>
        <v>0</v>
      </c>
      <c r="AL211">
        <f t="shared" si="101"/>
        <v>0</v>
      </c>
      <c r="AM211">
        <f t="shared" si="101"/>
        <v>0</v>
      </c>
      <c r="AN211">
        <f t="shared" si="101"/>
        <v>0</v>
      </c>
      <c r="AO211">
        <f t="shared" si="101"/>
        <v>0</v>
      </c>
      <c r="AP211">
        <f t="shared" si="101"/>
        <v>0</v>
      </c>
      <c r="AQ211">
        <f t="shared" si="101"/>
        <v>0</v>
      </c>
      <c r="AR211">
        <f t="shared" si="101"/>
        <v>0</v>
      </c>
      <c r="AS211">
        <f t="shared" si="101"/>
        <v>1</v>
      </c>
      <c r="AT211">
        <f t="shared" si="101"/>
        <v>0</v>
      </c>
      <c r="AU211">
        <f t="shared" si="101"/>
        <v>0</v>
      </c>
      <c r="AV211">
        <f t="shared" si="101"/>
        <v>0</v>
      </c>
      <c r="AW211">
        <f t="shared" si="101"/>
        <v>0</v>
      </c>
      <c r="AX211">
        <f t="shared" si="98"/>
        <v>1</v>
      </c>
      <c r="AY211">
        <f t="shared" si="98"/>
        <v>0</v>
      </c>
      <c r="AZ211">
        <f t="shared" si="98"/>
        <v>0</v>
      </c>
      <c r="BA211">
        <f t="shared" si="99"/>
        <v>0</v>
      </c>
      <c r="BB211">
        <f t="shared" si="100"/>
        <v>0</v>
      </c>
    </row>
    <row r="212" spans="1:54">
      <c r="A212">
        <v>209</v>
      </c>
      <c r="B212" t="s">
        <v>20</v>
      </c>
      <c r="C212" t="s">
        <v>28</v>
      </c>
      <c r="D212" t="s">
        <v>22</v>
      </c>
      <c r="E212" t="s">
        <v>30</v>
      </c>
      <c r="F212" t="s">
        <v>21</v>
      </c>
      <c r="G212" t="s">
        <v>25</v>
      </c>
      <c r="H212" s="3">
        <v>1.87774593502073E-2</v>
      </c>
      <c r="I212" s="3">
        <v>1.8340426624701801E-2</v>
      </c>
      <c r="J212" s="3">
        <v>1.5898121084210799E-2</v>
      </c>
      <c r="K212" s="3">
        <v>1.6862628147265898E-2</v>
      </c>
      <c r="L212" s="3">
        <v>1.2240601802177301E-2</v>
      </c>
      <c r="M212" s="3">
        <v>9.8290561400155695E-3</v>
      </c>
      <c r="N212" s="3">
        <v>2.0383693045563499E-2</v>
      </c>
      <c r="O212" s="3">
        <v>1.3033972170223999E-2</v>
      </c>
      <c r="P212">
        <f t="shared" si="85"/>
        <v>1</v>
      </c>
      <c r="Q212">
        <f t="shared" si="86"/>
        <v>0</v>
      </c>
      <c r="R212">
        <f t="shared" si="87"/>
        <v>0</v>
      </c>
      <c r="S212">
        <f t="shared" si="88"/>
        <v>0</v>
      </c>
      <c r="T212">
        <f t="shared" si="89"/>
        <v>0</v>
      </c>
      <c r="U212">
        <f t="shared" si="90"/>
        <v>0</v>
      </c>
      <c r="V212">
        <f t="shared" si="91"/>
        <v>0</v>
      </c>
      <c r="W212">
        <f t="shared" si="92"/>
        <v>0</v>
      </c>
      <c r="X212">
        <f t="shared" si="93"/>
        <v>0</v>
      </c>
      <c r="Y212">
        <f t="shared" si="94"/>
        <v>0</v>
      </c>
      <c r="Z212">
        <f t="shared" si="95"/>
        <v>0</v>
      </c>
      <c r="AA212">
        <f t="shared" si="96"/>
        <v>0</v>
      </c>
      <c r="AB212">
        <f t="shared" si="79"/>
        <v>0</v>
      </c>
      <c r="AC212">
        <f t="shared" si="80"/>
        <v>0</v>
      </c>
      <c r="AD212">
        <f t="shared" si="81"/>
        <v>0</v>
      </c>
      <c r="AE212">
        <f t="shared" si="82"/>
        <v>0</v>
      </c>
      <c r="AF212">
        <f t="shared" si="83"/>
        <v>0</v>
      </c>
      <c r="AG212">
        <f t="shared" si="84"/>
        <v>0</v>
      </c>
      <c r="AH212">
        <f t="shared" si="97"/>
        <v>0</v>
      </c>
      <c r="AI212">
        <f t="shared" si="101"/>
        <v>0</v>
      </c>
      <c r="AJ212">
        <f t="shared" si="101"/>
        <v>0</v>
      </c>
      <c r="AK212">
        <f t="shared" si="101"/>
        <v>0</v>
      </c>
      <c r="AL212">
        <f t="shared" si="101"/>
        <v>0</v>
      </c>
      <c r="AM212">
        <f t="shared" si="101"/>
        <v>0</v>
      </c>
      <c r="AN212">
        <f t="shared" si="101"/>
        <v>1</v>
      </c>
      <c r="AO212">
        <f t="shared" si="101"/>
        <v>0</v>
      </c>
      <c r="AP212">
        <f t="shared" si="101"/>
        <v>0</v>
      </c>
      <c r="AQ212">
        <f t="shared" si="101"/>
        <v>0</v>
      </c>
      <c r="AR212">
        <f t="shared" si="101"/>
        <v>0</v>
      </c>
      <c r="AS212">
        <f t="shared" si="101"/>
        <v>0</v>
      </c>
      <c r="AT212">
        <f t="shared" si="101"/>
        <v>0</v>
      </c>
      <c r="AU212">
        <f t="shared" si="101"/>
        <v>0</v>
      </c>
      <c r="AV212">
        <f t="shared" si="101"/>
        <v>0</v>
      </c>
      <c r="AW212">
        <f t="shared" si="101"/>
        <v>0</v>
      </c>
      <c r="AX212">
        <f t="shared" si="98"/>
        <v>1</v>
      </c>
      <c r="AY212">
        <f t="shared" si="98"/>
        <v>0</v>
      </c>
      <c r="AZ212">
        <f t="shared" si="98"/>
        <v>0</v>
      </c>
      <c r="BA212">
        <f t="shared" si="99"/>
        <v>1</v>
      </c>
      <c r="BB212">
        <f t="shared" si="100"/>
        <v>0</v>
      </c>
    </row>
    <row r="213" spans="1:54">
      <c r="A213">
        <v>210</v>
      </c>
      <c r="B213" t="s">
        <v>20</v>
      </c>
      <c r="C213" t="s">
        <v>28</v>
      </c>
      <c r="D213" t="s">
        <v>22</v>
      </c>
      <c r="E213" t="s">
        <v>30</v>
      </c>
      <c r="F213" t="s">
        <v>21</v>
      </c>
      <c r="G213" t="s">
        <v>26</v>
      </c>
      <c r="H213" s="3">
        <v>1.9020965297117699E-2</v>
      </c>
      <c r="I213" s="3">
        <v>1.86448687729871E-2</v>
      </c>
      <c r="J213" s="3">
        <v>1.61229040864116E-2</v>
      </c>
      <c r="K213" s="3">
        <v>1.7202919457270701E-2</v>
      </c>
      <c r="L213" s="3">
        <v>1.24289802448115E-2</v>
      </c>
      <c r="M213" s="3">
        <v>9.9688944146484396E-3</v>
      </c>
      <c r="N213" s="3">
        <v>2.0637329286798099E-2</v>
      </c>
      <c r="O213" s="3">
        <v>1.3212449989291299E-2</v>
      </c>
      <c r="P213">
        <f t="shared" si="85"/>
        <v>1</v>
      </c>
      <c r="Q213">
        <f t="shared" si="86"/>
        <v>0</v>
      </c>
      <c r="R213">
        <f t="shared" si="87"/>
        <v>0</v>
      </c>
      <c r="S213">
        <f t="shared" si="88"/>
        <v>0</v>
      </c>
      <c r="T213">
        <f t="shared" si="89"/>
        <v>0</v>
      </c>
      <c r="U213">
        <f t="shared" si="90"/>
        <v>0</v>
      </c>
      <c r="V213">
        <f t="shared" si="91"/>
        <v>0</v>
      </c>
      <c r="W213">
        <f t="shared" si="92"/>
        <v>0</v>
      </c>
      <c r="X213">
        <f t="shared" si="93"/>
        <v>0</v>
      </c>
      <c r="Y213">
        <f t="shared" si="94"/>
        <v>0</v>
      </c>
      <c r="Z213">
        <f t="shared" si="95"/>
        <v>0</v>
      </c>
      <c r="AA213">
        <f t="shared" si="96"/>
        <v>0</v>
      </c>
      <c r="AB213">
        <f t="shared" si="79"/>
        <v>0</v>
      </c>
      <c r="AC213">
        <f t="shared" si="80"/>
        <v>0</v>
      </c>
      <c r="AD213">
        <f t="shared" si="81"/>
        <v>0</v>
      </c>
      <c r="AE213">
        <f t="shared" si="82"/>
        <v>0</v>
      </c>
      <c r="AF213">
        <f t="shared" si="83"/>
        <v>0</v>
      </c>
      <c r="AG213">
        <f t="shared" si="84"/>
        <v>0</v>
      </c>
      <c r="AH213">
        <f t="shared" si="97"/>
        <v>0</v>
      </c>
      <c r="AI213">
        <f t="shared" si="101"/>
        <v>0</v>
      </c>
      <c r="AJ213">
        <f t="shared" si="101"/>
        <v>1</v>
      </c>
      <c r="AK213">
        <f t="shared" si="101"/>
        <v>0</v>
      </c>
      <c r="AL213">
        <f t="shared" si="101"/>
        <v>0</v>
      </c>
      <c r="AM213">
        <f t="shared" si="101"/>
        <v>0</v>
      </c>
      <c r="AN213">
        <f t="shared" si="101"/>
        <v>0</v>
      </c>
      <c r="AO213">
        <f t="shared" si="101"/>
        <v>0</v>
      </c>
      <c r="AP213">
        <f t="shared" si="101"/>
        <v>0</v>
      </c>
      <c r="AQ213">
        <f t="shared" si="101"/>
        <v>0</v>
      </c>
      <c r="AR213">
        <f t="shared" si="101"/>
        <v>0</v>
      </c>
      <c r="AS213">
        <f t="shared" si="101"/>
        <v>0</v>
      </c>
      <c r="AT213">
        <f t="shared" si="101"/>
        <v>0</v>
      </c>
      <c r="AU213">
        <f t="shared" si="101"/>
        <v>0</v>
      </c>
      <c r="AV213">
        <f t="shared" si="101"/>
        <v>0</v>
      </c>
      <c r="AW213">
        <f t="shared" si="101"/>
        <v>0</v>
      </c>
      <c r="AX213">
        <f t="shared" si="98"/>
        <v>1</v>
      </c>
      <c r="AY213">
        <f t="shared" si="98"/>
        <v>0</v>
      </c>
      <c r="AZ213">
        <f t="shared" si="98"/>
        <v>0</v>
      </c>
      <c r="BA213">
        <f t="shared" si="99"/>
        <v>1</v>
      </c>
      <c r="BB213">
        <f t="shared" si="100"/>
        <v>0</v>
      </c>
    </row>
    <row r="214" spans="1:54">
      <c r="A214">
        <v>211</v>
      </c>
      <c r="B214" t="s">
        <v>20</v>
      </c>
      <c r="C214" t="s">
        <v>28</v>
      </c>
      <c r="D214" t="s">
        <v>22</v>
      </c>
      <c r="E214" t="s">
        <v>30</v>
      </c>
      <c r="F214" t="s">
        <v>21</v>
      </c>
      <c r="G214" t="s">
        <v>27</v>
      </c>
      <c r="H214" s="3">
        <v>6.2046550579081199E-2</v>
      </c>
      <c r="I214" s="3">
        <v>6.0267690449203201E-2</v>
      </c>
      <c r="J214" s="3">
        <v>5.16467244681445E-2</v>
      </c>
      <c r="K214" s="3">
        <v>5.4347239445530902E-2</v>
      </c>
      <c r="L214" s="3">
        <v>4.0233128656377501E-2</v>
      </c>
      <c r="M214" s="3">
        <v>3.1879875738882402E-2</v>
      </c>
      <c r="N214" s="3">
        <v>6.8756319514661199E-2</v>
      </c>
      <c r="O214" s="3">
        <v>4.1281369155334799E-2</v>
      </c>
      <c r="P214">
        <f t="shared" si="85"/>
        <v>1</v>
      </c>
      <c r="Q214">
        <f t="shared" si="86"/>
        <v>0</v>
      </c>
      <c r="R214">
        <f t="shared" si="87"/>
        <v>0</v>
      </c>
      <c r="S214">
        <f t="shared" si="88"/>
        <v>0</v>
      </c>
      <c r="T214">
        <f t="shared" si="89"/>
        <v>0</v>
      </c>
      <c r="U214">
        <f t="shared" si="90"/>
        <v>0</v>
      </c>
      <c r="V214">
        <f t="shared" si="91"/>
        <v>0</v>
      </c>
      <c r="W214">
        <f t="shared" si="92"/>
        <v>1</v>
      </c>
      <c r="X214">
        <f t="shared" si="93"/>
        <v>0</v>
      </c>
      <c r="Y214">
        <f t="shared" si="94"/>
        <v>0</v>
      </c>
      <c r="Z214">
        <f t="shared" si="95"/>
        <v>0</v>
      </c>
      <c r="AA214">
        <f t="shared" si="96"/>
        <v>0</v>
      </c>
      <c r="AB214">
        <f t="shared" si="79"/>
        <v>0</v>
      </c>
      <c r="AC214">
        <f t="shared" si="80"/>
        <v>0</v>
      </c>
      <c r="AD214">
        <f t="shared" si="81"/>
        <v>0</v>
      </c>
      <c r="AE214">
        <f t="shared" si="82"/>
        <v>0</v>
      </c>
      <c r="AF214">
        <f t="shared" si="83"/>
        <v>0</v>
      </c>
      <c r="AG214">
        <f t="shared" si="84"/>
        <v>0</v>
      </c>
      <c r="AH214">
        <f t="shared" si="97"/>
        <v>0</v>
      </c>
      <c r="AI214">
        <f t="shared" si="101"/>
        <v>0</v>
      </c>
      <c r="AJ214">
        <f t="shared" si="101"/>
        <v>0</v>
      </c>
      <c r="AK214">
        <f t="shared" si="101"/>
        <v>0</v>
      </c>
      <c r="AL214">
        <f t="shared" si="101"/>
        <v>0</v>
      </c>
      <c r="AM214">
        <f t="shared" si="101"/>
        <v>0</v>
      </c>
      <c r="AN214">
        <f t="shared" si="101"/>
        <v>0</v>
      </c>
      <c r="AO214">
        <f t="shared" si="101"/>
        <v>0</v>
      </c>
      <c r="AP214">
        <f t="shared" si="101"/>
        <v>0</v>
      </c>
      <c r="AQ214">
        <f t="shared" si="101"/>
        <v>0</v>
      </c>
      <c r="AR214">
        <f t="shared" si="101"/>
        <v>0</v>
      </c>
      <c r="AS214">
        <f t="shared" si="101"/>
        <v>0</v>
      </c>
      <c r="AT214">
        <f t="shared" si="101"/>
        <v>1</v>
      </c>
      <c r="AU214">
        <f t="shared" si="101"/>
        <v>0</v>
      </c>
      <c r="AV214">
        <f t="shared" si="101"/>
        <v>0</v>
      </c>
      <c r="AW214">
        <f t="shared" si="101"/>
        <v>0</v>
      </c>
      <c r="AX214">
        <f t="shared" si="98"/>
        <v>1</v>
      </c>
      <c r="AY214">
        <f t="shared" si="98"/>
        <v>0</v>
      </c>
      <c r="AZ214">
        <f t="shared" si="98"/>
        <v>0</v>
      </c>
      <c r="BA214">
        <f t="shared" si="99"/>
        <v>0</v>
      </c>
      <c r="BB214">
        <f t="shared" si="100"/>
        <v>0</v>
      </c>
    </row>
    <row r="215" spans="1:54">
      <c r="A215">
        <v>212</v>
      </c>
      <c r="B215" t="s">
        <v>20</v>
      </c>
      <c r="C215" t="s">
        <v>28</v>
      </c>
      <c r="D215" t="s">
        <v>22</v>
      </c>
      <c r="E215" t="s">
        <v>30</v>
      </c>
      <c r="F215" t="s">
        <v>28</v>
      </c>
      <c r="G215" t="s">
        <v>22</v>
      </c>
      <c r="H215" s="3">
        <v>0.93020870078890605</v>
      </c>
      <c r="I215" s="3">
        <v>0.91836512529009495</v>
      </c>
      <c r="J215" s="3">
        <v>0.83511797154393297</v>
      </c>
      <c r="K215" s="3">
        <v>0.88296300893770396</v>
      </c>
      <c r="L215" s="3">
        <v>0.77894596879980205</v>
      </c>
      <c r="M215" s="3">
        <v>0.70051441088168098</v>
      </c>
      <c r="N215" s="3">
        <v>0.97142857142857097</v>
      </c>
      <c r="O215" s="3">
        <v>0.80356756034590904</v>
      </c>
      <c r="P215">
        <f t="shared" si="85"/>
        <v>1</v>
      </c>
      <c r="Q215">
        <f t="shared" si="86"/>
        <v>0</v>
      </c>
      <c r="R215">
        <f t="shared" si="87"/>
        <v>0</v>
      </c>
      <c r="S215">
        <f t="shared" si="88"/>
        <v>0</v>
      </c>
      <c r="T215">
        <f t="shared" si="89"/>
        <v>0</v>
      </c>
      <c r="U215">
        <f t="shared" si="90"/>
        <v>0</v>
      </c>
      <c r="V215">
        <f t="shared" si="91"/>
        <v>0</v>
      </c>
      <c r="W215">
        <f t="shared" si="92"/>
        <v>0</v>
      </c>
      <c r="X215">
        <f t="shared" si="93"/>
        <v>0</v>
      </c>
      <c r="Y215">
        <f t="shared" si="94"/>
        <v>0</v>
      </c>
      <c r="Z215">
        <f t="shared" si="95"/>
        <v>0</v>
      </c>
      <c r="AA215">
        <f t="shared" si="96"/>
        <v>0</v>
      </c>
      <c r="AB215">
        <f t="shared" si="79"/>
        <v>0</v>
      </c>
      <c r="AC215">
        <f t="shared" si="80"/>
        <v>1</v>
      </c>
      <c r="AD215">
        <f t="shared" si="81"/>
        <v>0</v>
      </c>
      <c r="AE215">
        <f t="shared" si="82"/>
        <v>0</v>
      </c>
      <c r="AF215">
        <f t="shared" si="83"/>
        <v>1</v>
      </c>
      <c r="AG215">
        <f t="shared" si="84"/>
        <v>0</v>
      </c>
      <c r="AH215">
        <f t="shared" si="97"/>
        <v>1</v>
      </c>
      <c r="AI215">
        <f t="shared" si="101"/>
        <v>0</v>
      </c>
      <c r="AJ215">
        <f t="shared" si="101"/>
        <v>0</v>
      </c>
      <c r="AK215">
        <f t="shared" si="101"/>
        <v>0</v>
      </c>
      <c r="AL215">
        <f t="shared" si="101"/>
        <v>0</v>
      </c>
      <c r="AM215">
        <f t="shared" si="101"/>
        <v>0</v>
      </c>
      <c r="AN215">
        <f t="shared" si="101"/>
        <v>0</v>
      </c>
      <c r="AO215">
        <f t="shared" si="101"/>
        <v>0</v>
      </c>
      <c r="AP215">
        <f t="shared" si="101"/>
        <v>0</v>
      </c>
      <c r="AQ215">
        <f t="shared" si="101"/>
        <v>0</v>
      </c>
      <c r="AR215">
        <f t="shared" si="101"/>
        <v>0</v>
      </c>
      <c r="AS215">
        <f t="shared" si="101"/>
        <v>0</v>
      </c>
      <c r="AT215">
        <f t="shared" si="101"/>
        <v>0</v>
      </c>
      <c r="AU215">
        <f t="shared" si="101"/>
        <v>0</v>
      </c>
      <c r="AV215">
        <f t="shared" si="101"/>
        <v>0</v>
      </c>
      <c r="AW215">
        <f t="shared" si="101"/>
        <v>0</v>
      </c>
      <c r="AX215">
        <f t="shared" si="98"/>
        <v>0</v>
      </c>
      <c r="AY215">
        <f t="shared" si="98"/>
        <v>0</v>
      </c>
      <c r="AZ215">
        <f t="shared" si="98"/>
        <v>0</v>
      </c>
      <c r="BA215">
        <f t="shared" si="99"/>
        <v>0</v>
      </c>
      <c r="BB215">
        <f t="shared" si="100"/>
        <v>0</v>
      </c>
    </row>
    <row r="216" spans="1:54">
      <c r="A216">
        <v>213</v>
      </c>
      <c r="B216" t="s">
        <v>20</v>
      </c>
      <c r="C216" t="s">
        <v>28</v>
      </c>
      <c r="D216" t="s">
        <v>22</v>
      </c>
      <c r="E216" t="s">
        <v>30</v>
      </c>
      <c r="F216" t="s">
        <v>28</v>
      </c>
      <c r="G216" t="s">
        <v>23</v>
      </c>
      <c r="H216" s="3">
        <v>0.77127180944390095</v>
      </c>
      <c r="I216" s="3">
        <v>0.72748678666048205</v>
      </c>
      <c r="J216" s="3">
        <v>0.63832982549662398</v>
      </c>
      <c r="K216" s="3">
        <v>0.66500834314162105</v>
      </c>
      <c r="L216" s="3">
        <v>0.52978165945126898</v>
      </c>
      <c r="M216" s="3">
        <v>0.431717821120435</v>
      </c>
      <c r="N216" s="3">
        <v>0.81927710843373402</v>
      </c>
      <c r="O216" s="3">
        <v>0.54984733383605799</v>
      </c>
      <c r="P216">
        <f t="shared" si="85"/>
        <v>1</v>
      </c>
      <c r="Q216">
        <f t="shared" si="86"/>
        <v>1</v>
      </c>
      <c r="R216">
        <f t="shared" si="87"/>
        <v>0</v>
      </c>
      <c r="S216">
        <f t="shared" si="88"/>
        <v>0</v>
      </c>
      <c r="T216">
        <f t="shared" si="89"/>
        <v>0</v>
      </c>
      <c r="U216">
        <f t="shared" si="90"/>
        <v>0</v>
      </c>
      <c r="V216">
        <f t="shared" si="91"/>
        <v>0</v>
      </c>
      <c r="W216">
        <f t="shared" si="92"/>
        <v>0</v>
      </c>
      <c r="X216">
        <f t="shared" si="93"/>
        <v>0</v>
      </c>
      <c r="Y216">
        <f t="shared" si="94"/>
        <v>0</v>
      </c>
      <c r="Z216">
        <f t="shared" si="95"/>
        <v>0</v>
      </c>
      <c r="AA216">
        <f t="shared" si="96"/>
        <v>0</v>
      </c>
      <c r="AB216">
        <f t="shared" si="79"/>
        <v>0</v>
      </c>
      <c r="AC216">
        <f t="shared" si="80"/>
        <v>1</v>
      </c>
      <c r="AD216">
        <f t="shared" si="81"/>
        <v>0</v>
      </c>
      <c r="AE216">
        <f t="shared" si="82"/>
        <v>0</v>
      </c>
      <c r="AF216">
        <f t="shared" si="83"/>
        <v>1</v>
      </c>
      <c r="AG216">
        <f t="shared" si="84"/>
        <v>0</v>
      </c>
      <c r="AH216">
        <f t="shared" si="97"/>
        <v>1</v>
      </c>
      <c r="AI216">
        <f t="shared" si="101"/>
        <v>0</v>
      </c>
      <c r="AJ216">
        <f t="shared" si="101"/>
        <v>0</v>
      </c>
      <c r="AK216">
        <f t="shared" si="101"/>
        <v>0</v>
      </c>
      <c r="AL216">
        <f t="shared" si="101"/>
        <v>0</v>
      </c>
      <c r="AM216">
        <f t="shared" si="101"/>
        <v>0</v>
      </c>
      <c r="AN216">
        <f t="shared" si="101"/>
        <v>0</v>
      </c>
      <c r="AO216">
        <f t="shared" si="101"/>
        <v>0</v>
      </c>
      <c r="AP216">
        <f t="shared" si="101"/>
        <v>0</v>
      </c>
      <c r="AQ216">
        <f t="shared" si="101"/>
        <v>0</v>
      </c>
      <c r="AR216">
        <f t="shared" si="101"/>
        <v>1</v>
      </c>
      <c r="AS216">
        <f t="shared" si="101"/>
        <v>0</v>
      </c>
      <c r="AT216">
        <f t="shared" si="101"/>
        <v>0</v>
      </c>
      <c r="AU216">
        <f t="shared" si="101"/>
        <v>0</v>
      </c>
      <c r="AV216">
        <f t="shared" si="101"/>
        <v>0</v>
      </c>
      <c r="AW216">
        <f t="shared" si="101"/>
        <v>0</v>
      </c>
      <c r="AX216">
        <f t="shared" si="98"/>
        <v>0</v>
      </c>
      <c r="AY216">
        <f t="shared" si="98"/>
        <v>0</v>
      </c>
      <c r="AZ216">
        <f t="shared" si="98"/>
        <v>0</v>
      </c>
      <c r="BA216">
        <f t="shared" si="99"/>
        <v>0</v>
      </c>
      <c r="BB216">
        <f t="shared" si="100"/>
        <v>0</v>
      </c>
    </row>
    <row r="217" spans="1:54">
      <c r="A217">
        <v>214</v>
      </c>
      <c r="B217" t="s">
        <v>20</v>
      </c>
      <c r="C217" t="s">
        <v>28</v>
      </c>
      <c r="D217" t="s">
        <v>22</v>
      </c>
      <c r="E217" t="s">
        <v>30</v>
      </c>
      <c r="F217" t="s">
        <v>28</v>
      </c>
      <c r="G217" t="s">
        <v>24</v>
      </c>
      <c r="H217" s="3">
        <v>2.46506059453315E-2</v>
      </c>
      <c r="I217" s="3">
        <v>2.37159919760652E-2</v>
      </c>
      <c r="J217" s="3">
        <v>2.0454119395847601E-2</v>
      </c>
      <c r="K217" s="3">
        <v>2.1366551567984501E-2</v>
      </c>
      <c r="L217" s="3">
        <v>1.55848091750236E-2</v>
      </c>
      <c r="M217" s="3">
        <v>1.23384569083801E-2</v>
      </c>
      <c r="N217" s="3">
        <v>2.7048528241845601E-2</v>
      </c>
      <c r="O217" s="3">
        <v>1.6498974603260198E-2</v>
      </c>
      <c r="P217">
        <f t="shared" si="85"/>
        <v>1</v>
      </c>
      <c r="Q217">
        <f t="shared" si="86"/>
        <v>0</v>
      </c>
      <c r="R217">
        <f t="shared" si="87"/>
        <v>1</v>
      </c>
      <c r="S217">
        <f t="shared" si="88"/>
        <v>0</v>
      </c>
      <c r="T217">
        <f t="shared" si="89"/>
        <v>0</v>
      </c>
      <c r="U217">
        <f t="shared" si="90"/>
        <v>0</v>
      </c>
      <c r="V217">
        <f t="shared" si="91"/>
        <v>0</v>
      </c>
      <c r="W217">
        <f t="shared" si="92"/>
        <v>0</v>
      </c>
      <c r="X217">
        <f t="shared" si="93"/>
        <v>0</v>
      </c>
      <c r="Y217">
        <f t="shared" si="94"/>
        <v>0</v>
      </c>
      <c r="Z217">
        <f t="shared" si="95"/>
        <v>0</v>
      </c>
      <c r="AA217">
        <f t="shared" si="96"/>
        <v>0</v>
      </c>
      <c r="AB217">
        <f t="shared" si="79"/>
        <v>0</v>
      </c>
      <c r="AC217">
        <f t="shared" si="80"/>
        <v>0</v>
      </c>
      <c r="AD217">
        <f t="shared" si="81"/>
        <v>0</v>
      </c>
      <c r="AE217">
        <f t="shared" si="82"/>
        <v>0</v>
      </c>
      <c r="AF217">
        <f t="shared" si="83"/>
        <v>1</v>
      </c>
      <c r="AG217">
        <f t="shared" si="84"/>
        <v>0</v>
      </c>
      <c r="AH217">
        <f t="shared" si="97"/>
        <v>0</v>
      </c>
      <c r="AI217">
        <f t="shared" si="101"/>
        <v>0</v>
      </c>
      <c r="AJ217">
        <f t="shared" si="101"/>
        <v>0</v>
      </c>
      <c r="AK217">
        <f t="shared" si="101"/>
        <v>0</v>
      </c>
      <c r="AL217">
        <f t="shared" si="101"/>
        <v>0</v>
      </c>
      <c r="AM217">
        <f t="shared" si="101"/>
        <v>0</v>
      </c>
      <c r="AN217">
        <f t="shared" si="101"/>
        <v>0</v>
      </c>
      <c r="AO217">
        <f t="shared" si="101"/>
        <v>0</v>
      </c>
      <c r="AP217">
        <f t="shared" si="101"/>
        <v>0</v>
      </c>
      <c r="AQ217">
        <f t="shared" si="101"/>
        <v>0</v>
      </c>
      <c r="AR217">
        <f t="shared" si="101"/>
        <v>0</v>
      </c>
      <c r="AS217">
        <f t="shared" si="101"/>
        <v>1</v>
      </c>
      <c r="AT217">
        <f t="shared" si="101"/>
        <v>0</v>
      </c>
      <c r="AU217">
        <f t="shared" si="101"/>
        <v>0</v>
      </c>
      <c r="AV217">
        <f t="shared" si="101"/>
        <v>0</v>
      </c>
      <c r="AW217">
        <f t="shared" si="101"/>
        <v>0</v>
      </c>
      <c r="AX217">
        <f t="shared" si="98"/>
        <v>0</v>
      </c>
      <c r="AY217">
        <f t="shared" si="98"/>
        <v>0</v>
      </c>
      <c r="AZ217">
        <f t="shared" si="98"/>
        <v>0</v>
      </c>
      <c r="BA217">
        <f t="shared" si="99"/>
        <v>0</v>
      </c>
      <c r="BB217">
        <f t="shared" si="100"/>
        <v>0</v>
      </c>
    </row>
    <row r="218" spans="1:54">
      <c r="A218">
        <v>215</v>
      </c>
      <c r="B218" t="s">
        <v>20</v>
      </c>
      <c r="C218" t="s">
        <v>28</v>
      </c>
      <c r="D218" t="s">
        <v>22</v>
      </c>
      <c r="E218" t="s">
        <v>30</v>
      </c>
      <c r="F218" t="s">
        <v>28</v>
      </c>
      <c r="G218" t="s">
        <v>25</v>
      </c>
      <c r="H218" s="3">
        <v>1.86277837216169E-2</v>
      </c>
      <c r="I218" s="3">
        <v>1.80889415668226E-2</v>
      </c>
      <c r="J218" s="3">
        <v>1.5899626506881301E-2</v>
      </c>
      <c r="K218" s="3">
        <v>1.6618340728379099E-2</v>
      </c>
      <c r="L218" s="3">
        <v>1.23893410305551E-2</v>
      </c>
      <c r="M218" s="3">
        <v>1.0034039722666499E-2</v>
      </c>
      <c r="N218" s="3">
        <v>2.0106445890005899E-2</v>
      </c>
      <c r="O218" s="3">
        <v>1.31660346935449E-2</v>
      </c>
      <c r="P218">
        <f t="shared" si="85"/>
        <v>1</v>
      </c>
      <c r="Q218">
        <f t="shared" si="86"/>
        <v>0</v>
      </c>
      <c r="R218">
        <f t="shared" si="87"/>
        <v>0</v>
      </c>
      <c r="S218">
        <f t="shared" si="88"/>
        <v>0</v>
      </c>
      <c r="T218">
        <f t="shared" si="89"/>
        <v>0</v>
      </c>
      <c r="U218">
        <f t="shared" si="90"/>
        <v>0</v>
      </c>
      <c r="V218">
        <f t="shared" si="91"/>
        <v>0</v>
      </c>
      <c r="W218">
        <f t="shared" si="92"/>
        <v>0</v>
      </c>
      <c r="X218">
        <f t="shared" si="93"/>
        <v>0</v>
      </c>
      <c r="Y218">
        <f t="shared" si="94"/>
        <v>0</v>
      </c>
      <c r="Z218">
        <f t="shared" si="95"/>
        <v>0</v>
      </c>
      <c r="AA218">
        <f t="shared" si="96"/>
        <v>0</v>
      </c>
      <c r="AB218">
        <f t="shared" si="79"/>
        <v>0</v>
      </c>
      <c r="AC218">
        <f t="shared" si="80"/>
        <v>0</v>
      </c>
      <c r="AD218">
        <f t="shared" si="81"/>
        <v>0</v>
      </c>
      <c r="AE218">
        <f t="shared" si="82"/>
        <v>0</v>
      </c>
      <c r="AF218">
        <f t="shared" si="83"/>
        <v>1</v>
      </c>
      <c r="AG218">
        <f t="shared" si="84"/>
        <v>0</v>
      </c>
      <c r="AH218">
        <f t="shared" si="97"/>
        <v>0</v>
      </c>
      <c r="AI218">
        <f t="shared" si="101"/>
        <v>0</v>
      </c>
      <c r="AJ218">
        <f t="shared" si="101"/>
        <v>0</v>
      </c>
      <c r="AK218">
        <f t="shared" si="101"/>
        <v>0</v>
      </c>
      <c r="AL218">
        <f t="shared" si="101"/>
        <v>0</v>
      </c>
      <c r="AM218">
        <f t="shared" si="101"/>
        <v>0</v>
      </c>
      <c r="AN218">
        <f t="shared" si="101"/>
        <v>1</v>
      </c>
      <c r="AO218">
        <f t="shared" si="101"/>
        <v>0</v>
      </c>
      <c r="AP218">
        <f t="shared" si="101"/>
        <v>0</v>
      </c>
      <c r="AQ218">
        <f t="shared" si="101"/>
        <v>0</v>
      </c>
      <c r="AR218">
        <f t="shared" si="101"/>
        <v>0</v>
      </c>
      <c r="AS218">
        <f t="shared" si="101"/>
        <v>0</v>
      </c>
      <c r="AT218">
        <f t="shared" si="101"/>
        <v>0</v>
      </c>
      <c r="AU218">
        <f t="shared" si="101"/>
        <v>0</v>
      </c>
      <c r="AV218">
        <f t="shared" si="101"/>
        <v>0</v>
      </c>
      <c r="AW218">
        <f t="shared" si="101"/>
        <v>0</v>
      </c>
      <c r="AX218">
        <f t="shared" si="98"/>
        <v>0</v>
      </c>
      <c r="AY218">
        <f t="shared" si="98"/>
        <v>0</v>
      </c>
      <c r="AZ218">
        <f t="shared" si="98"/>
        <v>0</v>
      </c>
      <c r="BA218">
        <f t="shared" si="99"/>
        <v>1</v>
      </c>
      <c r="BB218">
        <f t="shared" si="100"/>
        <v>0</v>
      </c>
    </row>
    <row r="219" spans="1:54">
      <c r="A219">
        <v>216</v>
      </c>
      <c r="B219" t="s">
        <v>20</v>
      </c>
      <c r="C219" t="s">
        <v>28</v>
      </c>
      <c r="D219" t="s">
        <v>22</v>
      </c>
      <c r="E219" t="s">
        <v>30</v>
      </c>
      <c r="F219" t="s">
        <v>28</v>
      </c>
      <c r="G219" t="s">
        <v>26</v>
      </c>
      <c r="H219" s="3">
        <v>1.89102151995705E-2</v>
      </c>
      <c r="I219" s="3">
        <v>1.84390092405298E-2</v>
      </c>
      <c r="J219" s="3">
        <v>1.6168929649287001E-2</v>
      </c>
      <c r="K219" s="3">
        <v>1.69995839224459E-2</v>
      </c>
      <c r="L219" s="3">
        <v>1.2615006999706699E-2</v>
      </c>
      <c r="M219" s="3">
        <v>1.02009284907755E-2</v>
      </c>
      <c r="N219" s="3">
        <v>2.04142900030021E-2</v>
      </c>
      <c r="O219" s="3">
        <v>1.3393953584125999E-2</v>
      </c>
      <c r="P219">
        <f t="shared" si="85"/>
        <v>1</v>
      </c>
      <c r="Q219">
        <f t="shared" si="86"/>
        <v>0</v>
      </c>
      <c r="R219">
        <f t="shared" si="87"/>
        <v>0</v>
      </c>
      <c r="S219">
        <f t="shared" si="88"/>
        <v>0</v>
      </c>
      <c r="T219">
        <f t="shared" si="89"/>
        <v>0</v>
      </c>
      <c r="U219">
        <f t="shared" si="90"/>
        <v>0</v>
      </c>
      <c r="V219">
        <f t="shared" si="91"/>
        <v>0</v>
      </c>
      <c r="W219">
        <f t="shared" si="92"/>
        <v>0</v>
      </c>
      <c r="X219">
        <f t="shared" si="93"/>
        <v>0</v>
      </c>
      <c r="Y219">
        <f t="shared" si="94"/>
        <v>0</v>
      </c>
      <c r="Z219">
        <f t="shared" si="95"/>
        <v>0</v>
      </c>
      <c r="AA219">
        <f t="shared" si="96"/>
        <v>0</v>
      </c>
      <c r="AB219">
        <f t="shared" si="79"/>
        <v>0</v>
      </c>
      <c r="AC219">
        <f t="shared" si="80"/>
        <v>0</v>
      </c>
      <c r="AD219">
        <f t="shared" si="81"/>
        <v>0</v>
      </c>
      <c r="AE219">
        <f t="shared" si="82"/>
        <v>0</v>
      </c>
      <c r="AF219">
        <f t="shared" si="83"/>
        <v>1</v>
      </c>
      <c r="AG219">
        <f t="shared" si="84"/>
        <v>0</v>
      </c>
      <c r="AH219">
        <f t="shared" si="97"/>
        <v>0</v>
      </c>
      <c r="AI219">
        <f t="shared" si="101"/>
        <v>0</v>
      </c>
      <c r="AJ219">
        <f t="shared" si="101"/>
        <v>1</v>
      </c>
      <c r="AK219">
        <f t="shared" si="101"/>
        <v>0</v>
      </c>
      <c r="AL219">
        <f t="shared" si="101"/>
        <v>0</v>
      </c>
      <c r="AM219">
        <f t="shared" si="101"/>
        <v>0</v>
      </c>
      <c r="AN219">
        <f t="shared" si="101"/>
        <v>0</v>
      </c>
      <c r="AO219">
        <f t="shared" si="101"/>
        <v>0</v>
      </c>
      <c r="AP219">
        <f t="shared" si="101"/>
        <v>0</v>
      </c>
      <c r="AQ219">
        <f t="shared" si="101"/>
        <v>0</v>
      </c>
      <c r="AR219">
        <f t="shared" si="101"/>
        <v>0</v>
      </c>
      <c r="AS219">
        <f t="shared" si="101"/>
        <v>0</v>
      </c>
      <c r="AT219">
        <f t="shared" si="101"/>
        <v>0</v>
      </c>
      <c r="AU219">
        <f t="shared" si="101"/>
        <v>0</v>
      </c>
      <c r="AV219">
        <f t="shared" si="101"/>
        <v>0</v>
      </c>
      <c r="AW219">
        <f t="shared" si="101"/>
        <v>0</v>
      </c>
      <c r="AX219">
        <f t="shared" si="98"/>
        <v>0</v>
      </c>
      <c r="AY219">
        <f t="shared" si="98"/>
        <v>0</v>
      </c>
      <c r="AZ219">
        <f t="shared" si="98"/>
        <v>0</v>
      </c>
      <c r="BA219">
        <f t="shared" si="99"/>
        <v>1</v>
      </c>
      <c r="BB219">
        <f t="shared" si="100"/>
        <v>0</v>
      </c>
    </row>
    <row r="220" spans="1:54">
      <c r="A220">
        <v>217</v>
      </c>
      <c r="B220" t="s">
        <v>20</v>
      </c>
      <c r="C220" t="s">
        <v>28</v>
      </c>
      <c r="D220" t="s">
        <v>22</v>
      </c>
      <c r="E220" t="s">
        <v>30</v>
      </c>
      <c r="F220" t="s">
        <v>28</v>
      </c>
      <c r="G220" t="s">
        <v>27</v>
      </c>
      <c r="H220" s="3">
        <v>5.1717425974445203E-2</v>
      </c>
      <c r="I220" s="3">
        <v>4.9217008635425198E-2</v>
      </c>
      <c r="J220" s="3">
        <v>4.2685025598549503E-2</v>
      </c>
      <c r="K220" s="3">
        <v>4.4343111440939102E-2</v>
      </c>
      <c r="L220" s="3">
        <v>3.3055936310418199E-2</v>
      </c>
      <c r="M220" s="3">
        <v>2.6762887622940899E-2</v>
      </c>
      <c r="N220" s="3">
        <v>5.60593569661995E-2</v>
      </c>
      <c r="O220" s="3">
        <v>3.4142480338383997E-2</v>
      </c>
      <c r="P220">
        <f t="shared" si="85"/>
        <v>1</v>
      </c>
      <c r="Q220">
        <f t="shared" si="86"/>
        <v>0</v>
      </c>
      <c r="R220">
        <f t="shared" si="87"/>
        <v>0</v>
      </c>
      <c r="S220">
        <f t="shared" si="88"/>
        <v>1</v>
      </c>
      <c r="T220">
        <f t="shared" si="89"/>
        <v>0</v>
      </c>
      <c r="U220">
        <f t="shared" si="90"/>
        <v>0</v>
      </c>
      <c r="V220">
        <f t="shared" si="91"/>
        <v>0</v>
      </c>
      <c r="W220">
        <f t="shared" si="92"/>
        <v>0</v>
      </c>
      <c r="X220">
        <f t="shared" si="93"/>
        <v>0</v>
      </c>
      <c r="Y220">
        <f t="shared" si="94"/>
        <v>0</v>
      </c>
      <c r="Z220">
        <f t="shared" si="95"/>
        <v>0</v>
      </c>
      <c r="AA220">
        <f t="shared" si="96"/>
        <v>0</v>
      </c>
      <c r="AB220">
        <f t="shared" si="79"/>
        <v>0</v>
      </c>
      <c r="AC220">
        <f t="shared" si="80"/>
        <v>0</v>
      </c>
      <c r="AD220">
        <f t="shared" si="81"/>
        <v>0</v>
      </c>
      <c r="AE220">
        <f t="shared" si="82"/>
        <v>0</v>
      </c>
      <c r="AF220">
        <f t="shared" si="83"/>
        <v>1</v>
      </c>
      <c r="AG220">
        <f t="shared" si="84"/>
        <v>0</v>
      </c>
      <c r="AH220">
        <f t="shared" si="97"/>
        <v>0</v>
      </c>
      <c r="AI220">
        <f t="shared" si="101"/>
        <v>0</v>
      </c>
      <c r="AJ220">
        <f t="shared" si="101"/>
        <v>0</v>
      </c>
      <c r="AK220">
        <f t="shared" si="101"/>
        <v>0</v>
      </c>
      <c r="AL220">
        <f t="shared" si="101"/>
        <v>0</v>
      </c>
      <c r="AM220">
        <f t="shared" si="101"/>
        <v>0</v>
      </c>
      <c r="AN220">
        <f t="shared" si="101"/>
        <v>0</v>
      </c>
      <c r="AO220">
        <f t="shared" si="101"/>
        <v>0</v>
      </c>
      <c r="AP220">
        <f t="shared" si="101"/>
        <v>0</v>
      </c>
      <c r="AQ220">
        <f t="shared" si="101"/>
        <v>0</v>
      </c>
      <c r="AR220">
        <f t="shared" si="101"/>
        <v>0</v>
      </c>
      <c r="AS220">
        <f t="shared" si="101"/>
        <v>0</v>
      </c>
      <c r="AT220">
        <f t="shared" si="101"/>
        <v>1</v>
      </c>
      <c r="AU220">
        <f t="shared" si="101"/>
        <v>0</v>
      </c>
      <c r="AV220">
        <f t="shared" si="101"/>
        <v>0</v>
      </c>
      <c r="AW220">
        <f t="shared" si="101"/>
        <v>0</v>
      </c>
      <c r="AX220">
        <f t="shared" si="98"/>
        <v>0</v>
      </c>
      <c r="AY220">
        <f t="shared" si="98"/>
        <v>0</v>
      </c>
      <c r="AZ220">
        <f t="shared" si="98"/>
        <v>0</v>
      </c>
      <c r="BA220">
        <f t="shared" si="99"/>
        <v>0</v>
      </c>
      <c r="BB220">
        <f t="shared" si="100"/>
        <v>0</v>
      </c>
    </row>
    <row r="221" spans="1:54">
      <c r="A221">
        <v>218</v>
      </c>
      <c r="B221" t="s">
        <v>20</v>
      </c>
      <c r="C221" t="s">
        <v>28</v>
      </c>
      <c r="D221" t="s">
        <v>22</v>
      </c>
      <c r="E221" t="s">
        <v>30</v>
      </c>
      <c r="F221" t="s">
        <v>29</v>
      </c>
      <c r="G221" t="s">
        <v>22</v>
      </c>
      <c r="H221" s="3">
        <v>2.4343486562307101E-2</v>
      </c>
      <c r="I221" s="3">
        <v>2.4545571950057101E-2</v>
      </c>
      <c r="J221" s="3">
        <v>2.0393607342847501E-2</v>
      </c>
      <c r="K221" s="3">
        <v>2.32866849471072E-2</v>
      </c>
      <c r="L221" s="3">
        <v>1.7254618208556699E-2</v>
      </c>
      <c r="M221" s="3">
        <v>1.41521308914108E-2</v>
      </c>
      <c r="N221" s="3">
        <v>2.6184058529072001E-2</v>
      </c>
      <c r="O221" s="3">
        <v>1.75276740215972E-2</v>
      </c>
      <c r="P221">
        <f t="shared" si="85"/>
        <v>1</v>
      </c>
      <c r="Q221">
        <f t="shared" si="86"/>
        <v>0</v>
      </c>
      <c r="R221">
        <f t="shared" si="87"/>
        <v>0</v>
      </c>
      <c r="S221">
        <f t="shared" si="88"/>
        <v>0</v>
      </c>
      <c r="T221">
        <f t="shared" si="89"/>
        <v>0</v>
      </c>
      <c r="U221">
        <f t="shared" si="90"/>
        <v>0</v>
      </c>
      <c r="V221">
        <f t="shared" si="91"/>
        <v>0</v>
      </c>
      <c r="W221">
        <f t="shared" si="92"/>
        <v>0</v>
      </c>
      <c r="X221">
        <f t="shared" si="93"/>
        <v>1</v>
      </c>
      <c r="Y221">
        <f t="shared" si="94"/>
        <v>0</v>
      </c>
      <c r="Z221">
        <f t="shared" si="95"/>
        <v>0</v>
      </c>
      <c r="AA221">
        <f t="shared" si="96"/>
        <v>0</v>
      </c>
      <c r="AB221">
        <f t="shared" si="79"/>
        <v>0</v>
      </c>
      <c r="AC221">
        <f t="shared" si="80"/>
        <v>1</v>
      </c>
      <c r="AD221">
        <f t="shared" si="81"/>
        <v>0</v>
      </c>
      <c r="AE221">
        <f t="shared" si="82"/>
        <v>0</v>
      </c>
      <c r="AF221">
        <f t="shared" si="83"/>
        <v>0</v>
      </c>
      <c r="AG221">
        <f t="shared" si="84"/>
        <v>0</v>
      </c>
      <c r="AH221">
        <f t="shared" si="97"/>
        <v>1</v>
      </c>
      <c r="AI221">
        <f t="shared" si="101"/>
        <v>0</v>
      </c>
      <c r="AJ221">
        <f t="shared" si="101"/>
        <v>0</v>
      </c>
      <c r="AK221">
        <f t="shared" si="101"/>
        <v>0</v>
      </c>
      <c r="AL221">
        <f t="shared" si="101"/>
        <v>0</v>
      </c>
      <c r="AM221">
        <f t="shared" si="101"/>
        <v>0</v>
      </c>
      <c r="AN221">
        <f t="shared" si="101"/>
        <v>0</v>
      </c>
      <c r="AO221">
        <f t="shared" si="101"/>
        <v>0</v>
      </c>
      <c r="AP221">
        <f t="shared" si="101"/>
        <v>0</v>
      </c>
      <c r="AQ221">
        <f t="shared" si="101"/>
        <v>0</v>
      </c>
      <c r="AR221">
        <f t="shared" si="101"/>
        <v>0</v>
      </c>
      <c r="AS221">
        <f t="shared" si="101"/>
        <v>0</v>
      </c>
      <c r="AT221">
        <f t="shared" si="101"/>
        <v>0</v>
      </c>
      <c r="AU221">
        <f t="shared" si="101"/>
        <v>0</v>
      </c>
      <c r="AV221">
        <f t="shared" si="101"/>
        <v>0</v>
      </c>
      <c r="AW221">
        <f t="shared" si="101"/>
        <v>0</v>
      </c>
      <c r="AX221">
        <f t="shared" si="98"/>
        <v>0</v>
      </c>
      <c r="AY221">
        <f t="shared" si="98"/>
        <v>1</v>
      </c>
      <c r="AZ221">
        <f t="shared" si="98"/>
        <v>0</v>
      </c>
      <c r="BA221">
        <f t="shared" si="99"/>
        <v>0</v>
      </c>
      <c r="BB221">
        <f t="shared" si="100"/>
        <v>1</v>
      </c>
    </row>
    <row r="222" spans="1:54">
      <c r="A222">
        <v>219</v>
      </c>
      <c r="B222" t="s">
        <v>20</v>
      </c>
      <c r="C222" t="s">
        <v>28</v>
      </c>
      <c r="D222" t="s">
        <v>22</v>
      </c>
      <c r="E222" t="s">
        <v>30</v>
      </c>
      <c r="F222" t="s">
        <v>29</v>
      </c>
      <c r="G222" t="s">
        <v>23</v>
      </c>
      <c r="H222" s="3">
        <v>0.59630879192980901</v>
      </c>
      <c r="I222" s="3">
        <v>0.56739955992928603</v>
      </c>
      <c r="J222" s="3">
        <v>0.49037453889719601</v>
      </c>
      <c r="K222" s="3">
        <v>0.51952394460645002</v>
      </c>
      <c r="L222" s="3">
        <v>0.40142784441857599</v>
      </c>
      <c r="M222" s="3">
        <v>0.327214419279937</v>
      </c>
      <c r="N222" s="3">
        <v>0.63551401869158797</v>
      </c>
      <c r="O222" s="3">
        <v>0.42377589823904599</v>
      </c>
      <c r="P222">
        <f t="shared" si="85"/>
        <v>1</v>
      </c>
      <c r="Q222">
        <f t="shared" si="86"/>
        <v>0</v>
      </c>
      <c r="R222">
        <f t="shared" si="87"/>
        <v>0</v>
      </c>
      <c r="S222">
        <f t="shared" si="88"/>
        <v>0</v>
      </c>
      <c r="T222">
        <f t="shared" si="89"/>
        <v>0</v>
      </c>
      <c r="U222">
        <f t="shared" si="90"/>
        <v>0</v>
      </c>
      <c r="V222">
        <f t="shared" si="91"/>
        <v>0</v>
      </c>
      <c r="W222">
        <f t="shared" si="92"/>
        <v>0</v>
      </c>
      <c r="X222">
        <f t="shared" si="93"/>
        <v>0</v>
      </c>
      <c r="Y222">
        <f t="shared" si="94"/>
        <v>1</v>
      </c>
      <c r="Z222">
        <f t="shared" si="95"/>
        <v>0</v>
      </c>
      <c r="AA222">
        <f t="shared" si="96"/>
        <v>0</v>
      </c>
      <c r="AB222">
        <f t="shared" si="79"/>
        <v>0</v>
      </c>
      <c r="AC222">
        <f t="shared" si="80"/>
        <v>1</v>
      </c>
      <c r="AD222">
        <f t="shared" si="81"/>
        <v>0</v>
      </c>
      <c r="AE222">
        <f t="shared" si="82"/>
        <v>0</v>
      </c>
      <c r="AF222">
        <f t="shared" si="83"/>
        <v>0</v>
      </c>
      <c r="AG222">
        <f t="shared" si="84"/>
        <v>0</v>
      </c>
      <c r="AH222">
        <f t="shared" si="97"/>
        <v>1</v>
      </c>
      <c r="AI222">
        <f t="shared" ref="AI222:AW238" si="102">IF(OR(AND($D222=AI$1,$G222=AI$2),AND($D222=AI$2,$G222=AI$1)),1,0)</f>
        <v>0</v>
      </c>
      <c r="AJ222">
        <f t="shared" si="102"/>
        <v>0</v>
      </c>
      <c r="AK222">
        <f t="shared" si="102"/>
        <v>0</v>
      </c>
      <c r="AL222">
        <f t="shared" si="102"/>
        <v>0</v>
      </c>
      <c r="AM222">
        <f t="shared" si="102"/>
        <v>0</v>
      </c>
      <c r="AN222">
        <f t="shared" si="102"/>
        <v>0</v>
      </c>
      <c r="AO222">
        <f t="shared" si="102"/>
        <v>0</v>
      </c>
      <c r="AP222">
        <f t="shared" si="102"/>
        <v>0</v>
      </c>
      <c r="AQ222">
        <f t="shared" si="102"/>
        <v>0</v>
      </c>
      <c r="AR222">
        <f t="shared" si="102"/>
        <v>1</v>
      </c>
      <c r="AS222">
        <f t="shared" si="102"/>
        <v>0</v>
      </c>
      <c r="AT222">
        <f t="shared" si="102"/>
        <v>0</v>
      </c>
      <c r="AU222">
        <f t="shared" si="102"/>
        <v>0</v>
      </c>
      <c r="AV222">
        <f t="shared" si="102"/>
        <v>0</v>
      </c>
      <c r="AW222">
        <f t="shared" si="102"/>
        <v>0</v>
      </c>
      <c r="AX222">
        <f t="shared" si="98"/>
        <v>0</v>
      </c>
      <c r="AY222">
        <f t="shared" si="98"/>
        <v>1</v>
      </c>
      <c r="AZ222">
        <f t="shared" si="98"/>
        <v>0</v>
      </c>
      <c r="BA222">
        <f t="shared" si="99"/>
        <v>0</v>
      </c>
      <c r="BB222">
        <f t="shared" si="100"/>
        <v>1</v>
      </c>
    </row>
    <row r="223" spans="1:54">
      <c r="A223">
        <v>220</v>
      </c>
      <c r="B223" t="s">
        <v>20</v>
      </c>
      <c r="C223" t="s">
        <v>28</v>
      </c>
      <c r="D223" t="s">
        <v>22</v>
      </c>
      <c r="E223" t="s">
        <v>30</v>
      </c>
      <c r="F223" t="s">
        <v>29</v>
      </c>
      <c r="G223" t="s">
        <v>24</v>
      </c>
      <c r="H223" s="3">
        <v>3.5898920086334801E-2</v>
      </c>
      <c r="I223" s="3">
        <v>3.4426107358016197E-2</v>
      </c>
      <c r="J223" s="3">
        <v>2.9750567065006998E-2</v>
      </c>
      <c r="K223" s="3">
        <v>3.1144029089694401E-2</v>
      </c>
      <c r="L223" s="3">
        <v>2.27429685221258E-2</v>
      </c>
      <c r="M223" s="3">
        <v>1.81216662799141E-2</v>
      </c>
      <c r="N223" s="3">
        <v>3.9102932719953999E-2</v>
      </c>
      <c r="O223" s="3">
        <v>2.4034600979884298E-2</v>
      </c>
      <c r="P223">
        <f t="shared" si="85"/>
        <v>1</v>
      </c>
      <c r="Q223">
        <f t="shared" si="86"/>
        <v>0</v>
      </c>
      <c r="R223">
        <f t="shared" si="87"/>
        <v>0</v>
      </c>
      <c r="S223">
        <f t="shared" si="88"/>
        <v>0</v>
      </c>
      <c r="T223">
        <f t="shared" si="89"/>
        <v>0</v>
      </c>
      <c r="U223">
        <f t="shared" si="90"/>
        <v>0</v>
      </c>
      <c r="V223">
        <f t="shared" si="91"/>
        <v>0</v>
      </c>
      <c r="W223">
        <f t="shared" si="92"/>
        <v>0</v>
      </c>
      <c r="X223">
        <f t="shared" si="93"/>
        <v>0</v>
      </c>
      <c r="Y223">
        <f t="shared" si="94"/>
        <v>0</v>
      </c>
      <c r="Z223">
        <f t="shared" si="95"/>
        <v>0</v>
      </c>
      <c r="AA223">
        <f t="shared" si="96"/>
        <v>1</v>
      </c>
      <c r="AB223">
        <f t="shared" si="79"/>
        <v>0</v>
      </c>
      <c r="AC223">
        <f t="shared" si="80"/>
        <v>0</v>
      </c>
      <c r="AD223">
        <f t="shared" si="81"/>
        <v>0</v>
      </c>
      <c r="AE223">
        <f t="shared" si="82"/>
        <v>0</v>
      </c>
      <c r="AF223">
        <f t="shared" si="83"/>
        <v>0</v>
      </c>
      <c r="AG223">
        <f t="shared" si="84"/>
        <v>0</v>
      </c>
      <c r="AH223">
        <f t="shared" si="97"/>
        <v>0</v>
      </c>
      <c r="AI223">
        <f t="shared" si="102"/>
        <v>0</v>
      </c>
      <c r="AJ223">
        <f t="shared" si="102"/>
        <v>0</v>
      </c>
      <c r="AK223">
        <f t="shared" si="102"/>
        <v>0</v>
      </c>
      <c r="AL223">
        <f t="shared" si="102"/>
        <v>0</v>
      </c>
      <c r="AM223">
        <f t="shared" si="102"/>
        <v>0</v>
      </c>
      <c r="AN223">
        <f t="shared" si="102"/>
        <v>0</v>
      </c>
      <c r="AO223">
        <f t="shared" si="102"/>
        <v>0</v>
      </c>
      <c r="AP223">
        <f t="shared" si="102"/>
        <v>0</v>
      </c>
      <c r="AQ223">
        <f t="shared" si="102"/>
        <v>0</v>
      </c>
      <c r="AR223">
        <f t="shared" si="102"/>
        <v>0</v>
      </c>
      <c r="AS223">
        <f t="shared" si="102"/>
        <v>1</v>
      </c>
      <c r="AT223">
        <f t="shared" si="102"/>
        <v>0</v>
      </c>
      <c r="AU223">
        <f t="shared" si="102"/>
        <v>0</v>
      </c>
      <c r="AV223">
        <f t="shared" si="102"/>
        <v>0</v>
      </c>
      <c r="AW223">
        <f t="shared" si="102"/>
        <v>0</v>
      </c>
      <c r="AX223">
        <f t="shared" si="98"/>
        <v>0</v>
      </c>
      <c r="AY223">
        <f t="shared" si="98"/>
        <v>1</v>
      </c>
      <c r="AZ223">
        <f t="shared" si="98"/>
        <v>0</v>
      </c>
      <c r="BA223">
        <f t="shared" si="99"/>
        <v>0</v>
      </c>
      <c r="BB223">
        <f t="shared" si="100"/>
        <v>1</v>
      </c>
    </row>
    <row r="224" spans="1:54">
      <c r="A224">
        <v>221</v>
      </c>
      <c r="B224" t="s">
        <v>20</v>
      </c>
      <c r="C224" t="s">
        <v>28</v>
      </c>
      <c r="D224" t="s">
        <v>22</v>
      </c>
      <c r="E224" t="s">
        <v>30</v>
      </c>
      <c r="F224" t="s">
        <v>29</v>
      </c>
      <c r="G224" t="s">
        <v>31</v>
      </c>
      <c r="H224" s="3">
        <v>0.45872251299955602</v>
      </c>
      <c r="I224" s="3">
        <v>0.45351775557458501</v>
      </c>
      <c r="J224" s="3">
        <v>0.364780809631779</v>
      </c>
      <c r="K224" s="3">
        <v>0.40507299115405698</v>
      </c>
      <c r="L224" s="3">
        <v>0.296673906620193</v>
      </c>
      <c r="M224" s="3">
        <v>0.23115475932864199</v>
      </c>
      <c r="N224" s="3">
        <v>0.52307692307692299</v>
      </c>
      <c r="O224" s="3">
        <v>0.29276312573783297</v>
      </c>
      <c r="P224">
        <f t="shared" si="85"/>
        <v>1</v>
      </c>
      <c r="Q224">
        <f t="shared" si="86"/>
        <v>0</v>
      </c>
      <c r="R224">
        <f t="shared" si="87"/>
        <v>0</v>
      </c>
      <c r="S224">
        <f t="shared" si="88"/>
        <v>0</v>
      </c>
      <c r="T224">
        <f t="shared" si="89"/>
        <v>0</v>
      </c>
      <c r="U224">
        <f t="shared" si="90"/>
        <v>0</v>
      </c>
      <c r="V224">
        <f t="shared" si="91"/>
        <v>0</v>
      </c>
      <c r="W224">
        <f t="shared" si="92"/>
        <v>0</v>
      </c>
      <c r="X224">
        <f t="shared" si="93"/>
        <v>0</v>
      </c>
      <c r="Y224">
        <f t="shared" si="94"/>
        <v>0</v>
      </c>
      <c r="Z224">
        <f t="shared" si="95"/>
        <v>1</v>
      </c>
      <c r="AA224">
        <f t="shared" si="96"/>
        <v>0</v>
      </c>
      <c r="AB224">
        <f t="shared" si="79"/>
        <v>0</v>
      </c>
      <c r="AC224">
        <f t="shared" si="80"/>
        <v>1</v>
      </c>
      <c r="AD224">
        <f t="shared" si="81"/>
        <v>0</v>
      </c>
      <c r="AE224">
        <f t="shared" si="82"/>
        <v>0</v>
      </c>
      <c r="AF224">
        <f t="shared" si="83"/>
        <v>0</v>
      </c>
      <c r="AG224">
        <f t="shared" si="84"/>
        <v>0</v>
      </c>
      <c r="AH224">
        <f t="shared" si="97"/>
        <v>1</v>
      </c>
      <c r="AI224">
        <f t="shared" si="102"/>
        <v>0</v>
      </c>
      <c r="AJ224">
        <f t="shared" si="102"/>
        <v>0</v>
      </c>
      <c r="AK224">
        <f t="shared" si="102"/>
        <v>0</v>
      </c>
      <c r="AL224">
        <f t="shared" si="102"/>
        <v>0</v>
      </c>
      <c r="AM224">
        <f t="shared" si="102"/>
        <v>0</v>
      </c>
      <c r="AN224">
        <f t="shared" si="102"/>
        <v>0</v>
      </c>
      <c r="AO224">
        <f t="shared" si="102"/>
        <v>0</v>
      </c>
      <c r="AP224">
        <f t="shared" si="102"/>
        <v>0</v>
      </c>
      <c r="AQ224">
        <f t="shared" si="102"/>
        <v>0</v>
      </c>
      <c r="AR224">
        <f t="shared" si="102"/>
        <v>0</v>
      </c>
      <c r="AS224">
        <f t="shared" si="102"/>
        <v>0</v>
      </c>
      <c r="AT224">
        <f t="shared" si="102"/>
        <v>0</v>
      </c>
      <c r="AU224">
        <f t="shared" si="102"/>
        <v>0</v>
      </c>
      <c r="AV224">
        <f t="shared" si="102"/>
        <v>0</v>
      </c>
      <c r="AW224">
        <f t="shared" si="102"/>
        <v>0</v>
      </c>
      <c r="AX224">
        <f t="shared" si="98"/>
        <v>0</v>
      </c>
      <c r="AY224">
        <f t="shared" si="98"/>
        <v>1</v>
      </c>
      <c r="AZ224">
        <f t="shared" si="98"/>
        <v>0</v>
      </c>
      <c r="BA224">
        <f t="shared" si="99"/>
        <v>0</v>
      </c>
      <c r="BB224">
        <f t="shared" si="100"/>
        <v>1</v>
      </c>
    </row>
    <row r="225" spans="1:54">
      <c r="A225">
        <v>222</v>
      </c>
      <c r="B225" t="s">
        <v>20</v>
      </c>
      <c r="C225" t="s">
        <v>28</v>
      </c>
      <c r="D225" t="s">
        <v>22</v>
      </c>
      <c r="E225" t="s">
        <v>30</v>
      </c>
      <c r="F225" t="s">
        <v>29</v>
      </c>
      <c r="G225" t="s">
        <v>25</v>
      </c>
      <c r="H225" s="3">
        <v>3.1477620906181702E-3</v>
      </c>
      <c r="I225" s="3">
        <v>3.0508254717360899E-3</v>
      </c>
      <c r="J225" s="3">
        <v>2.6768406093150101E-3</v>
      </c>
      <c r="K225" s="3">
        <v>2.7819911637504799E-3</v>
      </c>
      <c r="L225" s="3">
        <v>2.1106574554241499E-3</v>
      </c>
      <c r="M225" s="3">
        <v>1.69570919870321E-3</v>
      </c>
      <c r="N225" s="3">
        <v>3.4134832588725399E-3</v>
      </c>
      <c r="O225" s="3">
        <v>2.1719575531985199E-3</v>
      </c>
      <c r="P225">
        <f t="shared" si="85"/>
        <v>1</v>
      </c>
      <c r="Q225">
        <f t="shared" si="86"/>
        <v>0</v>
      </c>
      <c r="R225">
        <f t="shared" si="87"/>
        <v>0</v>
      </c>
      <c r="S225">
        <f t="shared" si="88"/>
        <v>0</v>
      </c>
      <c r="T225">
        <f t="shared" si="89"/>
        <v>0</v>
      </c>
      <c r="U225">
        <f t="shared" si="90"/>
        <v>0</v>
      </c>
      <c r="V225">
        <f t="shared" si="91"/>
        <v>0</v>
      </c>
      <c r="W225">
        <f t="shared" si="92"/>
        <v>0</v>
      </c>
      <c r="X225">
        <f t="shared" si="93"/>
        <v>0</v>
      </c>
      <c r="Y225">
        <f t="shared" si="94"/>
        <v>0</v>
      </c>
      <c r="Z225">
        <f t="shared" si="95"/>
        <v>0</v>
      </c>
      <c r="AA225">
        <f t="shared" si="96"/>
        <v>0</v>
      </c>
      <c r="AB225">
        <f t="shared" si="79"/>
        <v>0</v>
      </c>
      <c r="AC225">
        <f t="shared" si="80"/>
        <v>0</v>
      </c>
      <c r="AD225">
        <f t="shared" si="81"/>
        <v>0</v>
      </c>
      <c r="AE225">
        <f t="shared" si="82"/>
        <v>0</v>
      </c>
      <c r="AF225">
        <f t="shared" si="83"/>
        <v>0</v>
      </c>
      <c r="AG225">
        <f t="shared" si="84"/>
        <v>0</v>
      </c>
      <c r="AH225">
        <f t="shared" si="97"/>
        <v>0</v>
      </c>
      <c r="AI225">
        <f t="shared" si="102"/>
        <v>0</v>
      </c>
      <c r="AJ225">
        <f t="shared" si="102"/>
        <v>0</v>
      </c>
      <c r="AK225">
        <f t="shared" si="102"/>
        <v>0</v>
      </c>
      <c r="AL225">
        <f t="shared" si="102"/>
        <v>0</v>
      </c>
      <c r="AM225">
        <f t="shared" si="102"/>
        <v>0</v>
      </c>
      <c r="AN225">
        <f t="shared" si="102"/>
        <v>1</v>
      </c>
      <c r="AO225">
        <f t="shared" si="102"/>
        <v>0</v>
      </c>
      <c r="AP225">
        <f t="shared" si="102"/>
        <v>0</v>
      </c>
      <c r="AQ225">
        <f t="shared" si="102"/>
        <v>0</v>
      </c>
      <c r="AR225">
        <f t="shared" si="102"/>
        <v>0</v>
      </c>
      <c r="AS225">
        <f t="shared" si="102"/>
        <v>0</v>
      </c>
      <c r="AT225">
        <f t="shared" si="102"/>
        <v>0</v>
      </c>
      <c r="AU225">
        <f t="shared" si="102"/>
        <v>0</v>
      </c>
      <c r="AV225">
        <f t="shared" si="102"/>
        <v>0</v>
      </c>
      <c r="AW225">
        <f t="shared" si="102"/>
        <v>0</v>
      </c>
      <c r="AX225">
        <f t="shared" si="98"/>
        <v>0</v>
      </c>
      <c r="AY225">
        <f t="shared" si="98"/>
        <v>1</v>
      </c>
      <c r="AZ225">
        <f t="shared" si="98"/>
        <v>0</v>
      </c>
      <c r="BA225">
        <f t="shared" si="99"/>
        <v>1</v>
      </c>
      <c r="BB225">
        <f t="shared" si="100"/>
        <v>1</v>
      </c>
    </row>
    <row r="226" spans="1:54">
      <c r="A226">
        <v>223</v>
      </c>
      <c r="B226" t="s">
        <v>20</v>
      </c>
      <c r="C226" t="s">
        <v>28</v>
      </c>
      <c r="D226" t="s">
        <v>22</v>
      </c>
      <c r="E226" t="s">
        <v>30</v>
      </c>
      <c r="F226" t="s">
        <v>29</v>
      </c>
      <c r="G226" t="s">
        <v>26</v>
      </c>
      <c r="H226" s="3">
        <v>3.2194606126169901E-3</v>
      </c>
      <c r="I226" s="3">
        <v>3.1232796505828199E-3</v>
      </c>
      <c r="J226" s="3">
        <v>2.7344399884454001E-3</v>
      </c>
      <c r="K226" s="3">
        <v>2.8501416421360202E-3</v>
      </c>
      <c r="L226" s="3">
        <v>2.1604392236235399E-3</v>
      </c>
      <c r="M226" s="3">
        <v>1.73342436144995E-3</v>
      </c>
      <c r="N226" s="3">
        <v>3.4907597535934198E-3</v>
      </c>
      <c r="O226" s="3">
        <v>2.2215672738806701E-3</v>
      </c>
      <c r="P226">
        <f t="shared" si="85"/>
        <v>1</v>
      </c>
      <c r="Q226">
        <f t="shared" si="86"/>
        <v>0</v>
      </c>
      <c r="R226">
        <f t="shared" si="87"/>
        <v>0</v>
      </c>
      <c r="S226">
        <f t="shared" si="88"/>
        <v>0</v>
      </c>
      <c r="T226">
        <f t="shared" si="89"/>
        <v>0</v>
      </c>
      <c r="U226">
        <f t="shared" si="90"/>
        <v>0</v>
      </c>
      <c r="V226">
        <f t="shared" si="91"/>
        <v>0</v>
      </c>
      <c r="W226">
        <f t="shared" si="92"/>
        <v>0</v>
      </c>
      <c r="X226">
        <f t="shared" si="93"/>
        <v>0</v>
      </c>
      <c r="Y226">
        <f t="shared" si="94"/>
        <v>0</v>
      </c>
      <c r="Z226">
        <f t="shared" si="95"/>
        <v>0</v>
      </c>
      <c r="AA226">
        <f t="shared" si="96"/>
        <v>0</v>
      </c>
      <c r="AB226">
        <f t="shared" si="79"/>
        <v>0</v>
      </c>
      <c r="AC226">
        <f t="shared" si="80"/>
        <v>0</v>
      </c>
      <c r="AD226">
        <f t="shared" si="81"/>
        <v>0</v>
      </c>
      <c r="AE226">
        <f t="shared" si="82"/>
        <v>0</v>
      </c>
      <c r="AF226">
        <f t="shared" si="83"/>
        <v>0</v>
      </c>
      <c r="AG226">
        <f t="shared" si="84"/>
        <v>0</v>
      </c>
      <c r="AH226">
        <f t="shared" si="97"/>
        <v>0</v>
      </c>
      <c r="AI226">
        <f t="shared" si="102"/>
        <v>0</v>
      </c>
      <c r="AJ226">
        <f t="shared" si="102"/>
        <v>1</v>
      </c>
      <c r="AK226">
        <f t="shared" si="102"/>
        <v>0</v>
      </c>
      <c r="AL226">
        <f t="shared" si="102"/>
        <v>0</v>
      </c>
      <c r="AM226">
        <f t="shared" si="102"/>
        <v>0</v>
      </c>
      <c r="AN226">
        <f t="shared" si="102"/>
        <v>0</v>
      </c>
      <c r="AO226">
        <f t="shared" si="102"/>
        <v>0</v>
      </c>
      <c r="AP226">
        <f t="shared" si="102"/>
        <v>0</v>
      </c>
      <c r="AQ226">
        <f t="shared" si="102"/>
        <v>0</v>
      </c>
      <c r="AR226">
        <f t="shared" si="102"/>
        <v>0</v>
      </c>
      <c r="AS226">
        <f t="shared" si="102"/>
        <v>0</v>
      </c>
      <c r="AT226">
        <f t="shared" si="102"/>
        <v>0</v>
      </c>
      <c r="AU226">
        <f t="shared" si="102"/>
        <v>0</v>
      </c>
      <c r="AV226">
        <f t="shared" si="102"/>
        <v>0</v>
      </c>
      <c r="AW226">
        <f t="shared" si="102"/>
        <v>0</v>
      </c>
      <c r="AX226">
        <f t="shared" si="98"/>
        <v>0</v>
      </c>
      <c r="AY226">
        <f t="shared" si="98"/>
        <v>1</v>
      </c>
      <c r="AZ226">
        <f t="shared" si="98"/>
        <v>0</v>
      </c>
      <c r="BA226">
        <f t="shared" si="99"/>
        <v>1</v>
      </c>
      <c r="BB226">
        <f t="shared" si="100"/>
        <v>1</v>
      </c>
    </row>
    <row r="227" spans="1:54">
      <c r="A227">
        <v>224</v>
      </c>
      <c r="B227" t="s">
        <v>20</v>
      </c>
      <c r="C227" t="s">
        <v>28</v>
      </c>
      <c r="D227" t="s">
        <v>23</v>
      </c>
      <c r="E227" t="s">
        <v>20</v>
      </c>
      <c r="F227" t="s">
        <v>28</v>
      </c>
      <c r="G227" t="s">
        <v>24</v>
      </c>
      <c r="H227" s="3">
        <v>2.69637544754379E-2</v>
      </c>
      <c r="I227" s="3">
        <v>2.6079122851617401E-2</v>
      </c>
      <c r="J227" s="3">
        <v>2.30988031517807E-2</v>
      </c>
      <c r="K227" s="3">
        <v>2.3795991960433201E-2</v>
      </c>
      <c r="L227" s="3">
        <v>1.73511777819692E-2</v>
      </c>
      <c r="M227" s="3">
        <v>1.3535932000122999E-2</v>
      </c>
      <c r="N227" s="3">
        <v>2.9160186625194401E-2</v>
      </c>
      <c r="O227" s="3">
        <v>1.8936429520961501E-2</v>
      </c>
      <c r="P227">
        <f t="shared" si="85"/>
        <v>0</v>
      </c>
      <c r="Q227">
        <f t="shared" si="86"/>
        <v>1</v>
      </c>
      <c r="R227">
        <f t="shared" si="87"/>
        <v>1</v>
      </c>
      <c r="S227">
        <f t="shared" si="88"/>
        <v>0</v>
      </c>
      <c r="T227">
        <f t="shared" si="89"/>
        <v>0</v>
      </c>
      <c r="U227">
        <f t="shared" si="90"/>
        <v>0</v>
      </c>
      <c r="V227">
        <f t="shared" si="91"/>
        <v>0</v>
      </c>
      <c r="W227">
        <f t="shared" si="92"/>
        <v>0</v>
      </c>
      <c r="X227">
        <f t="shared" si="93"/>
        <v>0</v>
      </c>
      <c r="Y227">
        <f t="shared" si="94"/>
        <v>0</v>
      </c>
      <c r="Z227">
        <f t="shared" si="95"/>
        <v>0</v>
      </c>
      <c r="AA227">
        <f t="shared" si="96"/>
        <v>0</v>
      </c>
      <c r="AB227">
        <f t="shared" si="79"/>
        <v>0</v>
      </c>
      <c r="AC227">
        <f t="shared" si="80"/>
        <v>0</v>
      </c>
      <c r="AD227">
        <f t="shared" si="81"/>
        <v>0</v>
      </c>
      <c r="AE227">
        <f t="shared" si="82"/>
        <v>0</v>
      </c>
      <c r="AF227">
        <f t="shared" si="83"/>
        <v>1</v>
      </c>
      <c r="AG227">
        <f t="shared" si="84"/>
        <v>1</v>
      </c>
      <c r="AH227">
        <f t="shared" si="97"/>
        <v>0</v>
      </c>
      <c r="AI227">
        <f t="shared" si="102"/>
        <v>0</v>
      </c>
      <c r="AJ227">
        <f t="shared" si="102"/>
        <v>0</v>
      </c>
      <c r="AK227">
        <f t="shared" si="102"/>
        <v>0</v>
      </c>
      <c r="AL227">
        <f t="shared" si="102"/>
        <v>0</v>
      </c>
      <c r="AM227">
        <f t="shared" si="102"/>
        <v>0</v>
      </c>
      <c r="AN227">
        <f t="shared" si="102"/>
        <v>0</v>
      </c>
      <c r="AO227">
        <f t="shared" si="102"/>
        <v>0</v>
      </c>
      <c r="AP227">
        <f t="shared" si="102"/>
        <v>0</v>
      </c>
      <c r="AQ227">
        <f t="shared" si="102"/>
        <v>0</v>
      </c>
      <c r="AR227">
        <f t="shared" si="102"/>
        <v>0</v>
      </c>
      <c r="AS227">
        <f t="shared" si="102"/>
        <v>0</v>
      </c>
      <c r="AT227">
        <f t="shared" si="102"/>
        <v>0</v>
      </c>
      <c r="AU227">
        <f t="shared" si="102"/>
        <v>1</v>
      </c>
      <c r="AV227">
        <f t="shared" si="102"/>
        <v>0</v>
      </c>
      <c r="AW227">
        <f t="shared" si="102"/>
        <v>0</v>
      </c>
      <c r="AX227">
        <f t="shared" si="98"/>
        <v>0</v>
      </c>
      <c r="AY227">
        <f t="shared" si="98"/>
        <v>0</v>
      </c>
      <c r="AZ227">
        <f t="shared" si="98"/>
        <v>0</v>
      </c>
      <c r="BA227">
        <f t="shared" si="99"/>
        <v>0</v>
      </c>
      <c r="BB227">
        <f t="shared" si="100"/>
        <v>0</v>
      </c>
    </row>
    <row r="228" spans="1:54">
      <c r="A228">
        <v>225</v>
      </c>
      <c r="B228" t="s">
        <v>20</v>
      </c>
      <c r="C228" t="s">
        <v>28</v>
      </c>
      <c r="D228" t="s">
        <v>23</v>
      </c>
      <c r="E228" t="s">
        <v>20</v>
      </c>
      <c r="F228" t="s">
        <v>28</v>
      </c>
      <c r="G228" t="s">
        <v>25</v>
      </c>
      <c r="H228" s="3">
        <v>2.0116847012650499E-2</v>
      </c>
      <c r="I228" s="3">
        <v>1.93520915622424E-2</v>
      </c>
      <c r="J228" s="3">
        <v>1.72988233658612E-2</v>
      </c>
      <c r="K228" s="3">
        <v>1.7396127783763801E-2</v>
      </c>
      <c r="L228" s="3">
        <v>1.3056312577165999E-2</v>
      </c>
      <c r="M228" s="3">
        <v>1.05196179853128E-2</v>
      </c>
      <c r="N228" s="3">
        <v>2.21434898139946E-2</v>
      </c>
      <c r="O228" s="3">
        <v>1.38522832544063E-2</v>
      </c>
      <c r="P228">
        <f t="shared" si="85"/>
        <v>0</v>
      </c>
      <c r="Q228">
        <f t="shared" si="86"/>
        <v>1</v>
      </c>
      <c r="R228">
        <f t="shared" si="87"/>
        <v>0</v>
      </c>
      <c r="S228">
        <f t="shared" si="88"/>
        <v>0</v>
      </c>
      <c r="T228">
        <f t="shared" si="89"/>
        <v>0</v>
      </c>
      <c r="U228">
        <f t="shared" si="90"/>
        <v>0</v>
      </c>
      <c r="V228">
        <f t="shared" si="91"/>
        <v>0</v>
      </c>
      <c r="W228">
        <f t="shared" si="92"/>
        <v>0</v>
      </c>
      <c r="X228">
        <f t="shared" si="93"/>
        <v>0</v>
      </c>
      <c r="Y228">
        <f t="shared" si="94"/>
        <v>0</v>
      </c>
      <c r="Z228">
        <f t="shared" si="95"/>
        <v>0</v>
      </c>
      <c r="AA228">
        <f t="shared" si="96"/>
        <v>0</v>
      </c>
      <c r="AB228">
        <f t="shared" si="79"/>
        <v>0</v>
      </c>
      <c r="AC228">
        <f t="shared" si="80"/>
        <v>0</v>
      </c>
      <c r="AD228">
        <f t="shared" si="81"/>
        <v>0</v>
      </c>
      <c r="AE228">
        <f t="shared" si="82"/>
        <v>0</v>
      </c>
      <c r="AF228">
        <f t="shared" si="83"/>
        <v>1</v>
      </c>
      <c r="AG228">
        <f t="shared" si="84"/>
        <v>1</v>
      </c>
      <c r="AH228">
        <f t="shared" si="97"/>
        <v>0</v>
      </c>
      <c r="AI228">
        <f t="shared" si="102"/>
        <v>0</v>
      </c>
      <c r="AJ228">
        <f t="shared" si="102"/>
        <v>0</v>
      </c>
      <c r="AK228">
        <f t="shared" si="102"/>
        <v>0</v>
      </c>
      <c r="AL228">
        <f t="shared" si="102"/>
        <v>0</v>
      </c>
      <c r="AM228">
        <f t="shared" si="102"/>
        <v>0</v>
      </c>
      <c r="AN228">
        <f t="shared" si="102"/>
        <v>0</v>
      </c>
      <c r="AO228">
        <f t="shared" si="102"/>
        <v>1</v>
      </c>
      <c r="AP228">
        <f t="shared" si="102"/>
        <v>0</v>
      </c>
      <c r="AQ228">
        <f t="shared" si="102"/>
        <v>0</v>
      </c>
      <c r="AR228">
        <f t="shared" si="102"/>
        <v>0</v>
      </c>
      <c r="AS228">
        <f t="shared" si="102"/>
        <v>0</v>
      </c>
      <c r="AT228">
        <f t="shared" si="102"/>
        <v>0</v>
      </c>
      <c r="AU228">
        <f t="shared" si="102"/>
        <v>0</v>
      </c>
      <c r="AV228">
        <f t="shared" si="102"/>
        <v>0</v>
      </c>
      <c r="AW228">
        <f t="shared" si="102"/>
        <v>0</v>
      </c>
      <c r="AX228">
        <f t="shared" si="98"/>
        <v>0</v>
      </c>
      <c r="AY228">
        <f t="shared" si="98"/>
        <v>0</v>
      </c>
      <c r="AZ228">
        <f t="shared" si="98"/>
        <v>0</v>
      </c>
      <c r="BA228">
        <f t="shared" si="99"/>
        <v>1</v>
      </c>
      <c r="BB228">
        <f t="shared" si="100"/>
        <v>0</v>
      </c>
    </row>
    <row r="229" spans="1:54">
      <c r="A229">
        <v>226</v>
      </c>
      <c r="B229" t="s">
        <v>20</v>
      </c>
      <c r="C229" t="s">
        <v>28</v>
      </c>
      <c r="D229" t="s">
        <v>23</v>
      </c>
      <c r="E229" t="s">
        <v>20</v>
      </c>
      <c r="F229" t="s">
        <v>28</v>
      </c>
      <c r="G229" t="s">
        <v>26</v>
      </c>
      <c r="H229" s="3">
        <v>2.0434562181174998E-2</v>
      </c>
      <c r="I229" s="3">
        <v>1.96738896578437E-2</v>
      </c>
      <c r="J229" s="3">
        <v>1.7556876161790001E-2</v>
      </c>
      <c r="K229" s="3">
        <v>1.7705312914965202E-2</v>
      </c>
      <c r="L229" s="3">
        <v>1.3277383726518601E-2</v>
      </c>
      <c r="M229" s="3">
        <v>1.0718544562964999E-2</v>
      </c>
      <c r="N229" s="3">
        <v>2.2475277195085401E-2</v>
      </c>
      <c r="O229" s="3">
        <v>1.4068688125961E-2</v>
      </c>
      <c r="P229">
        <f t="shared" si="85"/>
        <v>0</v>
      </c>
      <c r="Q229">
        <f t="shared" si="86"/>
        <v>1</v>
      </c>
      <c r="R229">
        <f t="shared" si="87"/>
        <v>0</v>
      </c>
      <c r="S229">
        <f t="shared" si="88"/>
        <v>0</v>
      </c>
      <c r="T229">
        <f t="shared" si="89"/>
        <v>0</v>
      </c>
      <c r="U229">
        <f t="shared" si="90"/>
        <v>0</v>
      </c>
      <c r="V229">
        <f t="shared" si="91"/>
        <v>0</v>
      </c>
      <c r="W229">
        <f t="shared" si="92"/>
        <v>0</v>
      </c>
      <c r="X229">
        <f t="shared" si="93"/>
        <v>0</v>
      </c>
      <c r="Y229">
        <f t="shared" si="94"/>
        <v>0</v>
      </c>
      <c r="Z229">
        <f t="shared" si="95"/>
        <v>0</v>
      </c>
      <c r="AA229">
        <f t="shared" si="96"/>
        <v>0</v>
      </c>
      <c r="AB229">
        <f t="shared" si="79"/>
        <v>0</v>
      </c>
      <c r="AC229">
        <f t="shared" si="80"/>
        <v>0</v>
      </c>
      <c r="AD229">
        <f t="shared" si="81"/>
        <v>0</v>
      </c>
      <c r="AE229">
        <f t="shared" si="82"/>
        <v>0</v>
      </c>
      <c r="AF229">
        <f t="shared" si="83"/>
        <v>1</v>
      </c>
      <c r="AG229">
        <f t="shared" si="84"/>
        <v>1</v>
      </c>
      <c r="AH229">
        <f t="shared" si="97"/>
        <v>0</v>
      </c>
      <c r="AI229">
        <f t="shared" si="102"/>
        <v>0</v>
      </c>
      <c r="AJ229">
        <f t="shared" si="102"/>
        <v>0</v>
      </c>
      <c r="AK229">
        <f t="shared" si="102"/>
        <v>1</v>
      </c>
      <c r="AL229">
        <f t="shared" si="102"/>
        <v>0</v>
      </c>
      <c r="AM229">
        <f t="shared" si="102"/>
        <v>0</v>
      </c>
      <c r="AN229">
        <f t="shared" si="102"/>
        <v>0</v>
      </c>
      <c r="AO229">
        <f t="shared" si="102"/>
        <v>0</v>
      </c>
      <c r="AP229">
        <f t="shared" si="102"/>
        <v>0</v>
      </c>
      <c r="AQ229">
        <f t="shared" si="102"/>
        <v>0</v>
      </c>
      <c r="AR229">
        <f t="shared" si="102"/>
        <v>0</v>
      </c>
      <c r="AS229">
        <f t="shared" si="102"/>
        <v>0</v>
      </c>
      <c r="AT229">
        <f t="shared" si="102"/>
        <v>0</v>
      </c>
      <c r="AU229">
        <f t="shared" si="102"/>
        <v>0</v>
      </c>
      <c r="AV229">
        <f t="shared" si="102"/>
        <v>0</v>
      </c>
      <c r="AW229">
        <f t="shared" si="102"/>
        <v>0</v>
      </c>
      <c r="AX229">
        <f t="shared" si="98"/>
        <v>0</v>
      </c>
      <c r="AY229">
        <f t="shared" si="98"/>
        <v>0</v>
      </c>
      <c r="AZ229">
        <f t="shared" si="98"/>
        <v>0</v>
      </c>
      <c r="BA229">
        <f t="shared" si="99"/>
        <v>1</v>
      </c>
      <c r="BB229">
        <f t="shared" si="100"/>
        <v>0</v>
      </c>
    </row>
    <row r="230" spans="1:54">
      <c r="A230">
        <v>227</v>
      </c>
      <c r="B230" t="s">
        <v>20</v>
      </c>
      <c r="C230" t="s">
        <v>28</v>
      </c>
      <c r="D230" t="s">
        <v>23</v>
      </c>
      <c r="E230" t="s">
        <v>20</v>
      </c>
      <c r="F230" t="s">
        <v>28</v>
      </c>
      <c r="G230" t="s">
        <v>27</v>
      </c>
      <c r="H230" s="3">
        <v>9.8832571879368405E-2</v>
      </c>
      <c r="I230" s="3">
        <v>9.3687524019175905E-2</v>
      </c>
      <c r="J230" s="3">
        <v>8.2716394075903796E-2</v>
      </c>
      <c r="K230" s="3">
        <v>8.4229053167597906E-2</v>
      </c>
      <c r="L230" s="3">
        <v>6.2661828846590106E-2</v>
      </c>
      <c r="M230" s="3">
        <v>4.9243292222723098E-2</v>
      </c>
      <c r="N230" s="3">
        <v>0.106990014265335</v>
      </c>
      <c r="O230" s="3">
        <v>6.5782678496163996E-2</v>
      </c>
      <c r="P230">
        <f t="shared" si="85"/>
        <v>0</v>
      </c>
      <c r="Q230">
        <f t="shared" si="86"/>
        <v>1</v>
      </c>
      <c r="R230">
        <f t="shared" si="87"/>
        <v>0</v>
      </c>
      <c r="S230">
        <f t="shared" si="88"/>
        <v>1</v>
      </c>
      <c r="T230">
        <f t="shared" si="89"/>
        <v>0</v>
      </c>
      <c r="U230">
        <f t="shared" si="90"/>
        <v>0</v>
      </c>
      <c r="V230">
        <f t="shared" si="91"/>
        <v>0</v>
      </c>
      <c r="W230">
        <f t="shared" si="92"/>
        <v>0</v>
      </c>
      <c r="X230">
        <f t="shared" si="93"/>
        <v>0</v>
      </c>
      <c r="Y230">
        <f t="shared" si="94"/>
        <v>0</v>
      </c>
      <c r="Z230">
        <f t="shared" si="95"/>
        <v>0</v>
      </c>
      <c r="AA230">
        <f t="shared" si="96"/>
        <v>0</v>
      </c>
      <c r="AB230">
        <f t="shared" si="79"/>
        <v>0</v>
      </c>
      <c r="AC230">
        <f t="shared" si="80"/>
        <v>0</v>
      </c>
      <c r="AD230">
        <f t="shared" si="81"/>
        <v>0</v>
      </c>
      <c r="AE230">
        <f t="shared" si="82"/>
        <v>0</v>
      </c>
      <c r="AF230">
        <f t="shared" si="83"/>
        <v>1</v>
      </c>
      <c r="AG230">
        <f t="shared" si="84"/>
        <v>1</v>
      </c>
      <c r="AH230">
        <f t="shared" si="97"/>
        <v>0</v>
      </c>
      <c r="AI230">
        <f t="shared" si="102"/>
        <v>0</v>
      </c>
      <c r="AJ230">
        <f t="shared" si="102"/>
        <v>0</v>
      </c>
      <c r="AK230">
        <f t="shared" si="102"/>
        <v>0</v>
      </c>
      <c r="AL230">
        <f t="shared" si="102"/>
        <v>0</v>
      </c>
      <c r="AM230">
        <f t="shared" si="102"/>
        <v>0</v>
      </c>
      <c r="AN230">
        <f t="shared" si="102"/>
        <v>0</v>
      </c>
      <c r="AO230">
        <f t="shared" si="102"/>
        <v>0</v>
      </c>
      <c r="AP230">
        <f t="shared" si="102"/>
        <v>0</v>
      </c>
      <c r="AQ230">
        <f t="shared" si="102"/>
        <v>0</v>
      </c>
      <c r="AR230">
        <f t="shared" si="102"/>
        <v>0</v>
      </c>
      <c r="AS230">
        <f t="shared" si="102"/>
        <v>0</v>
      </c>
      <c r="AT230">
        <f t="shared" si="102"/>
        <v>0</v>
      </c>
      <c r="AU230">
        <f t="shared" si="102"/>
        <v>0</v>
      </c>
      <c r="AV230">
        <f t="shared" si="102"/>
        <v>1</v>
      </c>
      <c r="AW230">
        <f t="shared" si="102"/>
        <v>0</v>
      </c>
      <c r="AX230">
        <f t="shared" si="98"/>
        <v>0</v>
      </c>
      <c r="AY230">
        <f t="shared" si="98"/>
        <v>0</v>
      </c>
      <c r="AZ230">
        <f t="shared" si="98"/>
        <v>0</v>
      </c>
      <c r="BA230">
        <f t="shared" si="99"/>
        <v>0</v>
      </c>
      <c r="BB230">
        <f t="shared" si="100"/>
        <v>0</v>
      </c>
    </row>
    <row r="231" spans="1:54">
      <c r="A231">
        <v>228</v>
      </c>
      <c r="B231" t="s">
        <v>20</v>
      </c>
      <c r="C231" t="s">
        <v>28</v>
      </c>
      <c r="D231" t="s">
        <v>23</v>
      </c>
      <c r="E231" t="s">
        <v>20</v>
      </c>
      <c r="F231" t="s">
        <v>29</v>
      </c>
      <c r="G231" t="s">
        <v>22</v>
      </c>
      <c r="H231" s="3">
        <v>3.3500990781740403E-2</v>
      </c>
      <c r="I231" s="3">
        <v>3.3110620211133202E-2</v>
      </c>
      <c r="J231" s="3">
        <v>2.8792157816848501E-2</v>
      </c>
      <c r="K231" s="3">
        <v>3.1076461994920701E-2</v>
      </c>
      <c r="L231" s="3">
        <v>2.2115572240123799E-2</v>
      </c>
      <c r="M231" s="3">
        <v>1.7350251687766698E-2</v>
      </c>
      <c r="N231" s="3">
        <v>3.5748331744518497E-2</v>
      </c>
      <c r="O231" s="3">
        <v>2.43081725969151E-2</v>
      </c>
      <c r="P231">
        <f t="shared" si="85"/>
        <v>0</v>
      </c>
      <c r="Q231">
        <f t="shared" si="86"/>
        <v>1</v>
      </c>
      <c r="R231">
        <f t="shared" si="87"/>
        <v>0</v>
      </c>
      <c r="S231">
        <f t="shared" si="88"/>
        <v>0</v>
      </c>
      <c r="T231">
        <f t="shared" si="89"/>
        <v>0</v>
      </c>
      <c r="U231">
        <f t="shared" si="90"/>
        <v>0</v>
      </c>
      <c r="V231">
        <f t="shared" si="91"/>
        <v>0</v>
      </c>
      <c r="W231">
        <f t="shared" si="92"/>
        <v>0</v>
      </c>
      <c r="X231">
        <f t="shared" si="93"/>
        <v>1</v>
      </c>
      <c r="Y231">
        <f t="shared" si="94"/>
        <v>0</v>
      </c>
      <c r="Z231">
        <f t="shared" si="95"/>
        <v>0</v>
      </c>
      <c r="AA231">
        <f t="shared" si="96"/>
        <v>0</v>
      </c>
      <c r="AB231">
        <f t="shared" si="79"/>
        <v>0</v>
      </c>
      <c r="AC231">
        <f t="shared" si="80"/>
        <v>1</v>
      </c>
      <c r="AD231">
        <f t="shared" si="81"/>
        <v>0</v>
      </c>
      <c r="AE231">
        <f t="shared" si="82"/>
        <v>0</v>
      </c>
      <c r="AF231">
        <f t="shared" si="83"/>
        <v>0</v>
      </c>
      <c r="AG231">
        <f t="shared" si="84"/>
        <v>1</v>
      </c>
      <c r="AH231">
        <f t="shared" si="97"/>
        <v>1</v>
      </c>
      <c r="AI231">
        <f t="shared" si="102"/>
        <v>0</v>
      </c>
      <c r="AJ231">
        <f t="shared" si="102"/>
        <v>0</v>
      </c>
      <c r="AK231">
        <f t="shared" si="102"/>
        <v>0</v>
      </c>
      <c r="AL231">
        <f t="shared" si="102"/>
        <v>0</v>
      </c>
      <c r="AM231">
        <f t="shared" si="102"/>
        <v>0</v>
      </c>
      <c r="AN231">
        <f t="shared" si="102"/>
        <v>0</v>
      </c>
      <c r="AO231">
        <f t="shared" si="102"/>
        <v>0</v>
      </c>
      <c r="AP231">
        <f t="shared" si="102"/>
        <v>0</v>
      </c>
      <c r="AQ231">
        <f t="shared" si="102"/>
        <v>0</v>
      </c>
      <c r="AR231">
        <f t="shared" si="102"/>
        <v>1</v>
      </c>
      <c r="AS231">
        <f t="shared" si="102"/>
        <v>0</v>
      </c>
      <c r="AT231">
        <f t="shared" si="102"/>
        <v>0</v>
      </c>
      <c r="AU231">
        <f t="shared" si="102"/>
        <v>0</v>
      </c>
      <c r="AV231">
        <f t="shared" si="102"/>
        <v>0</v>
      </c>
      <c r="AW231">
        <f t="shared" si="102"/>
        <v>0</v>
      </c>
      <c r="AX231">
        <f t="shared" si="98"/>
        <v>0</v>
      </c>
      <c r="AY231">
        <f t="shared" si="98"/>
        <v>1</v>
      </c>
      <c r="AZ231">
        <f t="shared" si="98"/>
        <v>0</v>
      </c>
      <c r="BA231">
        <f t="shared" si="99"/>
        <v>0</v>
      </c>
      <c r="BB231">
        <f t="shared" si="100"/>
        <v>1</v>
      </c>
    </row>
    <row r="232" spans="1:54">
      <c r="A232">
        <v>229</v>
      </c>
      <c r="B232" t="s">
        <v>20</v>
      </c>
      <c r="C232" t="s">
        <v>28</v>
      </c>
      <c r="D232" t="s">
        <v>23</v>
      </c>
      <c r="E232" t="s">
        <v>20</v>
      </c>
      <c r="F232" t="s">
        <v>29</v>
      </c>
      <c r="G232" t="s">
        <v>23</v>
      </c>
      <c r="H232" s="3">
        <v>0.64944460834223405</v>
      </c>
      <c r="I232" s="3">
        <v>0.63891057276993002</v>
      </c>
      <c r="J232" s="3">
        <v>0.58010587128360602</v>
      </c>
      <c r="K232" s="3">
        <v>0.61098541325873201</v>
      </c>
      <c r="L232" s="3">
        <v>0.53572144343311301</v>
      </c>
      <c r="M232" s="3">
        <v>0.46254914163383098</v>
      </c>
      <c r="N232" s="3">
        <v>0.67567567567567499</v>
      </c>
      <c r="O232" s="3">
        <v>0.53927412415625398</v>
      </c>
      <c r="P232">
        <f t="shared" si="85"/>
        <v>0</v>
      </c>
      <c r="Q232">
        <f t="shared" si="86"/>
        <v>1</v>
      </c>
      <c r="R232">
        <f t="shared" si="87"/>
        <v>0</v>
      </c>
      <c r="S232">
        <f t="shared" si="88"/>
        <v>0</v>
      </c>
      <c r="T232">
        <f t="shared" si="89"/>
        <v>0</v>
      </c>
      <c r="U232">
        <f t="shared" si="90"/>
        <v>0</v>
      </c>
      <c r="V232">
        <f t="shared" si="91"/>
        <v>0</v>
      </c>
      <c r="W232">
        <f t="shared" si="92"/>
        <v>0</v>
      </c>
      <c r="X232">
        <f t="shared" si="93"/>
        <v>0</v>
      </c>
      <c r="Y232">
        <f t="shared" si="94"/>
        <v>1</v>
      </c>
      <c r="Z232">
        <f t="shared" si="95"/>
        <v>0</v>
      </c>
      <c r="AA232">
        <f t="shared" si="96"/>
        <v>0</v>
      </c>
      <c r="AB232">
        <f t="shared" si="79"/>
        <v>0</v>
      </c>
      <c r="AC232">
        <f t="shared" si="80"/>
        <v>1</v>
      </c>
      <c r="AD232">
        <f t="shared" si="81"/>
        <v>0</v>
      </c>
      <c r="AE232">
        <f t="shared" si="82"/>
        <v>0</v>
      </c>
      <c r="AF232">
        <f t="shared" si="83"/>
        <v>0</v>
      </c>
      <c r="AG232">
        <f t="shared" si="84"/>
        <v>1</v>
      </c>
      <c r="AH232">
        <f t="shared" si="97"/>
        <v>1</v>
      </c>
      <c r="AI232">
        <f t="shared" si="102"/>
        <v>0</v>
      </c>
      <c r="AJ232">
        <f t="shared" si="102"/>
        <v>0</v>
      </c>
      <c r="AK232">
        <f t="shared" si="102"/>
        <v>0</v>
      </c>
      <c r="AL232">
        <f t="shared" si="102"/>
        <v>0</v>
      </c>
      <c r="AM232">
        <f t="shared" si="102"/>
        <v>0</v>
      </c>
      <c r="AN232">
        <f t="shared" si="102"/>
        <v>0</v>
      </c>
      <c r="AO232">
        <f t="shared" si="102"/>
        <v>0</v>
      </c>
      <c r="AP232">
        <f t="shared" si="102"/>
        <v>0</v>
      </c>
      <c r="AQ232">
        <f t="shared" si="102"/>
        <v>0</v>
      </c>
      <c r="AR232">
        <f t="shared" si="102"/>
        <v>0</v>
      </c>
      <c r="AS232">
        <f t="shared" si="102"/>
        <v>0</v>
      </c>
      <c r="AT232">
        <f t="shared" si="102"/>
        <v>0</v>
      </c>
      <c r="AU232">
        <f t="shared" si="102"/>
        <v>0</v>
      </c>
      <c r="AV232">
        <f t="shared" si="102"/>
        <v>0</v>
      </c>
      <c r="AW232">
        <f t="shared" si="102"/>
        <v>0</v>
      </c>
      <c r="AX232">
        <f t="shared" si="98"/>
        <v>0</v>
      </c>
      <c r="AY232">
        <f t="shared" si="98"/>
        <v>1</v>
      </c>
      <c r="AZ232">
        <f t="shared" si="98"/>
        <v>0</v>
      </c>
      <c r="BA232">
        <f t="shared" si="99"/>
        <v>0</v>
      </c>
      <c r="BB232">
        <f t="shared" si="100"/>
        <v>1</v>
      </c>
    </row>
    <row r="233" spans="1:54">
      <c r="A233">
        <v>230</v>
      </c>
      <c r="B233" t="s">
        <v>20</v>
      </c>
      <c r="C233" t="s">
        <v>28</v>
      </c>
      <c r="D233" t="s">
        <v>23</v>
      </c>
      <c r="E233" t="s">
        <v>20</v>
      </c>
      <c r="F233" t="s">
        <v>29</v>
      </c>
      <c r="G233" t="s">
        <v>24</v>
      </c>
      <c r="H233" s="3">
        <v>2.9807679339405299E-2</v>
      </c>
      <c r="I233" s="3">
        <v>2.89103577602783E-2</v>
      </c>
      <c r="J233" s="3">
        <v>2.5576426370997499E-2</v>
      </c>
      <c r="K233" s="3">
        <v>2.6504254642038001E-2</v>
      </c>
      <c r="L233" s="3">
        <v>1.9111996690935201E-2</v>
      </c>
      <c r="M233" s="3">
        <v>1.4922876174752599E-2</v>
      </c>
      <c r="N233" s="3">
        <v>3.2244196044711897E-2</v>
      </c>
      <c r="O233" s="3">
        <v>2.09912592265332E-2</v>
      </c>
      <c r="P233">
        <f t="shared" si="85"/>
        <v>0</v>
      </c>
      <c r="Q233">
        <f t="shared" si="86"/>
        <v>1</v>
      </c>
      <c r="R233">
        <f t="shared" si="87"/>
        <v>0</v>
      </c>
      <c r="S233">
        <f t="shared" si="88"/>
        <v>0</v>
      </c>
      <c r="T233">
        <f t="shared" si="89"/>
        <v>0</v>
      </c>
      <c r="U233">
        <f t="shared" si="90"/>
        <v>0</v>
      </c>
      <c r="V233">
        <f t="shared" si="91"/>
        <v>0</v>
      </c>
      <c r="W233">
        <f t="shared" si="92"/>
        <v>0</v>
      </c>
      <c r="X233">
        <f t="shared" si="93"/>
        <v>0</v>
      </c>
      <c r="Y233">
        <f t="shared" si="94"/>
        <v>0</v>
      </c>
      <c r="Z233">
        <f t="shared" si="95"/>
        <v>0</v>
      </c>
      <c r="AA233">
        <f t="shared" si="96"/>
        <v>1</v>
      </c>
      <c r="AB233">
        <f t="shared" si="79"/>
        <v>0</v>
      </c>
      <c r="AC233">
        <f t="shared" si="80"/>
        <v>0</v>
      </c>
      <c r="AD233">
        <f t="shared" si="81"/>
        <v>0</v>
      </c>
      <c r="AE233">
        <f t="shared" si="82"/>
        <v>0</v>
      </c>
      <c r="AF233">
        <f t="shared" si="83"/>
        <v>0</v>
      </c>
      <c r="AG233">
        <f t="shared" si="84"/>
        <v>1</v>
      </c>
      <c r="AH233">
        <f t="shared" si="97"/>
        <v>0</v>
      </c>
      <c r="AI233">
        <f t="shared" si="102"/>
        <v>0</v>
      </c>
      <c r="AJ233">
        <f t="shared" si="102"/>
        <v>0</v>
      </c>
      <c r="AK233">
        <f t="shared" si="102"/>
        <v>0</v>
      </c>
      <c r="AL233">
        <f t="shared" si="102"/>
        <v>0</v>
      </c>
      <c r="AM233">
        <f t="shared" si="102"/>
        <v>0</v>
      </c>
      <c r="AN233">
        <f t="shared" si="102"/>
        <v>0</v>
      </c>
      <c r="AO233">
        <f t="shared" si="102"/>
        <v>0</v>
      </c>
      <c r="AP233">
        <f t="shared" si="102"/>
        <v>0</v>
      </c>
      <c r="AQ233">
        <f t="shared" si="102"/>
        <v>0</v>
      </c>
      <c r="AR233">
        <f t="shared" si="102"/>
        <v>0</v>
      </c>
      <c r="AS233">
        <f t="shared" si="102"/>
        <v>0</v>
      </c>
      <c r="AT233">
        <f t="shared" si="102"/>
        <v>0</v>
      </c>
      <c r="AU233">
        <f t="shared" si="102"/>
        <v>1</v>
      </c>
      <c r="AV233">
        <f t="shared" si="102"/>
        <v>0</v>
      </c>
      <c r="AW233">
        <f t="shared" si="102"/>
        <v>0</v>
      </c>
      <c r="AX233">
        <f t="shared" si="98"/>
        <v>0</v>
      </c>
      <c r="AY233">
        <f t="shared" si="98"/>
        <v>1</v>
      </c>
      <c r="AZ233">
        <f t="shared" si="98"/>
        <v>0</v>
      </c>
      <c r="BA233">
        <f t="shared" si="99"/>
        <v>0</v>
      </c>
      <c r="BB233">
        <f t="shared" si="100"/>
        <v>1</v>
      </c>
    </row>
    <row r="234" spans="1:54">
      <c r="A234">
        <v>231</v>
      </c>
      <c r="B234" t="s">
        <v>20</v>
      </c>
      <c r="C234" t="s">
        <v>28</v>
      </c>
      <c r="D234" t="s">
        <v>23</v>
      </c>
      <c r="E234" t="s">
        <v>20</v>
      </c>
      <c r="F234" t="s">
        <v>29</v>
      </c>
      <c r="G234" t="s">
        <v>31</v>
      </c>
      <c r="H234" s="3">
        <v>0.49495119103917101</v>
      </c>
      <c r="I234" s="3">
        <v>0.48904463101248702</v>
      </c>
      <c r="J234" s="3">
        <v>0.41162050017011598</v>
      </c>
      <c r="K234" s="3">
        <v>0.44005971415177803</v>
      </c>
      <c r="L234" s="3">
        <v>0.32872689055874699</v>
      </c>
      <c r="M234" s="3">
        <v>0.25338189926914001</v>
      </c>
      <c r="N234" s="3">
        <v>0.55970149253731305</v>
      </c>
      <c r="O234" s="3">
        <v>0.33201023907312999</v>
      </c>
      <c r="P234">
        <f t="shared" si="85"/>
        <v>0</v>
      </c>
      <c r="Q234">
        <f t="shared" si="86"/>
        <v>1</v>
      </c>
      <c r="R234">
        <f t="shared" si="87"/>
        <v>0</v>
      </c>
      <c r="S234">
        <f t="shared" si="88"/>
        <v>0</v>
      </c>
      <c r="T234">
        <f t="shared" si="89"/>
        <v>0</v>
      </c>
      <c r="U234">
        <f t="shared" si="90"/>
        <v>0</v>
      </c>
      <c r="V234">
        <f t="shared" si="91"/>
        <v>0</v>
      </c>
      <c r="W234">
        <f t="shared" si="92"/>
        <v>0</v>
      </c>
      <c r="X234">
        <f t="shared" si="93"/>
        <v>0</v>
      </c>
      <c r="Y234">
        <f t="shared" si="94"/>
        <v>0</v>
      </c>
      <c r="Z234">
        <f t="shared" si="95"/>
        <v>1</v>
      </c>
      <c r="AA234">
        <f t="shared" si="96"/>
        <v>0</v>
      </c>
      <c r="AB234">
        <f t="shared" si="79"/>
        <v>0</v>
      </c>
      <c r="AC234">
        <f t="shared" si="80"/>
        <v>1</v>
      </c>
      <c r="AD234">
        <f t="shared" si="81"/>
        <v>0</v>
      </c>
      <c r="AE234">
        <f t="shared" si="82"/>
        <v>0</v>
      </c>
      <c r="AF234">
        <f t="shared" si="83"/>
        <v>0</v>
      </c>
      <c r="AG234">
        <f t="shared" si="84"/>
        <v>1</v>
      </c>
      <c r="AH234">
        <f t="shared" si="97"/>
        <v>1</v>
      </c>
      <c r="AI234">
        <f t="shared" si="102"/>
        <v>0</v>
      </c>
      <c r="AJ234">
        <f t="shared" si="102"/>
        <v>0</v>
      </c>
      <c r="AK234">
        <f t="shared" si="102"/>
        <v>0</v>
      </c>
      <c r="AL234">
        <f t="shared" si="102"/>
        <v>0</v>
      </c>
      <c r="AM234">
        <f t="shared" si="102"/>
        <v>0</v>
      </c>
      <c r="AN234">
        <f t="shared" si="102"/>
        <v>0</v>
      </c>
      <c r="AO234">
        <f t="shared" si="102"/>
        <v>0</v>
      </c>
      <c r="AP234">
        <f t="shared" si="102"/>
        <v>0</v>
      </c>
      <c r="AQ234">
        <f t="shared" si="102"/>
        <v>0</v>
      </c>
      <c r="AR234">
        <f t="shared" si="102"/>
        <v>0</v>
      </c>
      <c r="AS234">
        <f t="shared" si="102"/>
        <v>0</v>
      </c>
      <c r="AT234">
        <f t="shared" si="102"/>
        <v>0</v>
      </c>
      <c r="AU234">
        <f t="shared" si="102"/>
        <v>0</v>
      </c>
      <c r="AV234">
        <f t="shared" si="102"/>
        <v>0</v>
      </c>
      <c r="AW234">
        <f t="shared" si="102"/>
        <v>0</v>
      </c>
      <c r="AX234">
        <f t="shared" si="98"/>
        <v>0</v>
      </c>
      <c r="AY234">
        <f t="shared" si="98"/>
        <v>1</v>
      </c>
      <c r="AZ234">
        <f t="shared" si="98"/>
        <v>0</v>
      </c>
      <c r="BA234">
        <f t="shared" si="99"/>
        <v>0</v>
      </c>
      <c r="BB234">
        <f t="shared" si="100"/>
        <v>1</v>
      </c>
    </row>
    <row r="235" spans="1:54">
      <c r="A235">
        <v>232</v>
      </c>
      <c r="B235" t="s">
        <v>20</v>
      </c>
      <c r="C235" t="s">
        <v>28</v>
      </c>
      <c r="D235" t="s">
        <v>23</v>
      </c>
      <c r="E235" t="s">
        <v>20</v>
      </c>
      <c r="F235" t="s">
        <v>29</v>
      </c>
      <c r="G235" t="s">
        <v>25</v>
      </c>
      <c r="H235" s="3">
        <v>3.0451455897354601E-3</v>
      </c>
      <c r="I235" s="3">
        <v>2.9945987046884198E-3</v>
      </c>
      <c r="J235" s="3">
        <v>2.6556656424902999E-3</v>
      </c>
      <c r="K235" s="3">
        <v>2.7725480666789199E-3</v>
      </c>
      <c r="L235" s="3">
        <v>2.00544743825366E-3</v>
      </c>
      <c r="M235" s="3">
        <v>1.61322518109983E-3</v>
      </c>
      <c r="N235" s="3">
        <v>3.2942416655685801E-3</v>
      </c>
      <c r="O235" s="3">
        <v>2.2260174587920398E-3</v>
      </c>
      <c r="P235">
        <f t="shared" si="85"/>
        <v>0</v>
      </c>
      <c r="Q235">
        <f t="shared" si="86"/>
        <v>1</v>
      </c>
      <c r="R235">
        <f t="shared" si="87"/>
        <v>0</v>
      </c>
      <c r="S235">
        <f t="shared" si="88"/>
        <v>0</v>
      </c>
      <c r="T235">
        <f t="shared" si="89"/>
        <v>0</v>
      </c>
      <c r="U235">
        <f t="shared" si="90"/>
        <v>0</v>
      </c>
      <c r="V235">
        <f t="shared" si="91"/>
        <v>0</v>
      </c>
      <c r="W235">
        <f t="shared" si="92"/>
        <v>0</v>
      </c>
      <c r="X235">
        <f t="shared" si="93"/>
        <v>0</v>
      </c>
      <c r="Y235">
        <f t="shared" si="94"/>
        <v>0</v>
      </c>
      <c r="Z235">
        <f t="shared" si="95"/>
        <v>0</v>
      </c>
      <c r="AA235">
        <f t="shared" si="96"/>
        <v>0</v>
      </c>
      <c r="AB235">
        <f t="shared" si="79"/>
        <v>0</v>
      </c>
      <c r="AC235">
        <f t="shared" si="80"/>
        <v>0</v>
      </c>
      <c r="AD235">
        <f t="shared" si="81"/>
        <v>0</v>
      </c>
      <c r="AE235">
        <f t="shared" si="82"/>
        <v>0</v>
      </c>
      <c r="AF235">
        <f t="shared" si="83"/>
        <v>0</v>
      </c>
      <c r="AG235">
        <f t="shared" si="84"/>
        <v>1</v>
      </c>
      <c r="AH235">
        <f t="shared" si="97"/>
        <v>0</v>
      </c>
      <c r="AI235">
        <f t="shared" si="102"/>
        <v>0</v>
      </c>
      <c r="AJ235">
        <f t="shared" si="102"/>
        <v>0</v>
      </c>
      <c r="AK235">
        <f t="shared" si="102"/>
        <v>0</v>
      </c>
      <c r="AL235">
        <f t="shared" si="102"/>
        <v>0</v>
      </c>
      <c r="AM235">
        <f t="shared" si="102"/>
        <v>0</v>
      </c>
      <c r="AN235">
        <f t="shared" si="102"/>
        <v>0</v>
      </c>
      <c r="AO235">
        <f t="shared" si="102"/>
        <v>1</v>
      </c>
      <c r="AP235">
        <f t="shared" si="102"/>
        <v>0</v>
      </c>
      <c r="AQ235">
        <f t="shared" si="102"/>
        <v>0</v>
      </c>
      <c r="AR235">
        <f t="shared" si="102"/>
        <v>0</v>
      </c>
      <c r="AS235">
        <f t="shared" si="102"/>
        <v>0</v>
      </c>
      <c r="AT235">
        <f t="shared" si="102"/>
        <v>0</v>
      </c>
      <c r="AU235">
        <f t="shared" si="102"/>
        <v>0</v>
      </c>
      <c r="AV235">
        <f t="shared" si="102"/>
        <v>0</v>
      </c>
      <c r="AW235">
        <f t="shared" si="102"/>
        <v>0</v>
      </c>
      <c r="AX235">
        <f t="shared" si="98"/>
        <v>0</v>
      </c>
      <c r="AY235">
        <f t="shared" si="98"/>
        <v>1</v>
      </c>
      <c r="AZ235">
        <f t="shared" si="98"/>
        <v>0</v>
      </c>
      <c r="BA235">
        <f t="shared" si="99"/>
        <v>1</v>
      </c>
      <c r="BB235">
        <f t="shared" si="100"/>
        <v>1</v>
      </c>
    </row>
    <row r="236" spans="1:54">
      <c r="A236">
        <v>233</v>
      </c>
      <c r="B236" t="s">
        <v>20</v>
      </c>
      <c r="C236" t="s">
        <v>28</v>
      </c>
      <c r="D236" t="s">
        <v>23</v>
      </c>
      <c r="E236" t="s">
        <v>20</v>
      </c>
      <c r="F236" t="s">
        <v>29</v>
      </c>
      <c r="G236" t="s">
        <v>26</v>
      </c>
      <c r="H236" s="3">
        <v>3.1189489511987498E-3</v>
      </c>
      <c r="I236" s="3">
        <v>3.0727294696581099E-3</v>
      </c>
      <c r="J236" s="3">
        <v>2.7167909063425498E-3</v>
      </c>
      <c r="K236" s="3">
        <v>2.8483361883313899E-3</v>
      </c>
      <c r="L236" s="3">
        <v>2.0563310548824001E-3</v>
      </c>
      <c r="M236" s="3">
        <v>1.6546433707482001E-3</v>
      </c>
      <c r="N236" s="3">
        <v>3.3735156531126301E-3</v>
      </c>
      <c r="O236" s="3">
        <v>2.2782517619077498E-3</v>
      </c>
      <c r="P236">
        <f t="shared" si="85"/>
        <v>0</v>
      </c>
      <c r="Q236">
        <f t="shared" si="86"/>
        <v>1</v>
      </c>
      <c r="R236">
        <f t="shared" si="87"/>
        <v>0</v>
      </c>
      <c r="S236">
        <f t="shared" si="88"/>
        <v>0</v>
      </c>
      <c r="T236">
        <f t="shared" si="89"/>
        <v>0</v>
      </c>
      <c r="U236">
        <f t="shared" si="90"/>
        <v>0</v>
      </c>
      <c r="V236">
        <f t="shared" si="91"/>
        <v>0</v>
      </c>
      <c r="W236">
        <f t="shared" si="92"/>
        <v>0</v>
      </c>
      <c r="X236">
        <f t="shared" si="93"/>
        <v>0</v>
      </c>
      <c r="Y236">
        <f t="shared" si="94"/>
        <v>0</v>
      </c>
      <c r="Z236">
        <f t="shared" si="95"/>
        <v>0</v>
      </c>
      <c r="AA236">
        <f t="shared" si="96"/>
        <v>0</v>
      </c>
      <c r="AB236">
        <f t="shared" si="79"/>
        <v>0</v>
      </c>
      <c r="AC236">
        <f t="shared" si="80"/>
        <v>0</v>
      </c>
      <c r="AD236">
        <f t="shared" si="81"/>
        <v>0</v>
      </c>
      <c r="AE236">
        <f t="shared" si="82"/>
        <v>0</v>
      </c>
      <c r="AF236">
        <f t="shared" si="83"/>
        <v>0</v>
      </c>
      <c r="AG236">
        <f t="shared" si="84"/>
        <v>1</v>
      </c>
      <c r="AH236">
        <f t="shared" si="97"/>
        <v>0</v>
      </c>
      <c r="AI236">
        <f t="shared" si="102"/>
        <v>0</v>
      </c>
      <c r="AJ236">
        <f t="shared" si="102"/>
        <v>0</v>
      </c>
      <c r="AK236">
        <f t="shared" si="102"/>
        <v>1</v>
      </c>
      <c r="AL236">
        <f t="shared" si="102"/>
        <v>0</v>
      </c>
      <c r="AM236">
        <f t="shared" si="102"/>
        <v>0</v>
      </c>
      <c r="AN236">
        <f t="shared" si="102"/>
        <v>0</v>
      </c>
      <c r="AO236">
        <f t="shared" si="102"/>
        <v>0</v>
      </c>
      <c r="AP236">
        <f t="shared" si="102"/>
        <v>0</v>
      </c>
      <c r="AQ236">
        <f t="shared" si="102"/>
        <v>0</v>
      </c>
      <c r="AR236">
        <f t="shared" si="102"/>
        <v>0</v>
      </c>
      <c r="AS236">
        <f t="shared" si="102"/>
        <v>0</v>
      </c>
      <c r="AT236">
        <f t="shared" si="102"/>
        <v>0</v>
      </c>
      <c r="AU236">
        <f t="shared" si="102"/>
        <v>0</v>
      </c>
      <c r="AV236">
        <f t="shared" si="102"/>
        <v>0</v>
      </c>
      <c r="AW236">
        <f t="shared" si="102"/>
        <v>0</v>
      </c>
      <c r="AX236">
        <f t="shared" si="98"/>
        <v>0</v>
      </c>
      <c r="AY236">
        <f t="shared" si="98"/>
        <v>1</v>
      </c>
      <c r="AZ236">
        <f t="shared" si="98"/>
        <v>0</v>
      </c>
      <c r="BA236">
        <f t="shared" si="99"/>
        <v>1</v>
      </c>
      <c r="BB236">
        <f t="shared" si="100"/>
        <v>1</v>
      </c>
    </row>
    <row r="237" spans="1:54">
      <c r="A237">
        <v>234</v>
      </c>
      <c r="B237" t="s">
        <v>20</v>
      </c>
      <c r="C237" t="s">
        <v>28</v>
      </c>
      <c r="D237" t="s">
        <v>23</v>
      </c>
      <c r="E237" t="s">
        <v>30</v>
      </c>
      <c r="F237" t="s">
        <v>21</v>
      </c>
      <c r="G237" t="s">
        <v>22</v>
      </c>
      <c r="H237" s="3">
        <v>0.765462138923511</v>
      </c>
      <c r="I237" s="3">
        <v>0.73185796397417702</v>
      </c>
      <c r="J237" s="3">
        <v>0.62016397083105901</v>
      </c>
      <c r="K237" s="3">
        <v>0.65569377649567595</v>
      </c>
      <c r="L237" s="3">
        <v>0.50059603823102605</v>
      </c>
      <c r="M237" s="3">
        <v>0.38694666302730901</v>
      </c>
      <c r="N237" s="3">
        <v>0.85333333333333306</v>
      </c>
      <c r="O237" s="3">
        <v>0.52074423890458599</v>
      </c>
      <c r="P237">
        <f t="shared" si="85"/>
        <v>0</v>
      </c>
      <c r="Q237">
        <f t="shared" si="86"/>
        <v>1</v>
      </c>
      <c r="R237">
        <f t="shared" si="87"/>
        <v>0</v>
      </c>
      <c r="S237">
        <f t="shared" si="88"/>
        <v>0</v>
      </c>
      <c r="T237">
        <f t="shared" si="89"/>
        <v>1</v>
      </c>
      <c r="U237">
        <f t="shared" si="90"/>
        <v>0</v>
      </c>
      <c r="V237">
        <f t="shared" si="91"/>
        <v>0</v>
      </c>
      <c r="W237">
        <f t="shared" si="92"/>
        <v>0</v>
      </c>
      <c r="X237">
        <f t="shared" si="93"/>
        <v>0</v>
      </c>
      <c r="Y237">
        <f t="shared" si="94"/>
        <v>0</v>
      </c>
      <c r="Z237">
        <f t="shared" si="95"/>
        <v>0</v>
      </c>
      <c r="AA237">
        <f t="shared" si="96"/>
        <v>0</v>
      </c>
      <c r="AB237">
        <f t="shared" si="79"/>
        <v>0</v>
      </c>
      <c r="AC237">
        <f t="shared" si="80"/>
        <v>1</v>
      </c>
      <c r="AD237">
        <f t="shared" si="81"/>
        <v>0</v>
      </c>
      <c r="AE237">
        <f t="shared" si="82"/>
        <v>0</v>
      </c>
      <c r="AF237">
        <f t="shared" si="83"/>
        <v>0</v>
      </c>
      <c r="AG237">
        <f t="shared" si="84"/>
        <v>0</v>
      </c>
      <c r="AH237">
        <f t="shared" si="97"/>
        <v>1</v>
      </c>
      <c r="AI237">
        <f t="shared" si="102"/>
        <v>0</v>
      </c>
      <c r="AJ237">
        <f t="shared" si="102"/>
        <v>0</v>
      </c>
      <c r="AK237">
        <f t="shared" si="102"/>
        <v>0</v>
      </c>
      <c r="AL237">
        <f t="shared" si="102"/>
        <v>0</v>
      </c>
      <c r="AM237">
        <f t="shared" si="102"/>
        <v>0</v>
      </c>
      <c r="AN237">
        <f t="shared" si="102"/>
        <v>0</v>
      </c>
      <c r="AO237">
        <f t="shared" si="102"/>
        <v>0</v>
      </c>
      <c r="AP237">
        <f t="shared" si="102"/>
        <v>0</v>
      </c>
      <c r="AQ237">
        <f t="shared" si="102"/>
        <v>0</v>
      </c>
      <c r="AR237">
        <f t="shared" si="102"/>
        <v>1</v>
      </c>
      <c r="AS237">
        <f t="shared" si="102"/>
        <v>0</v>
      </c>
      <c r="AT237">
        <f t="shared" si="102"/>
        <v>0</v>
      </c>
      <c r="AU237">
        <f t="shared" si="102"/>
        <v>0</v>
      </c>
      <c r="AV237">
        <f t="shared" si="102"/>
        <v>0</v>
      </c>
      <c r="AW237">
        <f t="shared" si="102"/>
        <v>0</v>
      </c>
      <c r="AX237">
        <f t="shared" si="98"/>
        <v>1</v>
      </c>
      <c r="AY237">
        <f t="shared" si="98"/>
        <v>0</v>
      </c>
      <c r="AZ237">
        <f t="shared" si="98"/>
        <v>0</v>
      </c>
      <c r="BA237">
        <f t="shared" si="99"/>
        <v>0</v>
      </c>
      <c r="BB237">
        <f t="shared" si="100"/>
        <v>0</v>
      </c>
    </row>
    <row r="238" spans="1:54">
      <c r="A238">
        <v>235</v>
      </c>
      <c r="B238" t="s">
        <v>20</v>
      </c>
      <c r="C238" t="s">
        <v>28</v>
      </c>
      <c r="D238" t="s">
        <v>23</v>
      </c>
      <c r="E238" t="s">
        <v>30</v>
      </c>
      <c r="F238" t="s">
        <v>21</v>
      </c>
      <c r="G238" t="s">
        <v>23</v>
      </c>
      <c r="H238" s="3">
        <v>0.82549952992672704</v>
      </c>
      <c r="I238" s="3">
        <v>0.81989766538280195</v>
      </c>
      <c r="J238" s="3">
        <v>0.71308358418990603</v>
      </c>
      <c r="K238" s="3">
        <v>0.75279866029669795</v>
      </c>
      <c r="L238" s="3">
        <v>0.63580059342879802</v>
      </c>
      <c r="M238" s="3">
        <v>0.518403170521191</v>
      </c>
      <c r="N238" s="3">
        <v>0.92</v>
      </c>
      <c r="O238" s="3">
        <v>0.65239615495660597</v>
      </c>
      <c r="P238">
        <f t="shared" si="85"/>
        <v>0</v>
      </c>
      <c r="Q238">
        <f t="shared" si="86"/>
        <v>1</v>
      </c>
      <c r="R238">
        <f t="shared" si="87"/>
        <v>0</v>
      </c>
      <c r="S238">
        <f t="shared" si="88"/>
        <v>0</v>
      </c>
      <c r="T238">
        <f t="shared" si="89"/>
        <v>0</v>
      </c>
      <c r="U238">
        <f t="shared" si="90"/>
        <v>1</v>
      </c>
      <c r="V238">
        <f t="shared" si="91"/>
        <v>0</v>
      </c>
      <c r="W238">
        <f t="shared" si="92"/>
        <v>0</v>
      </c>
      <c r="X238">
        <f t="shared" si="93"/>
        <v>0</v>
      </c>
      <c r="Y238">
        <f t="shared" si="94"/>
        <v>0</v>
      </c>
      <c r="Z238">
        <f t="shared" si="95"/>
        <v>0</v>
      </c>
      <c r="AA238">
        <f t="shared" si="96"/>
        <v>0</v>
      </c>
      <c r="AB238">
        <f t="shared" si="79"/>
        <v>0</v>
      </c>
      <c r="AC238">
        <f t="shared" si="80"/>
        <v>1</v>
      </c>
      <c r="AD238">
        <f t="shared" si="81"/>
        <v>0</v>
      </c>
      <c r="AE238">
        <f t="shared" si="82"/>
        <v>0</v>
      </c>
      <c r="AF238">
        <f t="shared" si="83"/>
        <v>0</v>
      </c>
      <c r="AG238">
        <f t="shared" si="84"/>
        <v>0</v>
      </c>
      <c r="AH238">
        <f t="shared" si="97"/>
        <v>1</v>
      </c>
      <c r="AI238">
        <f t="shared" si="102"/>
        <v>0</v>
      </c>
      <c r="AJ238">
        <f t="shared" si="102"/>
        <v>0</v>
      </c>
      <c r="AK238">
        <f t="shared" si="102"/>
        <v>0</v>
      </c>
      <c r="AL238">
        <f t="shared" si="102"/>
        <v>0</v>
      </c>
      <c r="AM238">
        <f t="shared" si="102"/>
        <v>0</v>
      </c>
      <c r="AN238">
        <f t="shared" si="102"/>
        <v>0</v>
      </c>
      <c r="AO238">
        <f t="shared" si="102"/>
        <v>0</v>
      </c>
      <c r="AP238">
        <f t="shared" si="102"/>
        <v>0</v>
      </c>
      <c r="AQ238">
        <f t="shared" si="102"/>
        <v>0</v>
      </c>
      <c r="AR238">
        <f t="shared" si="102"/>
        <v>0</v>
      </c>
      <c r="AS238">
        <f t="shared" si="102"/>
        <v>0</v>
      </c>
      <c r="AT238">
        <f t="shared" si="102"/>
        <v>0</v>
      </c>
      <c r="AU238">
        <f t="shared" si="102"/>
        <v>0</v>
      </c>
      <c r="AV238">
        <f t="shared" si="102"/>
        <v>0</v>
      </c>
      <c r="AW238">
        <f t="shared" si="102"/>
        <v>0</v>
      </c>
      <c r="AX238">
        <f t="shared" si="98"/>
        <v>1</v>
      </c>
      <c r="AY238">
        <f t="shared" si="98"/>
        <v>0</v>
      </c>
      <c r="AZ238">
        <f t="shared" si="98"/>
        <v>0</v>
      </c>
      <c r="BA238">
        <f t="shared" si="99"/>
        <v>0</v>
      </c>
      <c r="BB238">
        <f t="shared" si="100"/>
        <v>0</v>
      </c>
    </row>
    <row r="239" spans="1:54">
      <c r="A239">
        <v>236</v>
      </c>
      <c r="B239" t="s">
        <v>20</v>
      </c>
      <c r="C239" t="s">
        <v>28</v>
      </c>
      <c r="D239" t="s">
        <v>23</v>
      </c>
      <c r="E239" t="s">
        <v>30</v>
      </c>
      <c r="F239" t="s">
        <v>21</v>
      </c>
      <c r="G239" t="s">
        <v>24</v>
      </c>
      <c r="H239" s="3">
        <v>2.76159610131901E-2</v>
      </c>
      <c r="I239" s="3">
        <v>2.6680929158278799E-2</v>
      </c>
      <c r="J239" s="3">
        <v>2.3334120423041602E-2</v>
      </c>
      <c r="K239" s="3">
        <v>2.44199451220341E-2</v>
      </c>
      <c r="L239" s="3">
        <v>1.7425057816535298E-2</v>
      </c>
      <c r="M239" s="3">
        <v>1.3716323657931099E-2</v>
      </c>
      <c r="N239" s="3">
        <v>2.9785544082605201E-2</v>
      </c>
      <c r="O239" s="3">
        <v>1.87690467010336E-2</v>
      </c>
      <c r="P239">
        <f t="shared" si="85"/>
        <v>0</v>
      </c>
      <c r="Q239">
        <f t="shared" si="86"/>
        <v>1</v>
      </c>
      <c r="R239">
        <f t="shared" si="87"/>
        <v>0</v>
      </c>
      <c r="S239">
        <f t="shared" si="88"/>
        <v>0</v>
      </c>
      <c r="T239">
        <f t="shared" si="89"/>
        <v>0</v>
      </c>
      <c r="U239">
        <f t="shared" si="90"/>
        <v>0</v>
      </c>
      <c r="V239">
        <f t="shared" si="91"/>
        <v>1</v>
      </c>
      <c r="W239">
        <f t="shared" si="92"/>
        <v>0</v>
      </c>
      <c r="X239">
        <f t="shared" si="93"/>
        <v>0</v>
      </c>
      <c r="Y239">
        <f t="shared" si="94"/>
        <v>0</v>
      </c>
      <c r="Z239">
        <f t="shared" si="95"/>
        <v>0</v>
      </c>
      <c r="AA239">
        <f t="shared" si="96"/>
        <v>0</v>
      </c>
      <c r="AB239">
        <f t="shared" si="79"/>
        <v>0</v>
      </c>
      <c r="AC239">
        <f t="shared" si="80"/>
        <v>0</v>
      </c>
      <c r="AD239">
        <f t="shared" si="81"/>
        <v>0</v>
      </c>
      <c r="AE239">
        <f t="shared" si="82"/>
        <v>0</v>
      </c>
      <c r="AF239">
        <f t="shared" si="83"/>
        <v>0</v>
      </c>
      <c r="AG239">
        <f t="shared" si="84"/>
        <v>0</v>
      </c>
      <c r="AH239">
        <f t="shared" si="97"/>
        <v>0</v>
      </c>
      <c r="AI239">
        <f t="shared" ref="AI239:AW255" si="103">IF(OR(AND($D239=AI$1,$G239=AI$2),AND($D239=AI$2,$G239=AI$1)),1,0)</f>
        <v>0</v>
      </c>
      <c r="AJ239">
        <f t="shared" si="103"/>
        <v>0</v>
      </c>
      <c r="AK239">
        <f t="shared" si="103"/>
        <v>0</v>
      </c>
      <c r="AL239">
        <f t="shared" si="103"/>
        <v>0</v>
      </c>
      <c r="AM239">
        <f t="shared" si="103"/>
        <v>0</v>
      </c>
      <c r="AN239">
        <f t="shared" si="103"/>
        <v>0</v>
      </c>
      <c r="AO239">
        <f t="shared" si="103"/>
        <v>0</v>
      </c>
      <c r="AP239">
        <f t="shared" si="103"/>
        <v>0</v>
      </c>
      <c r="AQ239">
        <f t="shared" si="103"/>
        <v>0</v>
      </c>
      <c r="AR239">
        <f t="shared" si="103"/>
        <v>0</v>
      </c>
      <c r="AS239">
        <f t="shared" si="103"/>
        <v>0</v>
      </c>
      <c r="AT239">
        <f t="shared" si="103"/>
        <v>0</v>
      </c>
      <c r="AU239">
        <f t="shared" si="103"/>
        <v>1</v>
      </c>
      <c r="AV239">
        <f t="shared" si="103"/>
        <v>0</v>
      </c>
      <c r="AW239">
        <f t="shared" si="103"/>
        <v>0</v>
      </c>
      <c r="AX239">
        <f t="shared" si="98"/>
        <v>1</v>
      </c>
      <c r="AY239">
        <f t="shared" si="98"/>
        <v>0</v>
      </c>
      <c r="AZ239">
        <f t="shared" si="98"/>
        <v>0</v>
      </c>
      <c r="BA239">
        <f t="shared" si="99"/>
        <v>0</v>
      </c>
      <c r="BB239">
        <f t="shared" si="100"/>
        <v>0</v>
      </c>
    </row>
    <row r="240" spans="1:54">
      <c r="A240">
        <v>237</v>
      </c>
      <c r="B240" t="s">
        <v>20</v>
      </c>
      <c r="C240" t="s">
        <v>28</v>
      </c>
      <c r="D240" t="s">
        <v>23</v>
      </c>
      <c r="E240" t="s">
        <v>30</v>
      </c>
      <c r="F240" t="s">
        <v>21</v>
      </c>
      <c r="G240" t="s">
        <v>25</v>
      </c>
      <c r="H240" s="3">
        <v>2.0844123229376899E-2</v>
      </c>
      <c r="I240" s="3">
        <v>2.0072915309609501E-2</v>
      </c>
      <c r="J240" s="3">
        <v>1.78221380373891E-2</v>
      </c>
      <c r="K240" s="3">
        <v>1.8324809731165299E-2</v>
      </c>
      <c r="L240" s="3">
        <v>1.33831842502395E-2</v>
      </c>
      <c r="M240" s="3">
        <v>1.0569370086285199E-2</v>
      </c>
      <c r="N240" s="3">
        <v>2.2482014388489201E-2</v>
      </c>
      <c r="O240" s="3">
        <v>1.46809970132998E-2</v>
      </c>
      <c r="P240">
        <f t="shared" si="85"/>
        <v>0</v>
      </c>
      <c r="Q240">
        <f t="shared" si="86"/>
        <v>1</v>
      </c>
      <c r="R240">
        <f t="shared" si="87"/>
        <v>0</v>
      </c>
      <c r="S240">
        <f t="shared" si="88"/>
        <v>0</v>
      </c>
      <c r="T240">
        <f t="shared" si="89"/>
        <v>0</v>
      </c>
      <c r="U240">
        <f t="shared" si="90"/>
        <v>0</v>
      </c>
      <c r="V240">
        <f t="shared" si="91"/>
        <v>0</v>
      </c>
      <c r="W240">
        <f t="shared" si="92"/>
        <v>0</v>
      </c>
      <c r="X240">
        <f t="shared" si="93"/>
        <v>0</v>
      </c>
      <c r="Y240">
        <f t="shared" si="94"/>
        <v>0</v>
      </c>
      <c r="Z240">
        <f t="shared" si="95"/>
        <v>0</v>
      </c>
      <c r="AA240">
        <f t="shared" si="96"/>
        <v>0</v>
      </c>
      <c r="AB240">
        <f t="shared" si="79"/>
        <v>0</v>
      </c>
      <c r="AC240">
        <f t="shared" si="80"/>
        <v>0</v>
      </c>
      <c r="AD240">
        <f t="shared" si="81"/>
        <v>0</v>
      </c>
      <c r="AE240">
        <f t="shared" si="82"/>
        <v>0</v>
      </c>
      <c r="AF240">
        <f t="shared" si="83"/>
        <v>0</v>
      </c>
      <c r="AG240">
        <f t="shared" si="84"/>
        <v>0</v>
      </c>
      <c r="AH240">
        <f t="shared" si="97"/>
        <v>0</v>
      </c>
      <c r="AI240">
        <f t="shared" si="103"/>
        <v>0</v>
      </c>
      <c r="AJ240">
        <f t="shared" si="103"/>
        <v>0</v>
      </c>
      <c r="AK240">
        <f t="shared" si="103"/>
        <v>0</v>
      </c>
      <c r="AL240">
        <f t="shared" si="103"/>
        <v>0</v>
      </c>
      <c r="AM240">
        <f t="shared" si="103"/>
        <v>0</v>
      </c>
      <c r="AN240">
        <f t="shared" si="103"/>
        <v>0</v>
      </c>
      <c r="AO240">
        <f t="shared" si="103"/>
        <v>1</v>
      </c>
      <c r="AP240">
        <f t="shared" si="103"/>
        <v>0</v>
      </c>
      <c r="AQ240">
        <f t="shared" si="103"/>
        <v>0</v>
      </c>
      <c r="AR240">
        <f t="shared" si="103"/>
        <v>0</v>
      </c>
      <c r="AS240">
        <f t="shared" si="103"/>
        <v>0</v>
      </c>
      <c r="AT240">
        <f t="shared" si="103"/>
        <v>0</v>
      </c>
      <c r="AU240">
        <f t="shared" si="103"/>
        <v>0</v>
      </c>
      <c r="AV240">
        <f t="shared" si="103"/>
        <v>0</v>
      </c>
      <c r="AW240">
        <f t="shared" si="103"/>
        <v>0</v>
      </c>
      <c r="AX240">
        <f t="shared" si="98"/>
        <v>1</v>
      </c>
      <c r="AY240">
        <f t="shared" si="98"/>
        <v>0</v>
      </c>
      <c r="AZ240">
        <f t="shared" si="98"/>
        <v>0</v>
      </c>
      <c r="BA240">
        <f t="shared" si="99"/>
        <v>1</v>
      </c>
      <c r="BB240">
        <f t="shared" si="100"/>
        <v>0</v>
      </c>
    </row>
    <row r="241" spans="1:54">
      <c r="A241">
        <v>238</v>
      </c>
      <c r="B241" t="s">
        <v>20</v>
      </c>
      <c r="C241" t="s">
        <v>28</v>
      </c>
      <c r="D241" t="s">
        <v>23</v>
      </c>
      <c r="E241" t="s">
        <v>30</v>
      </c>
      <c r="F241" t="s">
        <v>21</v>
      </c>
      <c r="G241" t="s">
        <v>26</v>
      </c>
      <c r="H241" s="3">
        <v>2.11091177769092E-2</v>
      </c>
      <c r="I241" s="3">
        <v>2.0382188562604601E-2</v>
      </c>
      <c r="J241" s="3">
        <v>1.8074945529197799E-2</v>
      </c>
      <c r="K241" s="3">
        <v>1.8653007797188599E-2</v>
      </c>
      <c r="L241" s="3">
        <v>1.35638953153041E-2</v>
      </c>
      <c r="M241" s="3">
        <v>1.0710546942009701E-2</v>
      </c>
      <c r="N241" s="3">
        <v>2.2761760242792101E-2</v>
      </c>
      <c r="O241" s="3">
        <v>1.48975752531476E-2</v>
      </c>
      <c r="P241">
        <f t="shared" si="85"/>
        <v>0</v>
      </c>
      <c r="Q241">
        <f t="shared" si="86"/>
        <v>1</v>
      </c>
      <c r="R241">
        <f t="shared" si="87"/>
        <v>0</v>
      </c>
      <c r="S241">
        <f t="shared" si="88"/>
        <v>0</v>
      </c>
      <c r="T241">
        <f t="shared" si="89"/>
        <v>0</v>
      </c>
      <c r="U241">
        <f t="shared" si="90"/>
        <v>0</v>
      </c>
      <c r="V241">
        <f t="shared" si="91"/>
        <v>0</v>
      </c>
      <c r="W241">
        <f t="shared" si="92"/>
        <v>0</v>
      </c>
      <c r="X241">
        <f t="shared" si="93"/>
        <v>0</v>
      </c>
      <c r="Y241">
        <f t="shared" si="94"/>
        <v>0</v>
      </c>
      <c r="Z241">
        <f t="shared" si="95"/>
        <v>0</v>
      </c>
      <c r="AA241">
        <f t="shared" si="96"/>
        <v>0</v>
      </c>
      <c r="AB241">
        <f t="shared" si="79"/>
        <v>0</v>
      </c>
      <c r="AC241">
        <f t="shared" si="80"/>
        <v>0</v>
      </c>
      <c r="AD241">
        <f t="shared" si="81"/>
        <v>0</v>
      </c>
      <c r="AE241">
        <f t="shared" si="82"/>
        <v>0</v>
      </c>
      <c r="AF241">
        <f t="shared" si="83"/>
        <v>0</v>
      </c>
      <c r="AG241">
        <f t="shared" si="84"/>
        <v>0</v>
      </c>
      <c r="AH241">
        <f t="shared" si="97"/>
        <v>0</v>
      </c>
      <c r="AI241">
        <f t="shared" si="103"/>
        <v>0</v>
      </c>
      <c r="AJ241">
        <f t="shared" si="103"/>
        <v>0</v>
      </c>
      <c r="AK241">
        <f t="shared" si="103"/>
        <v>1</v>
      </c>
      <c r="AL241">
        <f t="shared" si="103"/>
        <v>0</v>
      </c>
      <c r="AM241">
        <f t="shared" si="103"/>
        <v>0</v>
      </c>
      <c r="AN241">
        <f t="shared" si="103"/>
        <v>0</v>
      </c>
      <c r="AO241">
        <f t="shared" si="103"/>
        <v>0</v>
      </c>
      <c r="AP241">
        <f t="shared" si="103"/>
        <v>0</v>
      </c>
      <c r="AQ241">
        <f t="shared" si="103"/>
        <v>0</v>
      </c>
      <c r="AR241">
        <f t="shared" si="103"/>
        <v>0</v>
      </c>
      <c r="AS241">
        <f t="shared" si="103"/>
        <v>0</v>
      </c>
      <c r="AT241">
        <f t="shared" si="103"/>
        <v>0</v>
      </c>
      <c r="AU241">
        <f t="shared" si="103"/>
        <v>0</v>
      </c>
      <c r="AV241">
        <f t="shared" si="103"/>
        <v>0</v>
      </c>
      <c r="AW241">
        <f t="shared" si="103"/>
        <v>0</v>
      </c>
      <c r="AX241">
        <f t="shared" si="98"/>
        <v>1</v>
      </c>
      <c r="AY241">
        <f t="shared" si="98"/>
        <v>0</v>
      </c>
      <c r="AZ241">
        <f t="shared" si="98"/>
        <v>0</v>
      </c>
      <c r="BA241">
        <f t="shared" si="99"/>
        <v>1</v>
      </c>
      <c r="BB241">
        <f t="shared" si="100"/>
        <v>0</v>
      </c>
    </row>
    <row r="242" spans="1:54">
      <c r="A242">
        <v>239</v>
      </c>
      <c r="B242" t="s">
        <v>20</v>
      </c>
      <c r="C242" t="s">
        <v>28</v>
      </c>
      <c r="D242" t="s">
        <v>23</v>
      </c>
      <c r="E242" t="s">
        <v>30</v>
      </c>
      <c r="F242" t="s">
        <v>21</v>
      </c>
      <c r="G242" t="s">
        <v>27</v>
      </c>
      <c r="H242" s="3">
        <v>6.9267586389549801E-2</v>
      </c>
      <c r="I242" s="3">
        <v>6.7364641664610495E-2</v>
      </c>
      <c r="J242" s="3">
        <v>5.8297819824793803E-2</v>
      </c>
      <c r="K242" s="3">
        <v>6.13407199182514E-2</v>
      </c>
      <c r="L242" s="3">
        <v>4.43381304172537E-2</v>
      </c>
      <c r="M242" s="3">
        <v>3.4892888023985699E-2</v>
      </c>
      <c r="N242" s="3">
        <v>7.5834175935288101E-2</v>
      </c>
      <c r="O242" s="3">
        <v>4.70448813411984E-2</v>
      </c>
      <c r="P242">
        <f t="shared" si="85"/>
        <v>0</v>
      </c>
      <c r="Q242">
        <f t="shared" si="86"/>
        <v>1</v>
      </c>
      <c r="R242">
        <f t="shared" si="87"/>
        <v>0</v>
      </c>
      <c r="S242">
        <f t="shared" si="88"/>
        <v>0</v>
      </c>
      <c r="T242">
        <f t="shared" si="89"/>
        <v>0</v>
      </c>
      <c r="U242">
        <f t="shared" si="90"/>
        <v>0</v>
      </c>
      <c r="V242">
        <f t="shared" si="91"/>
        <v>0</v>
      </c>
      <c r="W242">
        <f t="shared" si="92"/>
        <v>1</v>
      </c>
      <c r="X242">
        <f t="shared" si="93"/>
        <v>0</v>
      </c>
      <c r="Y242">
        <f t="shared" si="94"/>
        <v>0</v>
      </c>
      <c r="Z242">
        <f t="shared" si="95"/>
        <v>0</v>
      </c>
      <c r="AA242">
        <f t="shared" si="96"/>
        <v>0</v>
      </c>
      <c r="AB242">
        <f t="shared" si="79"/>
        <v>0</v>
      </c>
      <c r="AC242">
        <f t="shared" si="80"/>
        <v>0</v>
      </c>
      <c r="AD242">
        <f t="shared" si="81"/>
        <v>0</v>
      </c>
      <c r="AE242">
        <f t="shared" si="82"/>
        <v>0</v>
      </c>
      <c r="AF242">
        <f t="shared" si="83"/>
        <v>0</v>
      </c>
      <c r="AG242">
        <f t="shared" si="84"/>
        <v>0</v>
      </c>
      <c r="AH242">
        <f t="shared" si="97"/>
        <v>0</v>
      </c>
      <c r="AI242">
        <f t="shared" si="103"/>
        <v>0</v>
      </c>
      <c r="AJ242">
        <f t="shared" si="103"/>
        <v>0</v>
      </c>
      <c r="AK242">
        <f t="shared" si="103"/>
        <v>0</v>
      </c>
      <c r="AL242">
        <f t="shared" si="103"/>
        <v>0</v>
      </c>
      <c r="AM242">
        <f t="shared" si="103"/>
        <v>0</v>
      </c>
      <c r="AN242">
        <f t="shared" si="103"/>
        <v>0</v>
      </c>
      <c r="AO242">
        <f t="shared" si="103"/>
        <v>0</v>
      </c>
      <c r="AP242">
        <f t="shared" si="103"/>
        <v>0</v>
      </c>
      <c r="AQ242">
        <f t="shared" si="103"/>
        <v>0</v>
      </c>
      <c r="AR242">
        <f t="shared" si="103"/>
        <v>0</v>
      </c>
      <c r="AS242">
        <f t="shared" si="103"/>
        <v>0</v>
      </c>
      <c r="AT242">
        <f t="shared" si="103"/>
        <v>0</v>
      </c>
      <c r="AU242">
        <f t="shared" si="103"/>
        <v>0</v>
      </c>
      <c r="AV242">
        <f t="shared" si="103"/>
        <v>1</v>
      </c>
      <c r="AW242">
        <f t="shared" si="103"/>
        <v>0</v>
      </c>
      <c r="AX242">
        <f t="shared" si="98"/>
        <v>1</v>
      </c>
      <c r="AY242">
        <f t="shared" si="98"/>
        <v>0</v>
      </c>
      <c r="AZ242">
        <f t="shared" si="98"/>
        <v>0</v>
      </c>
      <c r="BA242">
        <f t="shared" si="99"/>
        <v>0</v>
      </c>
      <c r="BB242">
        <f t="shared" si="100"/>
        <v>0</v>
      </c>
    </row>
    <row r="243" spans="1:54">
      <c r="A243">
        <v>240</v>
      </c>
      <c r="B243" t="s">
        <v>20</v>
      </c>
      <c r="C243" t="s">
        <v>28</v>
      </c>
      <c r="D243" t="s">
        <v>23</v>
      </c>
      <c r="E243" t="s">
        <v>30</v>
      </c>
      <c r="F243" t="s">
        <v>28</v>
      </c>
      <c r="G243" t="s">
        <v>22</v>
      </c>
      <c r="H243" s="3">
        <v>0.86334705059805295</v>
      </c>
      <c r="I243" s="3">
        <v>0.82127648691396105</v>
      </c>
      <c r="J243" s="3">
        <v>0.72385540577782503</v>
      </c>
      <c r="K243" s="3">
        <v>0.75059177946877398</v>
      </c>
      <c r="L243" s="3">
        <v>0.60191409829075104</v>
      </c>
      <c r="M243" s="3">
        <v>0.483976732075097</v>
      </c>
      <c r="N243" s="3">
        <v>0.93333333333333302</v>
      </c>
      <c r="O243" s="3">
        <v>0.62552151385954402</v>
      </c>
      <c r="P243">
        <f t="shared" si="85"/>
        <v>1</v>
      </c>
      <c r="Q243">
        <f t="shared" si="86"/>
        <v>1</v>
      </c>
      <c r="R243">
        <f t="shared" si="87"/>
        <v>0</v>
      </c>
      <c r="S243">
        <f t="shared" si="88"/>
        <v>0</v>
      </c>
      <c r="T243">
        <f t="shared" si="89"/>
        <v>0</v>
      </c>
      <c r="U243">
        <f t="shared" si="90"/>
        <v>0</v>
      </c>
      <c r="V243">
        <f t="shared" si="91"/>
        <v>0</v>
      </c>
      <c r="W243">
        <f t="shared" si="92"/>
        <v>0</v>
      </c>
      <c r="X243">
        <f t="shared" si="93"/>
        <v>0</v>
      </c>
      <c r="Y243">
        <f t="shared" si="94"/>
        <v>0</v>
      </c>
      <c r="Z243">
        <f t="shared" si="95"/>
        <v>0</v>
      </c>
      <c r="AA243">
        <f t="shared" si="96"/>
        <v>0</v>
      </c>
      <c r="AB243">
        <f t="shared" si="79"/>
        <v>0</v>
      </c>
      <c r="AC243">
        <f t="shared" si="80"/>
        <v>1</v>
      </c>
      <c r="AD243">
        <f t="shared" si="81"/>
        <v>0</v>
      </c>
      <c r="AE243">
        <f t="shared" si="82"/>
        <v>0</v>
      </c>
      <c r="AF243">
        <f t="shared" si="83"/>
        <v>1</v>
      </c>
      <c r="AG243">
        <f t="shared" si="84"/>
        <v>0</v>
      </c>
      <c r="AH243">
        <f t="shared" si="97"/>
        <v>1</v>
      </c>
      <c r="AI243">
        <f t="shared" si="103"/>
        <v>0</v>
      </c>
      <c r="AJ243">
        <f t="shared" si="103"/>
        <v>0</v>
      </c>
      <c r="AK243">
        <f t="shared" si="103"/>
        <v>0</v>
      </c>
      <c r="AL243">
        <f t="shared" si="103"/>
        <v>0</v>
      </c>
      <c r="AM243">
        <f t="shared" si="103"/>
        <v>0</v>
      </c>
      <c r="AN243">
        <f t="shared" si="103"/>
        <v>0</v>
      </c>
      <c r="AO243">
        <f t="shared" si="103"/>
        <v>0</v>
      </c>
      <c r="AP243">
        <f t="shared" si="103"/>
        <v>0</v>
      </c>
      <c r="AQ243">
        <f t="shared" si="103"/>
        <v>0</v>
      </c>
      <c r="AR243">
        <f t="shared" si="103"/>
        <v>1</v>
      </c>
      <c r="AS243">
        <f t="shared" si="103"/>
        <v>0</v>
      </c>
      <c r="AT243">
        <f t="shared" si="103"/>
        <v>0</v>
      </c>
      <c r="AU243">
        <f t="shared" si="103"/>
        <v>0</v>
      </c>
      <c r="AV243">
        <f t="shared" si="103"/>
        <v>0</v>
      </c>
      <c r="AW243">
        <f t="shared" si="103"/>
        <v>0</v>
      </c>
      <c r="AX243">
        <f t="shared" si="98"/>
        <v>0</v>
      </c>
      <c r="AY243">
        <f t="shared" si="98"/>
        <v>0</v>
      </c>
      <c r="AZ243">
        <f t="shared" si="98"/>
        <v>0</v>
      </c>
      <c r="BA243">
        <f t="shared" si="99"/>
        <v>0</v>
      </c>
      <c r="BB243">
        <f t="shared" si="100"/>
        <v>0</v>
      </c>
    </row>
    <row r="244" spans="1:54">
      <c r="A244">
        <v>241</v>
      </c>
      <c r="B244" t="s">
        <v>20</v>
      </c>
      <c r="C244" t="s">
        <v>28</v>
      </c>
      <c r="D244" t="s">
        <v>23</v>
      </c>
      <c r="E244" t="s">
        <v>30</v>
      </c>
      <c r="F244" t="s">
        <v>28</v>
      </c>
      <c r="G244" t="s">
        <v>23</v>
      </c>
      <c r="H244" s="3">
        <v>0.86733811895160196</v>
      </c>
      <c r="I244" s="3">
        <v>0.84801092182084703</v>
      </c>
      <c r="J244" s="3">
        <v>0.79534033294216899</v>
      </c>
      <c r="K244" s="3">
        <v>0.80996246030554697</v>
      </c>
      <c r="L244" s="3">
        <v>0.72147127207856199</v>
      </c>
      <c r="M244" s="3">
        <v>0.63726611559519197</v>
      </c>
      <c r="N244" s="3">
        <v>0.90361445783132499</v>
      </c>
      <c r="O244" s="3">
        <v>0.74519934686786704</v>
      </c>
      <c r="P244">
        <f t="shared" si="85"/>
        <v>0</v>
      </c>
      <c r="Q244">
        <f t="shared" si="86"/>
        <v>1</v>
      </c>
      <c r="R244">
        <f t="shared" si="87"/>
        <v>0</v>
      </c>
      <c r="S244">
        <f t="shared" si="88"/>
        <v>0</v>
      </c>
      <c r="T244">
        <f t="shared" si="89"/>
        <v>0</v>
      </c>
      <c r="U244">
        <f t="shared" si="90"/>
        <v>0</v>
      </c>
      <c r="V244">
        <f t="shared" si="91"/>
        <v>0</v>
      </c>
      <c r="W244">
        <f t="shared" si="92"/>
        <v>0</v>
      </c>
      <c r="X244">
        <f t="shared" si="93"/>
        <v>0</v>
      </c>
      <c r="Y244">
        <f t="shared" si="94"/>
        <v>0</v>
      </c>
      <c r="Z244">
        <f t="shared" si="95"/>
        <v>0</v>
      </c>
      <c r="AA244">
        <f t="shared" si="96"/>
        <v>0</v>
      </c>
      <c r="AB244">
        <f t="shared" si="79"/>
        <v>0</v>
      </c>
      <c r="AC244">
        <f t="shared" si="80"/>
        <v>1</v>
      </c>
      <c r="AD244">
        <f t="shared" si="81"/>
        <v>0</v>
      </c>
      <c r="AE244">
        <f t="shared" si="82"/>
        <v>0</v>
      </c>
      <c r="AF244">
        <f t="shared" si="83"/>
        <v>1</v>
      </c>
      <c r="AG244">
        <f t="shared" si="84"/>
        <v>0</v>
      </c>
      <c r="AH244">
        <f t="shared" si="97"/>
        <v>1</v>
      </c>
      <c r="AI244">
        <f t="shared" si="103"/>
        <v>0</v>
      </c>
      <c r="AJ244">
        <f t="shared" si="103"/>
        <v>0</v>
      </c>
      <c r="AK244">
        <f t="shared" si="103"/>
        <v>0</v>
      </c>
      <c r="AL244">
        <f t="shared" si="103"/>
        <v>0</v>
      </c>
      <c r="AM244">
        <f t="shared" si="103"/>
        <v>0</v>
      </c>
      <c r="AN244">
        <f t="shared" si="103"/>
        <v>0</v>
      </c>
      <c r="AO244">
        <f t="shared" si="103"/>
        <v>0</v>
      </c>
      <c r="AP244">
        <f t="shared" si="103"/>
        <v>0</v>
      </c>
      <c r="AQ244">
        <f t="shared" si="103"/>
        <v>0</v>
      </c>
      <c r="AR244">
        <f t="shared" si="103"/>
        <v>0</v>
      </c>
      <c r="AS244">
        <f t="shared" si="103"/>
        <v>0</v>
      </c>
      <c r="AT244">
        <f t="shared" si="103"/>
        <v>0</v>
      </c>
      <c r="AU244">
        <f t="shared" si="103"/>
        <v>0</v>
      </c>
      <c r="AV244">
        <f t="shared" si="103"/>
        <v>0</v>
      </c>
      <c r="AW244">
        <f t="shared" si="103"/>
        <v>0</v>
      </c>
      <c r="AX244">
        <f t="shared" si="98"/>
        <v>0</v>
      </c>
      <c r="AY244">
        <f t="shared" si="98"/>
        <v>0</v>
      </c>
      <c r="AZ244">
        <f t="shared" si="98"/>
        <v>0</v>
      </c>
      <c r="BA244">
        <f t="shared" si="99"/>
        <v>0</v>
      </c>
      <c r="BB244">
        <f t="shared" si="100"/>
        <v>0</v>
      </c>
    </row>
    <row r="245" spans="1:54">
      <c r="A245">
        <v>242</v>
      </c>
      <c r="B245" t="s">
        <v>20</v>
      </c>
      <c r="C245" t="s">
        <v>28</v>
      </c>
      <c r="D245" t="s">
        <v>23</v>
      </c>
      <c r="E245" t="s">
        <v>30</v>
      </c>
      <c r="F245" t="s">
        <v>28</v>
      </c>
      <c r="G245" t="s">
        <v>24</v>
      </c>
      <c r="H245" s="3">
        <v>2.7188305768259501E-2</v>
      </c>
      <c r="I245" s="3">
        <v>2.6552610678452201E-2</v>
      </c>
      <c r="J245" s="3">
        <v>2.2928352514503401E-2</v>
      </c>
      <c r="K245" s="3">
        <v>2.4156659666102899E-2</v>
      </c>
      <c r="L245" s="3">
        <v>1.7406327712148301E-2</v>
      </c>
      <c r="M245" s="3">
        <v>1.36422664182114E-2</v>
      </c>
      <c r="N245" s="3">
        <v>2.98329355608591E-2</v>
      </c>
      <c r="O245" s="3">
        <v>1.8501132980731999E-2</v>
      </c>
      <c r="P245">
        <f t="shared" si="85"/>
        <v>0</v>
      </c>
      <c r="Q245">
        <f t="shared" si="86"/>
        <v>1</v>
      </c>
      <c r="R245">
        <f t="shared" si="87"/>
        <v>1</v>
      </c>
      <c r="S245">
        <f t="shared" si="88"/>
        <v>0</v>
      </c>
      <c r="T245">
        <f t="shared" si="89"/>
        <v>0</v>
      </c>
      <c r="U245">
        <f t="shared" si="90"/>
        <v>0</v>
      </c>
      <c r="V245">
        <f t="shared" si="91"/>
        <v>0</v>
      </c>
      <c r="W245">
        <f t="shared" si="92"/>
        <v>0</v>
      </c>
      <c r="X245">
        <f t="shared" si="93"/>
        <v>0</v>
      </c>
      <c r="Y245">
        <f t="shared" si="94"/>
        <v>0</v>
      </c>
      <c r="Z245">
        <f t="shared" si="95"/>
        <v>0</v>
      </c>
      <c r="AA245">
        <f t="shared" si="96"/>
        <v>0</v>
      </c>
      <c r="AB245">
        <f t="shared" si="79"/>
        <v>0</v>
      </c>
      <c r="AC245">
        <f t="shared" si="80"/>
        <v>0</v>
      </c>
      <c r="AD245">
        <f t="shared" si="81"/>
        <v>0</v>
      </c>
      <c r="AE245">
        <f t="shared" si="82"/>
        <v>0</v>
      </c>
      <c r="AF245">
        <f t="shared" si="83"/>
        <v>1</v>
      </c>
      <c r="AG245">
        <f t="shared" si="84"/>
        <v>0</v>
      </c>
      <c r="AH245">
        <f t="shared" si="97"/>
        <v>0</v>
      </c>
      <c r="AI245">
        <f t="shared" si="103"/>
        <v>0</v>
      </c>
      <c r="AJ245">
        <f t="shared" si="103"/>
        <v>0</v>
      </c>
      <c r="AK245">
        <f t="shared" si="103"/>
        <v>0</v>
      </c>
      <c r="AL245">
        <f t="shared" si="103"/>
        <v>0</v>
      </c>
      <c r="AM245">
        <f t="shared" si="103"/>
        <v>0</v>
      </c>
      <c r="AN245">
        <f t="shared" si="103"/>
        <v>0</v>
      </c>
      <c r="AO245">
        <f t="shared" si="103"/>
        <v>0</v>
      </c>
      <c r="AP245">
        <f t="shared" si="103"/>
        <v>0</v>
      </c>
      <c r="AQ245">
        <f t="shared" si="103"/>
        <v>0</v>
      </c>
      <c r="AR245">
        <f t="shared" si="103"/>
        <v>0</v>
      </c>
      <c r="AS245">
        <f t="shared" si="103"/>
        <v>0</v>
      </c>
      <c r="AT245">
        <f t="shared" si="103"/>
        <v>0</v>
      </c>
      <c r="AU245">
        <f t="shared" si="103"/>
        <v>1</v>
      </c>
      <c r="AV245">
        <f t="shared" si="103"/>
        <v>0</v>
      </c>
      <c r="AW245">
        <f t="shared" si="103"/>
        <v>0</v>
      </c>
      <c r="AX245">
        <f t="shared" si="98"/>
        <v>0</v>
      </c>
      <c r="AY245">
        <f t="shared" si="98"/>
        <v>0</v>
      </c>
      <c r="AZ245">
        <f t="shared" si="98"/>
        <v>0</v>
      </c>
      <c r="BA245">
        <f t="shared" si="99"/>
        <v>0</v>
      </c>
      <c r="BB245">
        <f t="shared" si="100"/>
        <v>0</v>
      </c>
    </row>
    <row r="246" spans="1:54">
      <c r="A246">
        <v>243</v>
      </c>
      <c r="B246" t="s">
        <v>20</v>
      </c>
      <c r="C246" t="s">
        <v>28</v>
      </c>
      <c r="D246" t="s">
        <v>23</v>
      </c>
      <c r="E246" t="s">
        <v>30</v>
      </c>
      <c r="F246" t="s">
        <v>28</v>
      </c>
      <c r="G246" t="s">
        <v>25</v>
      </c>
      <c r="H246" s="3">
        <v>2.06274682782518E-2</v>
      </c>
      <c r="I246" s="3">
        <v>1.98475628235587E-2</v>
      </c>
      <c r="J246" s="3">
        <v>1.7696650777990802E-2</v>
      </c>
      <c r="K246" s="3">
        <v>1.8148304862769499E-2</v>
      </c>
      <c r="L246" s="3">
        <v>1.3404527475982701E-2</v>
      </c>
      <c r="M246" s="3">
        <v>1.06468561635274E-2</v>
      </c>
      <c r="N246" s="3">
        <v>2.2176227084565299E-2</v>
      </c>
      <c r="O246" s="3">
        <v>1.46597806230368E-2</v>
      </c>
      <c r="P246">
        <f t="shared" si="85"/>
        <v>0</v>
      </c>
      <c r="Q246">
        <f t="shared" si="86"/>
        <v>1</v>
      </c>
      <c r="R246">
        <f t="shared" si="87"/>
        <v>0</v>
      </c>
      <c r="S246">
        <f t="shared" si="88"/>
        <v>0</v>
      </c>
      <c r="T246">
        <f t="shared" si="89"/>
        <v>0</v>
      </c>
      <c r="U246">
        <f t="shared" si="90"/>
        <v>0</v>
      </c>
      <c r="V246">
        <f t="shared" si="91"/>
        <v>0</v>
      </c>
      <c r="W246">
        <f t="shared" si="92"/>
        <v>0</v>
      </c>
      <c r="X246">
        <f t="shared" si="93"/>
        <v>0</v>
      </c>
      <c r="Y246">
        <f t="shared" si="94"/>
        <v>0</v>
      </c>
      <c r="Z246">
        <f t="shared" si="95"/>
        <v>0</v>
      </c>
      <c r="AA246">
        <f t="shared" si="96"/>
        <v>0</v>
      </c>
      <c r="AB246">
        <f t="shared" si="79"/>
        <v>0</v>
      </c>
      <c r="AC246">
        <f t="shared" si="80"/>
        <v>0</v>
      </c>
      <c r="AD246">
        <f t="shared" si="81"/>
        <v>0</v>
      </c>
      <c r="AE246">
        <f t="shared" si="82"/>
        <v>0</v>
      </c>
      <c r="AF246">
        <f t="shared" si="83"/>
        <v>1</v>
      </c>
      <c r="AG246">
        <f t="shared" si="84"/>
        <v>0</v>
      </c>
      <c r="AH246">
        <f t="shared" si="97"/>
        <v>0</v>
      </c>
      <c r="AI246">
        <f t="shared" si="103"/>
        <v>0</v>
      </c>
      <c r="AJ246">
        <f t="shared" si="103"/>
        <v>0</v>
      </c>
      <c r="AK246">
        <f t="shared" si="103"/>
        <v>0</v>
      </c>
      <c r="AL246">
        <f t="shared" si="103"/>
        <v>0</v>
      </c>
      <c r="AM246">
        <f t="shared" si="103"/>
        <v>0</v>
      </c>
      <c r="AN246">
        <f t="shared" si="103"/>
        <v>0</v>
      </c>
      <c r="AO246">
        <f t="shared" si="103"/>
        <v>1</v>
      </c>
      <c r="AP246">
        <f t="shared" si="103"/>
        <v>0</v>
      </c>
      <c r="AQ246">
        <f t="shared" si="103"/>
        <v>0</v>
      </c>
      <c r="AR246">
        <f t="shared" si="103"/>
        <v>0</v>
      </c>
      <c r="AS246">
        <f t="shared" si="103"/>
        <v>0</v>
      </c>
      <c r="AT246">
        <f t="shared" si="103"/>
        <v>0</v>
      </c>
      <c r="AU246">
        <f t="shared" si="103"/>
        <v>0</v>
      </c>
      <c r="AV246">
        <f t="shared" si="103"/>
        <v>0</v>
      </c>
      <c r="AW246">
        <f t="shared" si="103"/>
        <v>0</v>
      </c>
      <c r="AX246">
        <f t="shared" si="98"/>
        <v>0</v>
      </c>
      <c r="AY246">
        <f t="shared" si="98"/>
        <v>0</v>
      </c>
      <c r="AZ246">
        <f t="shared" si="98"/>
        <v>0</v>
      </c>
      <c r="BA246">
        <f t="shared" si="99"/>
        <v>1</v>
      </c>
      <c r="BB246">
        <f t="shared" si="100"/>
        <v>0</v>
      </c>
    </row>
    <row r="247" spans="1:54">
      <c r="A247">
        <v>244</v>
      </c>
      <c r="B247" t="s">
        <v>20</v>
      </c>
      <c r="C247" t="s">
        <v>28</v>
      </c>
      <c r="D247" t="s">
        <v>23</v>
      </c>
      <c r="E247" t="s">
        <v>30</v>
      </c>
      <c r="F247" t="s">
        <v>28</v>
      </c>
      <c r="G247" t="s">
        <v>26</v>
      </c>
      <c r="H247" s="3">
        <v>2.0946196535801102E-2</v>
      </c>
      <c r="I247" s="3">
        <v>2.02382702999583E-2</v>
      </c>
      <c r="J247" s="3">
        <v>1.7975697200263201E-2</v>
      </c>
      <c r="K247" s="3">
        <v>1.8569490713768001E-2</v>
      </c>
      <c r="L247" s="3">
        <v>1.3611663157710801E-2</v>
      </c>
      <c r="M247" s="3">
        <v>1.08250811990352E-2</v>
      </c>
      <c r="N247" s="3">
        <v>2.2515761032722899E-2</v>
      </c>
      <c r="O247" s="3">
        <v>1.48994495623692E-2</v>
      </c>
      <c r="P247">
        <f t="shared" si="85"/>
        <v>0</v>
      </c>
      <c r="Q247">
        <f t="shared" si="86"/>
        <v>1</v>
      </c>
      <c r="R247">
        <f t="shared" si="87"/>
        <v>0</v>
      </c>
      <c r="S247">
        <f t="shared" si="88"/>
        <v>0</v>
      </c>
      <c r="T247">
        <f t="shared" si="89"/>
        <v>0</v>
      </c>
      <c r="U247">
        <f t="shared" si="90"/>
        <v>0</v>
      </c>
      <c r="V247">
        <f t="shared" si="91"/>
        <v>0</v>
      </c>
      <c r="W247">
        <f t="shared" si="92"/>
        <v>0</v>
      </c>
      <c r="X247">
        <f t="shared" si="93"/>
        <v>0</v>
      </c>
      <c r="Y247">
        <f t="shared" si="94"/>
        <v>0</v>
      </c>
      <c r="Z247">
        <f t="shared" si="95"/>
        <v>0</v>
      </c>
      <c r="AA247">
        <f t="shared" si="96"/>
        <v>0</v>
      </c>
      <c r="AB247">
        <f t="shared" si="79"/>
        <v>0</v>
      </c>
      <c r="AC247">
        <f t="shared" si="80"/>
        <v>0</v>
      </c>
      <c r="AD247">
        <f t="shared" si="81"/>
        <v>0</v>
      </c>
      <c r="AE247">
        <f t="shared" si="82"/>
        <v>0</v>
      </c>
      <c r="AF247">
        <f t="shared" si="83"/>
        <v>1</v>
      </c>
      <c r="AG247">
        <f t="shared" si="84"/>
        <v>0</v>
      </c>
      <c r="AH247">
        <f t="shared" si="97"/>
        <v>0</v>
      </c>
      <c r="AI247">
        <f t="shared" si="103"/>
        <v>0</v>
      </c>
      <c r="AJ247">
        <f t="shared" si="103"/>
        <v>0</v>
      </c>
      <c r="AK247">
        <f t="shared" si="103"/>
        <v>1</v>
      </c>
      <c r="AL247">
        <f t="shared" si="103"/>
        <v>0</v>
      </c>
      <c r="AM247">
        <f t="shared" si="103"/>
        <v>0</v>
      </c>
      <c r="AN247">
        <f t="shared" si="103"/>
        <v>0</v>
      </c>
      <c r="AO247">
        <f t="shared" si="103"/>
        <v>0</v>
      </c>
      <c r="AP247">
        <f t="shared" si="103"/>
        <v>0</v>
      </c>
      <c r="AQ247">
        <f t="shared" si="103"/>
        <v>0</v>
      </c>
      <c r="AR247">
        <f t="shared" si="103"/>
        <v>0</v>
      </c>
      <c r="AS247">
        <f t="shared" si="103"/>
        <v>0</v>
      </c>
      <c r="AT247">
        <f t="shared" si="103"/>
        <v>0</v>
      </c>
      <c r="AU247">
        <f t="shared" si="103"/>
        <v>0</v>
      </c>
      <c r="AV247">
        <f t="shared" si="103"/>
        <v>0</v>
      </c>
      <c r="AW247">
        <f t="shared" si="103"/>
        <v>0</v>
      </c>
      <c r="AX247">
        <f t="shared" si="98"/>
        <v>0</v>
      </c>
      <c r="AY247">
        <f t="shared" si="98"/>
        <v>0</v>
      </c>
      <c r="AZ247">
        <f t="shared" si="98"/>
        <v>0</v>
      </c>
      <c r="BA247">
        <f t="shared" si="99"/>
        <v>1</v>
      </c>
      <c r="BB247">
        <f t="shared" si="100"/>
        <v>0</v>
      </c>
    </row>
    <row r="248" spans="1:54">
      <c r="A248">
        <v>245</v>
      </c>
      <c r="B248" t="s">
        <v>20</v>
      </c>
      <c r="C248" t="s">
        <v>28</v>
      </c>
      <c r="D248" t="s">
        <v>23</v>
      </c>
      <c r="E248" t="s">
        <v>30</v>
      </c>
      <c r="F248" t="s">
        <v>28</v>
      </c>
      <c r="G248" t="s">
        <v>27</v>
      </c>
      <c r="H248" s="3">
        <v>5.7348884467960201E-2</v>
      </c>
      <c r="I248" s="3">
        <v>5.4606515728326699E-2</v>
      </c>
      <c r="J248" s="3">
        <v>4.8279926653912203E-2</v>
      </c>
      <c r="K248" s="3">
        <v>4.93969030619789E-2</v>
      </c>
      <c r="L248" s="3">
        <v>3.6427763766797003E-2</v>
      </c>
      <c r="M248" s="3">
        <v>2.9178887220426799E-2</v>
      </c>
      <c r="N248" s="3">
        <v>6.1830173124484702E-2</v>
      </c>
      <c r="O248" s="3">
        <v>3.8839496710749898E-2</v>
      </c>
      <c r="P248">
        <f t="shared" si="85"/>
        <v>0</v>
      </c>
      <c r="Q248">
        <f t="shared" si="86"/>
        <v>1</v>
      </c>
      <c r="R248">
        <f t="shared" si="87"/>
        <v>0</v>
      </c>
      <c r="S248">
        <f t="shared" si="88"/>
        <v>1</v>
      </c>
      <c r="T248">
        <f t="shared" si="89"/>
        <v>0</v>
      </c>
      <c r="U248">
        <f t="shared" si="90"/>
        <v>0</v>
      </c>
      <c r="V248">
        <f t="shared" si="91"/>
        <v>0</v>
      </c>
      <c r="W248">
        <f t="shared" si="92"/>
        <v>0</v>
      </c>
      <c r="X248">
        <f t="shared" si="93"/>
        <v>0</v>
      </c>
      <c r="Y248">
        <f t="shared" si="94"/>
        <v>0</v>
      </c>
      <c r="Z248">
        <f t="shared" si="95"/>
        <v>0</v>
      </c>
      <c r="AA248">
        <f t="shared" si="96"/>
        <v>0</v>
      </c>
      <c r="AB248">
        <f t="shared" si="79"/>
        <v>0</v>
      </c>
      <c r="AC248">
        <f t="shared" si="80"/>
        <v>0</v>
      </c>
      <c r="AD248">
        <f t="shared" si="81"/>
        <v>0</v>
      </c>
      <c r="AE248">
        <f t="shared" si="82"/>
        <v>0</v>
      </c>
      <c r="AF248">
        <f t="shared" si="83"/>
        <v>1</v>
      </c>
      <c r="AG248">
        <f t="shared" si="84"/>
        <v>0</v>
      </c>
      <c r="AH248">
        <f t="shared" si="97"/>
        <v>0</v>
      </c>
      <c r="AI248">
        <f t="shared" si="103"/>
        <v>0</v>
      </c>
      <c r="AJ248">
        <f t="shared" si="103"/>
        <v>0</v>
      </c>
      <c r="AK248">
        <f t="shared" si="103"/>
        <v>0</v>
      </c>
      <c r="AL248">
        <f t="shared" si="103"/>
        <v>0</v>
      </c>
      <c r="AM248">
        <f t="shared" si="103"/>
        <v>0</v>
      </c>
      <c r="AN248">
        <f t="shared" si="103"/>
        <v>0</v>
      </c>
      <c r="AO248">
        <f t="shared" si="103"/>
        <v>0</v>
      </c>
      <c r="AP248">
        <f t="shared" si="103"/>
        <v>0</v>
      </c>
      <c r="AQ248">
        <f t="shared" si="103"/>
        <v>0</v>
      </c>
      <c r="AR248">
        <f t="shared" si="103"/>
        <v>0</v>
      </c>
      <c r="AS248">
        <f t="shared" si="103"/>
        <v>0</v>
      </c>
      <c r="AT248">
        <f t="shared" si="103"/>
        <v>0</v>
      </c>
      <c r="AU248">
        <f t="shared" si="103"/>
        <v>0</v>
      </c>
      <c r="AV248">
        <f t="shared" si="103"/>
        <v>1</v>
      </c>
      <c r="AW248">
        <f t="shared" si="103"/>
        <v>0</v>
      </c>
      <c r="AX248">
        <f t="shared" si="98"/>
        <v>0</v>
      </c>
      <c r="AY248">
        <f t="shared" si="98"/>
        <v>0</v>
      </c>
      <c r="AZ248">
        <f t="shared" si="98"/>
        <v>0</v>
      </c>
      <c r="BA248">
        <f t="shared" si="99"/>
        <v>0</v>
      </c>
      <c r="BB248">
        <f t="shared" si="100"/>
        <v>0</v>
      </c>
    </row>
    <row r="249" spans="1:54">
      <c r="A249">
        <v>246</v>
      </c>
      <c r="B249" t="s">
        <v>20</v>
      </c>
      <c r="C249" t="s">
        <v>28</v>
      </c>
      <c r="D249" t="s">
        <v>23</v>
      </c>
      <c r="E249" t="s">
        <v>30</v>
      </c>
      <c r="F249" t="s">
        <v>29</v>
      </c>
      <c r="G249" t="s">
        <v>22</v>
      </c>
      <c r="H249" s="3">
        <v>2.69859884344608E-2</v>
      </c>
      <c r="I249" s="3">
        <v>2.6816081660107099E-2</v>
      </c>
      <c r="J249" s="3">
        <v>2.3389294867623599E-2</v>
      </c>
      <c r="K249" s="3">
        <v>2.5236685225982901E-2</v>
      </c>
      <c r="L249" s="3">
        <v>1.8171481609090202E-2</v>
      </c>
      <c r="M249" s="3">
        <v>1.46520527865399E-2</v>
      </c>
      <c r="N249" s="3">
        <v>2.8879476318829402E-2</v>
      </c>
      <c r="O249" s="3">
        <v>1.9946614736143401E-2</v>
      </c>
      <c r="P249">
        <f t="shared" si="85"/>
        <v>0</v>
      </c>
      <c r="Q249">
        <f t="shared" si="86"/>
        <v>1</v>
      </c>
      <c r="R249">
        <f t="shared" si="87"/>
        <v>0</v>
      </c>
      <c r="S249">
        <f t="shared" si="88"/>
        <v>0</v>
      </c>
      <c r="T249">
        <f t="shared" si="89"/>
        <v>0</v>
      </c>
      <c r="U249">
        <f t="shared" si="90"/>
        <v>0</v>
      </c>
      <c r="V249">
        <f t="shared" si="91"/>
        <v>0</v>
      </c>
      <c r="W249">
        <f t="shared" si="92"/>
        <v>0</v>
      </c>
      <c r="X249">
        <f t="shared" si="93"/>
        <v>1</v>
      </c>
      <c r="Y249">
        <f t="shared" si="94"/>
        <v>0</v>
      </c>
      <c r="Z249">
        <f t="shared" si="95"/>
        <v>0</v>
      </c>
      <c r="AA249">
        <f t="shared" si="96"/>
        <v>0</v>
      </c>
      <c r="AB249">
        <f t="shared" si="79"/>
        <v>0</v>
      </c>
      <c r="AC249">
        <f t="shared" si="80"/>
        <v>1</v>
      </c>
      <c r="AD249">
        <f t="shared" si="81"/>
        <v>0</v>
      </c>
      <c r="AE249">
        <f t="shared" si="82"/>
        <v>0</v>
      </c>
      <c r="AF249">
        <f t="shared" si="83"/>
        <v>0</v>
      </c>
      <c r="AG249">
        <f t="shared" si="84"/>
        <v>0</v>
      </c>
      <c r="AH249">
        <f t="shared" si="97"/>
        <v>1</v>
      </c>
      <c r="AI249">
        <f t="shared" si="103"/>
        <v>0</v>
      </c>
      <c r="AJ249">
        <f t="shared" si="103"/>
        <v>0</v>
      </c>
      <c r="AK249">
        <f t="shared" si="103"/>
        <v>0</v>
      </c>
      <c r="AL249">
        <f t="shared" si="103"/>
        <v>0</v>
      </c>
      <c r="AM249">
        <f t="shared" si="103"/>
        <v>0</v>
      </c>
      <c r="AN249">
        <f t="shared" si="103"/>
        <v>0</v>
      </c>
      <c r="AO249">
        <f t="shared" si="103"/>
        <v>0</v>
      </c>
      <c r="AP249">
        <f t="shared" si="103"/>
        <v>0</v>
      </c>
      <c r="AQ249">
        <f t="shared" si="103"/>
        <v>0</v>
      </c>
      <c r="AR249">
        <f t="shared" si="103"/>
        <v>1</v>
      </c>
      <c r="AS249">
        <f t="shared" si="103"/>
        <v>0</v>
      </c>
      <c r="AT249">
        <f t="shared" si="103"/>
        <v>0</v>
      </c>
      <c r="AU249">
        <f t="shared" si="103"/>
        <v>0</v>
      </c>
      <c r="AV249">
        <f t="shared" si="103"/>
        <v>0</v>
      </c>
      <c r="AW249">
        <f t="shared" si="103"/>
        <v>0</v>
      </c>
      <c r="AX249">
        <f t="shared" si="98"/>
        <v>0</v>
      </c>
      <c r="AY249">
        <f t="shared" si="98"/>
        <v>1</v>
      </c>
      <c r="AZ249">
        <f t="shared" si="98"/>
        <v>0</v>
      </c>
      <c r="BA249">
        <f t="shared" si="99"/>
        <v>0</v>
      </c>
      <c r="BB249">
        <f t="shared" si="100"/>
        <v>1</v>
      </c>
    </row>
    <row r="250" spans="1:54">
      <c r="A250">
        <v>247</v>
      </c>
      <c r="B250" t="s">
        <v>20</v>
      </c>
      <c r="C250" t="s">
        <v>28</v>
      </c>
      <c r="D250" t="s">
        <v>23</v>
      </c>
      <c r="E250" t="s">
        <v>30</v>
      </c>
      <c r="F250" t="s">
        <v>29</v>
      </c>
      <c r="G250" t="s">
        <v>23</v>
      </c>
      <c r="H250" s="3">
        <v>0.67025104005554503</v>
      </c>
      <c r="I250" s="3">
        <v>0.65084405267619405</v>
      </c>
      <c r="J250" s="3">
        <v>0.59941991270504202</v>
      </c>
      <c r="K250" s="3">
        <v>0.61411623676034499</v>
      </c>
      <c r="L250" s="3">
        <v>0.52894597805728605</v>
      </c>
      <c r="M250" s="3">
        <v>0.44992812288764999</v>
      </c>
      <c r="N250" s="3">
        <v>0.70093457943925197</v>
      </c>
      <c r="O250" s="3">
        <v>0.55342538442243805</v>
      </c>
      <c r="P250">
        <f t="shared" si="85"/>
        <v>0</v>
      </c>
      <c r="Q250">
        <f t="shared" si="86"/>
        <v>1</v>
      </c>
      <c r="R250">
        <f t="shared" si="87"/>
        <v>0</v>
      </c>
      <c r="S250">
        <f t="shared" si="88"/>
        <v>0</v>
      </c>
      <c r="T250">
        <f t="shared" si="89"/>
        <v>0</v>
      </c>
      <c r="U250">
        <f t="shared" si="90"/>
        <v>0</v>
      </c>
      <c r="V250">
        <f t="shared" si="91"/>
        <v>0</v>
      </c>
      <c r="W250">
        <f t="shared" si="92"/>
        <v>0</v>
      </c>
      <c r="X250">
        <f t="shared" si="93"/>
        <v>0</v>
      </c>
      <c r="Y250">
        <f t="shared" si="94"/>
        <v>1</v>
      </c>
      <c r="Z250">
        <f t="shared" si="95"/>
        <v>0</v>
      </c>
      <c r="AA250">
        <f t="shared" si="96"/>
        <v>0</v>
      </c>
      <c r="AB250">
        <f t="shared" si="79"/>
        <v>0</v>
      </c>
      <c r="AC250">
        <f t="shared" si="80"/>
        <v>1</v>
      </c>
      <c r="AD250">
        <f t="shared" si="81"/>
        <v>0</v>
      </c>
      <c r="AE250">
        <f t="shared" si="82"/>
        <v>0</v>
      </c>
      <c r="AF250">
        <f t="shared" si="83"/>
        <v>0</v>
      </c>
      <c r="AG250">
        <f t="shared" si="84"/>
        <v>0</v>
      </c>
      <c r="AH250">
        <f t="shared" si="97"/>
        <v>1</v>
      </c>
      <c r="AI250">
        <f t="shared" si="103"/>
        <v>0</v>
      </c>
      <c r="AJ250">
        <f t="shared" si="103"/>
        <v>0</v>
      </c>
      <c r="AK250">
        <f t="shared" si="103"/>
        <v>0</v>
      </c>
      <c r="AL250">
        <f t="shared" si="103"/>
        <v>0</v>
      </c>
      <c r="AM250">
        <f t="shared" si="103"/>
        <v>0</v>
      </c>
      <c r="AN250">
        <f t="shared" si="103"/>
        <v>0</v>
      </c>
      <c r="AO250">
        <f t="shared" si="103"/>
        <v>0</v>
      </c>
      <c r="AP250">
        <f t="shared" si="103"/>
        <v>0</v>
      </c>
      <c r="AQ250">
        <f t="shared" si="103"/>
        <v>0</v>
      </c>
      <c r="AR250">
        <f t="shared" si="103"/>
        <v>0</v>
      </c>
      <c r="AS250">
        <f t="shared" si="103"/>
        <v>0</v>
      </c>
      <c r="AT250">
        <f t="shared" si="103"/>
        <v>0</v>
      </c>
      <c r="AU250">
        <f t="shared" si="103"/>
        <v>0</v>
      </c>
      <c r="AV250">
        <f t="shared" si="103"/>
        <v>0</v>
      </c>
      <c r="AW250">
        <f t="shared" si="103"/>
        <v>0</v>
      </c>
      <c r="AX250">
        <f t="shared" si="98"/>
        <v>0</v>
      </c>
      <c r="AY250">
        <f t="shared" si="98"/>
        <v>1</v>
      </c>
      <c r="AZ250">
        <f t="shared" si="98"/>
        <v>0</v>
      </c>
      <c r="BA250">
        <f t="shared" si="99"/>
        <v>0</v>
      </c>
      <c r="BB250">
        <f t="shared" si="100"/>
        <v>1</v>
      </c>
    </row>
    <row r="251" spans="1:54">
      <c r="A251">
        <v>248</v>
      </c>
      <c r="B251" t="s">
        <v>20</v>
      </c>
      <c r="C251" t="s">
        <v>28</v>
      </c>
      <c r="D251" t="s">
        <v>23</v>
      </c>
      <c r="E251" t="s">
        <v>30</v>
      </c>
      <c r="F251" t="s">
        <v>29</v>
      </c>
      <c r="G251" t="s">
        <v>24</v>
      </c>
      <c r="H251" s="3">
        <v>3.96623871201102E-2</v>
      </c>
      <c r="I251" s="3">
        <v>3.860176570381E-2</v>
      </c>
      <c r="J251" s="3">
        <v>3.3844045781842899E-2</v>
      </c>
      <c r="K251" s="3">
        <v>3.5298587965533298E-2</v>
      </c>
      <c r="L251" s="3">
        <v>2.53367311534754E-2</v>
      </c>
      <c r="M251" s="3">
        <v>1.9779378499406398E-2</v>
      </c>
      <c r="N251" s="3">
        <v>4.3128234617596302E-2</v>
      </c>
      <c r="O251" s="3">
        <v>2.7747299883133101E-2</v>
      </c>
      <c r="P251">
        <f t="shared" si="85"/>
        <v>0</v>
      </c>
      <c r="Q251">
        <f t="shared" si="86"/>
        <v>1</v>
      </c>
      <c r="R251">
        <f t="shared" si="87"/>
        <v>0</v>
      </c>
      <c r="S251">
        <f t="shared" si="88"/>
        <v>0</v>
      </c>
      <c r="T251">
        <f t="shared" si="89"/>
        <v>0</v>
      </c>
      <c r="U251">
        <f t="shared" si="90"/>
        <v>0</v>
      </c>
      <c r="V251">
        <f t="shared" si="91"/>
        <v>0</v>
      </c>
      <c r="W251">
        <f t="shared" si="92"/>
        <v>0</v>
      </c>
      <c r="X251">
        <f t="shared" si="93"/>
        <v>0</v>
      </c>
      <c r="Y251">
        <f t="shared" si="94"/>
        <v>0</v>
      </c>
      <c r="Z251">
        <f t="shared" si="95"/>
        <v>0</v>
      </c>
      <c r="AA251">
        <f t="shared" si="96"/>
        <v>1</v>
      </c>
      <c r="AB251">
        <f t="shared" si="79"/>
        <v>0</v>
      </c>
      <c r="AC251">
        <f t="shared" si="80"/>
        <v>0</v>
      </c>
      <c r="AD251">
        <f t="shared" si="81"/>
        <v>0</v>
      </c>
      <c r="AE251">
        <f t="shared" si="82"/>
        <v>0</v>
      </c>
      <c r="AF251">
        <f t="shared" si="83"/>
        <v>0</v>
      </c>
      <c r="AG251">
        <f t="shared" si="84"/>
        <v>0</v>
      </c>
      <c r="AH251">
        <f t="shared" si="97"/>
        <v>0</v>
      </c>
      <c r="AI251">
        <f t="shared" si="103"/>
        <v>0</v>
      </c>
      <c r="AJ251">
        <f t="shared" si="103"/>
        <v>0</v>
      </c>
      <c r="AK251">
        <f t="shared" si="103"/>
        <v>0</v>
      </c>
      <c r="AL251">
        <f t="shared" si="103"/>
        <v>0</v>
      </c>
      <c r="AM251">
        <f t="shared" si="103"/>
        <v>0</v>
      </c>
      <c r="AN251">
        <f t="shared" si="103"/>
        <v>0</v>
      </c>
      <c r="AO251">
        <f t="shared" si="103"/>
        <v>0</v>
      </c>
      <c r="AP251">
        <f t="shared" si="103"/>
        <v>0</v>
      </c>
      <c r="AQ251">
        <f t="shared" si="103"/>
        <v>0</v>
      </c>
      <c r="AR251">
        <f t="shared" si="103"/>
        <v>0</v>
      </c>
      <c r="AS251">
        <f t="shared" si="103"/>
        <v>0</v>
      </c>
      <c r="AT251">
        <f t="shared" si="103"/>
        <v>0</v>
      </c>
      <c r="AU251">
        <f t="shared" si="103"/>
        <v>1</v>
      </c>
      <c r="AV251">
        <f t="shared" si="103"/>
        <v>0</v>
      </c>
      <c r="AW251">
        <f t="shared" si="103"/>
        <v>0</v>
      </c>
      <c r="AX251">
        <f t="shared" si="98"/>
        <v>0</v>
      </c>
      <c r="AY251">
        <f t="shared" si="98"/>
        <v>1</v>
      </c>
      <c r="AZ251">
        <f t="shared" si="98"/>
        <v>0</v>
      </c>
      <c r="BA251">
        <f t="shared" si="99"/>
        <v>0</v>
      </c>
      <c r="BB251">
        <f t="shared" si="100"/>
        <v>1</v>
      </c>
    </row>
    <row r="252" spans="1:54">
      <c r="A252">
        <v>249</v>
      </c>
      <c r="B252" t="s">
        <v>20</v>
      </c>
      <c r="C252" t="s">
        <v>28</v>
      </c>
      <c r="D252" t="s">
        <v>23</v>
      </c>
      <c r="E252" t="s">
        <v>30</v>
      </c>
      <c r="F252" t="s">
        <v>29</v>
      </c>
      <c r="G252" t="s">
        <v>31</v>
      </c>
      <c r="H252" s="3">
        <v>0.50536615621304104</v>
      </c>
      <c r="I252" s="3">
        <v>0.501840685367126</v>
      </c>
      <c r="J252" s="3">
        <v>0.41234914889973301</v>
      </c>
      <c r="K252" s="3">
        <v>0.44853740789812402</v>
      </c>
      <c r="L252" s="3">
        <v>0.33010817603929099</v>
      </c>
      <c r="M252" s="3">
        <v>0.255715194821791</v>
      </c>
      <c r="N252" s="3">
        <v>0.57692307692307598</v>
      </c>
      <c r="O252" s="3">
        <v>0.33200420609133602</v>
      </c>
      <c r="P252">
        <f t="shared" si="85"/>
        <v>0</v>
      </c>
      <c r="Q252">
        <f t="shared" si="86"/>
        <v>1</v>
      </c>
      <c r="R252">
        <f t="shared" si="87"/>
        <v>0</v>
      </c>
      <c r="S252">
        <f t="shared" si="88"/>
        <v>0</v>
      </c>
      <c r="T252">
        <f t="shared" si="89"/>
        <v>0</v>
      </c>
      <c r="U252">
        <f t="shared" si="90"/>
        <v>0</v>
      </c>
      <c r="V252">
        <f t="shared" si="91"/>
        <v>0</v>
      </c>
      <c r="W252">
        <f t="shared" si="92"/>
        <v>0</v>
      </c>
      <c r="X252">
        <f t="shared" si="93"/>
        <v>0</v>
      </c>
      <c r="Y252">
        <f t="shared" si="94"/>
        <v>0</v>
      </c>
      <c r="Z252">
        <f t="shared" si="95"/>
        <v>1</v>
      </c>
      <c r="AA252">
        <f t="shared" si="96"/>
        <v>0</v>
      </c>
      <c r="AB252">
        <f t="shared" si="79"/>
        <v>0</v>
      </c>
      <c r="AC252">
        <f t="shared" si="80"/>
        <v>1</v>
      </c>
      <c r="AD252">
        <f t="shared" si="81"/>
        <v>0</v>
      </c>
      <c r="AE252">
        <f t="shared" si="82"/>
        <v>0</v>
      </c>
      <c r="AF252">
        <f t="shared" si="83"/>
        <v>0</v>
      </c>
      <c r="AG252">
        <f t="shared" si="84"/>
        <v>0</v>
      </c>
      <c r="AH252">
        <f t="shared" si="97"/>
        <v>1</v>
      </c>
      <c r="AI252">
        <f t="shared" si="103"/>
        <v>0</v>
      </c>
      <c r="AJ252">
        <f t="shared" si="103"/>
        <v>0</v>
      </c>
      <c r="AK252">
        <f t="shared" si="103"/>
        <v>0</v>
      </c>
      <c r="AL252">
        <f t="shared" si="103"/>
        <v>0</v>
      </c>
      <c r="AM252">
        <f t="shared" si="103"/>
        <v>0</v>
      </c>
      <c r="AN252">
        <f t="shared" si="103"/>
        <v>0</v>
      </c>
      <c r="AO252">
        <f t="shared" si="103"/>
        <v>0</v>
      </c>
      <c r="AP252">
        <f t="shared" si="103"/>
        <v>0</v>
      </c>
      <c r="AQ252">
        <f t="shared" si="103"/>
        <v>0</v>
      </c>
      <c r="AR252">
        <f t="shared" si="103"/>
        <v>0</v>
      </c>
      <c r="AS252">
        <f t="shared" si="103"/>
        <v>0</v>
      </c>
      <c r="AT252">
        <f t="shared" si="103"/>
        <v>0</v>
      </c>
      <c r="AU252">
        <f t="shared" si="103"/>
        <v>0</v>
      </c>
      <c r="AV252">
        <f t="shared" si="103"/>
        <v>0</v>
      </c>
      <c r="AW252">
        <f t="shared" si="103"/>
        <v>0</v>
      </c>
      <c r="AX252">
        <f t="shared" si="98"/>
        <v>0</v>
      </c>
      <c r="AY252">
        <f t="shared" si="98"/>
        <v>1</v>
      </c>
      <c r="AZ252">
        <f t="shared" si="98"/>
        <v>0</v>
      </c>
      <c r="BA252">
        <f t="shared" si="99"/>
        <v>0</v>
      </c>
      <c r="BB252">
        <f t="shared" si="100"/>
        <v>1</v>
      </c>
    </row>
    <row r="253" spans="1:54">
      <c r="A253">
        <v>250</v>
      </c>
      <c r="B253" t="s">
        <v>20</v>
      </c>
      <c r="C253" t="s">
        <v>28</v>
      </c>
      <c r="D253" t="s">
        <v>23</v>
      </c>
      <c r="E253" t="s">
        <v>30</v>
      </c>
      <c r="F253" t="s">
        <v>29</v>
      </c>
      <c r="G253" t="s">
        <v>25</v>
      </c>
      <c r="H253" s="3">
        <v>3.4828307912653598E-3</v>
      </c>
      <c r="I253" s="3">
        <v>3.4020482065866102E-3</v>
      </c>
      <c r="J253" s="3">
        <v>3.0040085284924901E-3</v>
      </c>
      <c r="K253" s="3">
        <v>3.1343653915022001E-3</v>
      </c>
      <c r="L253" s="3">
        <v>2.3041473522844602E-3</v>
      </c>
      <c r="M253" s="3">
        <v>1.8367045531973701E-3</v>
      </c>
      <c r="N253" s="3">
        <v>3.7648712414035399E-3</v>
      </c>
      <c r="O253" s="3">
        <v>2.4762140473227898E-3</v>
      </c>
      <c r="P253">
        <f t="shared" si="85"/>
        <v>0</v>
      </c>
      <c r="Q253">
        <f t="shared" si="86"/>
        <v>1</v>
      </c>
      <c r="R253">
        <f t="shared" si="87"/>
        <v>0</v>
      </c>
      <c r="S253">
        <f t="shared" si="88"/>
        <v>0</v>
      </c>
      <c r="T253">
        <f t="shared" si="89"/>
        <v>0</v>
      </c>
      <c r="U253">
        <f t="shared" si="90"/>
        <v>0</v>
      </c>
      <c r="V253">
        <f t="shared" si="91"/>
        <v>0</v>
      </c>
      <c r="W253">
        <f t="shared" si="92"/>
        <v>0</v>
      </c>
      <c r="X253">
        <f t="shared" si="93"/>
        <v>0</v>
      </c>
      <c r="Y253">
        <f t="shared" si="94"/>
        <v>0</v>
      </c>
      <c r="Z253">
        <f t="shared" si="95"/>
        <v>0</v>
      </c>
      <c r="AA253">
        <f t="shared" si="96"/>
        <v>0</v>
      </c>
      <c r="AB253">
        <f t="shared" si="79"/>
        <v>0</v>
      </c>
      <c r="AC253">
        <f t="shared" si="80"/>
        <v>0</v>
      </c>
      <c r="AD253">
        <f t="shared" si="81"/>
        <v>0</v>
      </c>
      <c r="AE253">
        <f t="shared" si="82"/>
        <v>0</v>
      </c>
      <c r="AF253">
        <f t="shared" si="83"/>
        <v>0</v>
      </c>
      <c r="AG253">
        <f t="shared" si="84"/>
        <v>0</v>
      </c>
      <c r="AH253">
        <f t="shared" si="97"/>
        <v>0</v>
      </c>
      <c r="AI253">
        <f t="shared" si="103"/>
        <v>0</v>
      </c>
      <c r="AJ253">
        <f t="shared" si="103"/>
        <v>0</v>
      </c>
      <c r="AK253">
        <f t="shared" si="103"/>
        <v>0</v>
      </c>
      <c r="AL253">
        <f t="shared" si="103"/>
        <v>0</v>
      </c>
      <c r="AM253">
        <f t="shared" si="103"/>
        <v>0</v>
      </c>
      <c r="AN253">
        <f t="shared" si="103"/>
        <v>0</v>
      </c>
      <c r="AO253">
        <f t="shared" si="103"/>
        <v>1</v>
      </c>
      <c r="AP253">
        <f t="shared" si="103"/>
        <v>0</v>
      </c>
      <c r="AQ253">
        <f t="shared" si="103"/>
        <v>0</v>
      </c>
      <c r="AR253">
        <f t="shared" si="103"/>
        <v>0</v>
      </c>
      <c r="AS253">
        <f t="shared" si="103"/>
        <v>0</v>
      </c>
      <c r="AT253">
        <f t="shared" si="103"/>
        <v>0</v>
      </c>
      <c r="AU253">
        <f t="shared" si="103"/>
        <v>0</v>
      </c>
      <c r="AV253">
        <f t="shared" si="103"/>
        <v>0</v>
      </c>
      <c r="AW253">
        <f t="shared" si="103"/>
        <v>0</v>
      </c>
      <c r="AX253">
        <f t="shared" si="98"/>
        <v>0</v>
      </c>
      <c r="AY253">
        <f t="shared" si="98"/>
        <v>1</v>
      </c>
      <c r="AZ253">
        <f t="shared" si="98"/>
        <v>0</v>
      </c>
      <c r="BA253">
        <f t="shared" si="99"/>
        <v>1</v>
      </c>
      <c r="BB253">
        <f t="shared" si="100"/>
        <v>1</v>
      </c>
    </row>
    <row r="254" spans="1:54">
      <c r="A254">
        <v>251</v>
      </c>
      <c r="B254" t="s">
        <v>20</v>
      </c>
      <c r="C254" t="s">
        <v>28</v>
      </c>
      <c r="D254" t="s">
        <v>23</v>
      </c>
      <c r="E254" t="s">
        <v>30</v>
      </c>
      <c r="F254" t="s">
        <v>29</v>
      </c>
      <c r="G254" t="s">
        <v>26</v>
      </c>
      <c r="H254" s="3">
        <v>3.5651060424576699E-3</v>
      </c>
      <c r="I254" s="3">
        <v>3.4867335539373601E-3</v>
      </c>
      <c r="J254" s="3">
        <v>3.0685050731957702E-3</v>
      </c>
      <c r="K254" s="3">
        <v>3.2174178068257301E-3</v>
      </c>
      <c r="L254" s="3">
        <v>2.3574352237746101E-3</v>
      </c>
      <c r="M254" s="3">
        <v>1.8792720390087901E-3</v>
      </c>
      <c r="N254" s="3">
        <v>3.8501026694045099E-3</v>
      </c>
      <c r="O254" s="3">
        <v>2.5333238748768798E-3</v>
      </c>
      <c r="P254">
        <f t="shared" si="85"/>
        <v>0</v>
      </c>
      <c r="Q254">
        <f t="shared" si="86"/>
        <v>1</v>
      </c>
      <c r="R254">
        <f t="shared" si="87"/>
        <v>0</v>
      </c>
      <c r="S254">
        <f t="shared" si="88"/>
        <v>0</v>
      </c>
      <c r="T254">
        <f t="shared" si="89"/>
        <v>0</v>
      </c>
      <c r="U254">
        <f t="shared" si="90"/>
        <v>0</v>
      </c>
      <c r="V254">
        <f t="shared" si="91"/>
        <v>0</v>
      </c>
      <c r="W254">
        <f t="shared" si="92"/>
        <v>0</v>
      </c>
      <c r="X254">
        <f t="shared" si="93"/>
        <v>0</v>
      </c>
      <c r="Y254">
        <f t="shared" si="94"/>
        <v>0</v>
      </c>
      <c r="Z254">
        <f t="shared" si="95"/>
        <v>0</v>
      </c>
      <c r="AA254">
        <f t="shared" si="96"/>
        <v>0</v>
      </c>
      <c r="AB254">
        <f t="shared" si="79"/>
        <v>0</v>
      </c>
      <c r="AC254">
        <f t="shared" si="80"/>
        <v>0</v>
      </c>
      <c r="AD254">
        <f t="shared" si="81"/>
        <v>0</v>
      </c>
      <c r="AE254">
        <f t="shared" si="82"/>
        <v>0</v>
      </c>
      <c r="AF254">
        <f t="shared" si="83"/>
        <v>0</v>
      </c>
      <c r="AG254">
        <f t="shared" si="84"/>
        <v>0</v>
      </c>
      <c r="AH254">
        <f t="shared" si="97"/>
        <v>0</v>
      </c>
      <c r="AI254">
        <f t="shared" si="103"/>
        <v>0</v>
      </c>
      <c r="AJ254">
        <f t="shared" si="103"/>
        <v>0</v>
      </c>
      <c r="AK254">
        <f t="shared" si="103"/>
        <v>1</v>
      </c>
      <c r="AL254">
        <f t="shared" si="103"/>
        <v>0</v>
      </c>
      <c r="AM254">
        <f t="shared" si="103"/>
        <v>0</v>
      </c>
      <c r="AN254">
        <f t="shared" si="103"/>
        <v>0</v>
      </c>
      <c r="AO254">
        <f t="shared" si="103"/>
        <v>0</v>
      </c>
      <c r="AP254">
        <f t="shared" si="103"/>
        <v>0</v>
      </c>
      <c r="AQ254">
        <f t="shared" si="103"/>
        <v>0</v>
      </c>
      <c r="AR254">
        <f t="shared" si="103"/>
        <v>0</v>
      </c>
      <c r="AS254">
        <f t="shared" si="103"/>
        <v>0</v>
      </c>
      <c r="AT254">
        <f t="shared" si="103"/>
        <v>0</v>
      </c>
      <c r="AU254">
        <f t="shared" si="103"/>
        <v>0</v>
      </c>
      <c r="AV254">
        <f t="shared" si="103"/>
        <v>0</v>
      </c>
      <c r="AW254">
        <f t="shared" si="103"/>
        <v>0</v>
      </c>
      <c r="AX254">
        <f t="shared" si="98"/>
        <v>0</v>
      </c>
      <c r="AY254">
        <f t="shared" si="98"/>
        <v>1</v>
      </c>
      <c r="AZ254">
        <f t="shared" si="98"/>
        <v>0</v>
      </c>
      <c r="BA254">
        <f t="shared" si="99"/>
        <v>1</v>
      </c>
      <c r="BB254">
        <f t="shared" si="100"/>
        <v>1</v>
      </c>
    </row>
    <row r="255" spans="1:54">
      <c r="A255">
        <v>252</v>
      </c>
      <c r="B255" t="s">
        <v>20</v>
      </c>
      <c r="C255" t="s">
        <v>28</v>
      </c>
      <c r="D255" t="s">
        <v>24</v>
      </c>
      <c r="E255" t="s">
        <v>20</v>
      </c>
      <c r="F255" t="s">
        <v>28</v>
      </c>
      <c r="G255" t="s">
        <v>25</v>
      </c>
      <c r="H255" s="3">
        <v>0.65296126860822401</v>
      </c>
      <c r="I255" s="3">
        <v>0.60640934527648405</v>
      </c>
      <c r="J255" s="3">
        <v>0.55224731951922601</v>
      </c>
      <c r="K255" s="3">
        <v>0.51436116573936197</v>
      </c>
      <c r="L255" s="3">
        <v>0.38596265006314101</v>
      </c>
      <c r="M255" s="3">
        <v>0.284544085446581</v>
      </c>
      <c r="N255" s="3">
        <v>0.73535742717296004</v>
      </c>
      <c r="O255" s="3">
        <v>0.41751696392561899</v>
      </c>
      <c r="P255">
        <f t="shared" si="85"/>
        <v>0</v>
      </c>
      <c r="Q255">
        <f t="shared" si="86"/>
        <v>0</v>
      </c>
      <c r="R255">
        <f t="shared" si="87"/>
        <v>1</v>
      </c>
      <c r="S255">
        <f t="shared" si="88"/>
        <v>0</v>
      </c>
      <c r="T255">
        <f t="shared" si="89"/>
        <v>0</v>
      </c>
      <c r="U255">
        <f t="shared" si="90"/>
        <v>0</v>
      </c>
      <c r="V255">
        <f t="shared" si="91"/>
        <v>0</v>
      </c>
      <c r="W255">
        <f t="shared" si="92"/>
        <v>0</v>
      </c>
      <c r="X255">
        <f t="shared" si="93"/>
        <v>0</v>
      </c>
      <c r="Y255">
        <f t="shared" si="94"/>
        <v>0</v>
      </c>
      <c r="Z255">
        <f t="shared" si="95"/>
        <v>0</v>
      </c>
      <c r="AA255">
        <f t="shared" si="96"/>
        <v>0</v>
      </c>
      <c r="AB255">
        <f t="shared" si="79"/>
        <v>0</v>
      </c>
      <c r="AC255">
        <f t="shared" si="80"/>
        <v>0</v>
      </c>
      <c r="AD255">
        <f t="shared" si="81"/>
        <v>0</v>
      </c>
      <c r="AE255">
        <f t="shared" si="82"/>
        <v>0</v>
      </c>
      <c r="AF255">
        <f t="shared" si="83"/>
        <v>1</v>
      </c>
      <c r="AG255">
        <f t="shared" si="84"/>
        <v>1</v>
      </c>
      <c r="AH255">
        <f t="shared" si="97"/>
        <v>0</v>
      </c>
      <c r="AI255">
        <f t="shared" si="103"/>
        <v>0</v>
      </c>
      <c r="AJ255">
        <f t="shared" si="103"/>
        <v>0</v>
      </c>
      <c r="AK255">
        <f t="shared" si="103"/>
        <v>0</v>
      </c>
      <c r="AL255">
        <f t="shared" si="103"/>
        <v>0</v>
      </c>
      <c r="AM255">
        <f t="shared" si="103"/>
        <v>0</v>
      </c>
      <c r="AN255">
        <f t="shared" si="103"/>
        <v>0</v>
      </c>
      <c r="AO255">
        <f t="shared" si="103"/>
        <v>0</v>
      </c>
      <c r="AP255">
        <f t="shared" si="103"/>
        <v>1</v>
      </c>
      <c r="AQ255">
        <f t="shared" si="103"/>
        <v>0</v>
      </c>
      <c r="AR255">
        <f t="shared" si="103"/>
        <v>0</v>
      </c>
      <c r="AS255">
        <f t="shared" si="103"/>
        <v>0</v>
      </c>
      <c r="AT255">
        <f t="shared" si="103"/>
        <v>0</v>
      </c>
      <c r="AU255">
        <f t="shared" si="103"/>
        <v>0</v>
      </c>
      <c r="AV255">
        <f t="shared" si="103"/>
        <v>0</v>
      </c>
      <c r="AW255">
        <f t="shared" si="103"/>
        <v>0</v>
      </c>
      <c r="AX255">
        <f t="shared" si="98"/>
        <v>0</v>
      </c>
      <c r="AY255">
        <f t="shared" si="98"/>
        <v>0</v>
      </c>
      <c r="AZ255">
        <f t="shared" si="98"/>
        <v>0</v>
      </c>
      <c r="BA255">
        <f t="shared" si="99"/>
        <v>1</v>
      </c>
      <c r="BB255">
        <f t="shared" si="100"/>
        <v>0</v>
      </c>
    </row>
    <row r="256" spans="1:54">
      <c r="A256">
        <v>253</v>
      </c>
      <c r="B256" t="s">
        <v>20</v>
      </c>
      <c r="C256" t="s">
        <v>28</v>
      </c>
      <c r="D256" t="s">
        <v>24</v>
      </c>
      <c r="E256" t="s">
        <v>20</v>
      </c>
      <c r="F256" t="s">
        <v>28</v>
      </c>
      <c r="G256" t="s">
        <v>26</v>
      </c>
      <c r="H256" s="3">
        <v>0.66220114138764097</v>
      </c>
      <c r="I256" s="3">
        <v>0.61502271721878499</v>
      </c>
      <c r="J256" s="3">
        <v>0.55998942858316403</v>
      </c>
      <c r="K256" s="3">
        <v>0.52146020092985801</v>
      </c>
      <c r="L256" s="3">
        <v>0.39124584167057502</v>
      </c>
      <c r="M256" s="3">
        <v>0.288494800745906</v>
      </c>
      <c r="N256" s="3">
        <v>0.74574481639907397</v>
      </c>
      <c r="O256" s="3">
        <v>0.42311687396292302</v>
      </c>
      <c r="P256">
        <f t="shared" si="85"/>
        <v>0</v>
      </c>
      <c r="Q256">
        <f t="shared" si="86"/>
        <v>0</v>
      </c>
      <c r="R256">
        <f t="shared" si="87"/>
        <v>1</v>
      </c>
      <c r="S256">
        <f t="shared" si="88"/>
        <v>0</v>
      </c>
      <c r="T256">
        <f t="shared" si="89"/>
        <v>0</v>
      </c>
      <c r="U256">
        <f t="shared" si="90"/>
        <v>0</v>
      </c>
      <c r="V256">
        <f t="shared" si="91"/>
        <v>0</v>
      </c>
      <c r="W256">
        <f t="shared" si="92"/>
        <v>0</v>
      </c>
      <c r="X256">
        <f t="shared" si="93"/>
        <v>0</v>
      </c>
      <c r="Y256">
        <f t="shared" si="94"/>
        <v>0</v>
      </c>
      <c r="Z256">
        <f t="shared" si="95"/>
        <v>0</v>
      </c>
      <c r="AA256">
        <f t="shared" si="96"/>
        <v>0</v>
      </c>
      <c r="AB256">
        <f t="shared" si="79"/>
        <v>0</v>
      </c>
      <c r="AC256">
        <f t="shared" si="80"/>
        <v>0</v>
      </c>
      <c r="AD256">
        <f t="shared" si="81"/>
        <v>0</v>
      </c>
      <c r="AE256">
        <f t="shared" si="82"/>
        <v>0</v>
      </c>
      <c r="AF256">
        <f t="shared" si="83"/>
        <v>1</v>
      </c>
      <c r="AG256">
        <f t="shared" si="84"/>
        <v>1</v>
      </c>
      <c r="AH256">
        <f t="shared" si="97"/>
        <v>0</v>
      </c>
      <c r="AI256">
        <f t="shared" ref="AI256:AW272" si="104">IF(OR(AND($D256=AI$1,$G256=AI$2),AND($D256=AI$2,$G256=AI$1)),1,0)</f>
        <v>0</v>
      </c>
      <c r="AJ256">
        <f t="shared" si="104"/>
        <v>0</v>
      </c>
      <c r="AK256">
        <f t="shared" si="104"/>
        <v>0</v>
      </c>
      <c r="AL256">
        <f t="shared" si="104"/>
        <v>1</v>
      </c>
      <c r="AM256">
        <f t="shared" si="104"/>
        <v>0</v>
      </c>
      <c r="AN256">
        <f t="shared" si="104"/>
        <v>0</v>
      </c>
      <c r="AO256">
        <f t="shared" si="104"/>
        <v>0</v>
      </c>
      <c r="AP256">
        <f t="shared" si="104"/>
        <v>0</v>
      </c>
      <c r="AQ256">
        <f t="shared" si="104"/>
        <v>0</v>
      </c>
      <c r="AR256">
        <f t="shared" si="104"/>
        <v>0</v>
      </c>
      <c r="AS256">
        <f t="shared" si="104"/>
        <v>0</v>
      </c>
      <c r="AT256">
        <f t="shared" si="104"/>
        <v>0</v>
      </c>
      <c r="AU256">
        <f t="shared" si="104"/>
        <v>0</v>
      </c>
      <c r="AV256">
        <f t="shared" si="104"/>
        <v>0</v>
      </c>
      <c r="AW256">
        <f t="shared" si="104"/>
        <v>0</v>
      </c>
      <c r="AX256">
        <f t="shared" si="98"/>
        <v>0</v>
      </c>
      <c r="AY256">
        <f t="shared" si="98"/>
        <v>0</v>
      </c>
      <c r="AZ256">
        <f t="shared" si="98"/>
        <v>0</v>
      </c>
      <c r="BA256">
        <f t="shared" si="99"/>
        <v>1</v>
      </c>
      <c r="BB256">
        <f t="shared" si="100"/>
        <v>0</v>
      </c>
    </row>
    <row r="257" spans="1:54">
      <c r="A257">
        <v>254</v>
      </c>
      <c r="B257" t="s">
        <v>20</v>
      </c>
      <c r="C257" t="s">
        <v>28</v>
      </c>
      <c r="D257" t="s">
        <v>24</v>
      </c>
      <c r="E257" t="s">
        <v>20</v>
      </c>
      <c r="F257" t="s">
        <v>28</v>
      </c>
      <c r="G257" t="s">
        <v>27</v>
      </c>
      <c r="H257" s="3">
        <v>0.23985214042434699</v>
      </c>
      <c r="I257" s="3">
        <v>0.23385211799054201</v>
      </c>
      <c r="J257" s="3">
        <v>0.20117151553693999</v>
      </c>
      <c r="K257" s="3">
        <v>0.20789490608262901</v>
      </c>
      <c r="L257" s="3">
        <v>0.15169250099359499</v>
      </c>
      <c r="M257" s="3">
        <v>0.116951225475648</v>
      </c>
      <c r="N257" s="3">
        <v>0.27255054432348302</v>
      </c>
      <c r="O257" s="3">
        <v>0.16116777873354299</v>
      </c>
      <c r="P257">
        <f t="shared" si="85"/>
        <v>0</v>
      </c>
      <c r="Q257">
        <f t="shared" si="86"/>
        <v>0</v>
      </c>
      <c r="R257">
        <f t="shared" si="87"/>
        <v>1</v>
      </c>
      <c r="S257">
        <f t="shared" si="88"/>
        <v>1</v>
      </c>
      <c r="T257">
        <f t="shared" si="89"/>
        <v>0</v>
      </c>
      <c r="U257">
        <f t="shared" si="90"/>
        <v>0</v>
      </c>
      <c r="V257">
        <f t="shared" si="91"/>
        <v>0</v>
      </c>
      <c r="W257">
        <f t="shared" si="92"/>
        <v>0</v>
      </c>
      <c r="X257">
        <f t="shared" si="93"/>
        <v>0</v>
      </c>
      <c r="Y257">
        <f t="shared" si="94"/>
        <v>0</v>
      </c>
      <c r="Z257">
        <f t="shared" si="95"/>
        <v>0</v>
      </c>
      <c r="AA257">
        <f t="shared" si="96"/>
        <v>0</v>
      </c>
      <c r="AB257">
        <f t="shared" si="79"/>
        <v>0</v>
      </c>
      <c r="AC257">
        <f t="shared" si="80"/>
        <v>0</v>
      </c>
      <c r="AD257">
        <f t="shared" si="81"/>
        <v>1</v>
      </c>
      <c r="AE257">
        <f t="shared" si="82"/>
        <v>0</v>
      </c>
      <c r="AF257">
        <f t="shared" si="83"/>
        <v>1</v>
      </c>
      <c r="AG257">
        <f t="shared" si="84"/>
        <v>1</v>
      </c>
      <c r="AH257">
        <f t="shared" si="97"/>
        <v>1</v>
      </c>
      <c r="AI257">
        <f t="shared" si="104"/>
        <v>0</v>
      </c>
      <c r="AJ257">
        <f t="shared" si="104"/>
        <v>0</v>
      </c>
      <c r="AK257">
        <f t="shared" si="104"/>
        <v>0</v>
      </c>
      <c r="AL257">
        <f t="shared" si="104"/>
        <v>0</v>
      </c>
      <c r="AM257">
        <f t="shared" si="104"/>
        <v>0</v>
      </c>
      <c r="AN257">
        <f t="shared" si="104"/>
        <v>0</v>
      </c>
      <c r="AO257">
        <f t="shared" si="104"/>
        <v>0</v>
      </c>
      <c r="AP257">
        <f t="shared" si="104"/>
        <v>0</v>
      </c>
      <c r="AQ257">
        <f t="shared" si="104"/>
        <v>0</v>
      </c>
      <c r="AR257">
        <f t="shared" si="104"/>
        <v>0</v>
      </c>
      <c r="AS257">
        <f t="shared" si="104"/>
        <v>0</v>
      </c>
      <c r="AT257">
        <f t="shared" si="104"/>
        <v>0</v>
      </c>
      <c r="AU257">
        <f t="shared" si="104"/>
        <v>0</v>
      </c>
      <c r="AV257">
        <f t="shared" si="104"/>
        <v>0</v>
      </c>
      <c r="AW257">
        <f t="shared" si="104"/>
        <v>1</v>
      </c>
      <c r="AX257">
        <f t="shared" si="98"/>
        <v>0</v>
      </c>
      <c r="AY257">
        <f t="shared" si="98"/>
        <v>0</v>
      </c>
      <c r="AZ257">
        <f t="shared" si="98"/>
        <v>0</v>
      </c>
      <c r="BA257">
        <f t="shared" si="99"/>
        <v>0</v>
      </c>
      <c r="BB257">
        <f t="shared" si="100"/>
        <v>0</v>
      </c>
    </row>
    <row r="258" spans="1:54">
      <c r="A258">
        <v>255</v>
      </c>
      <c r="B258" t="s">
        <v>20</v>
      </c>
      <c r="C258" t="s">
        <v>28</v>
      </c>
      <c r="D258" t="s">
        <v>24</v>
      </c>
      <c r="E258" t="s">
        <v>20</v>
      </c>
      <c r="F258" t="s">
        <v>29</v>
      </c>
      <c r="G258" t="s">
        <v>22</v>
      </c>
      <c r="H258" s="3">
        <v>0.70069009669631699</v>
      </c>
      <c r="I258" s="3">
        <v>0.66393962239364801</v>
      </c>
      <c r="J258" s="3">
        <v>0.57822886691345898</v>
      </c>
      <c r="K258" s="3">
        <v>0.57182422954030299</v>
      </c>
      <c r="L258" s="3">
        <v>0.420933642389344</v>
      </c>
      <c r="M258" s="3">
        <v>0.31163611948985298</v>
      </c>
      <c r="N258" s="3">
        <v>0.81454288110519102</v>
      </c>
      <c r="O258" s="3">
        <v>0.44478278284141598</v>
      </c>
      <c r="P258">
        <f t="shared" si="85"/>
        <v>0</v>
      </c>
      <c r="Q258">
        <f t="shared" si="86"/>
        <v>0</v>
      </c>
      <c r="R258">
        <f t="shared" si="87"/>
        <v>1</v>
      </c>
      <c r="S258">
        <f t="shared" si="88"/>
        <v>0</v>
      </c>
      <c r="T258">
        <f t="shared" si="89"/>
        <v>0</v>
      </c>
      <c r="U258">
        <f t="shared" si="90"/>
        <v>0</v>
      </c>
      <c r="V258">
        <f t="shared" si="91"/>
        <v>0</v>
      </c>
      <c r="W258">
        <f t="shared" si="92"/>
        <v>0</v>
      </c>
      <c r="X258">
        <f t="shared" si="93"/>
        <v>1</v>
      </c>
      <c r="Y258">
        <f t="shared" si="94"/>
        <v>0</v>
      </c>
      <c r="Z258">
        <f t="shared" si="95"/>
        <v>0</v>
      </c>
      <c r="AA258">
        <f t="shared" si="96"/>
        <v>0</v>
      </c>
      <c r="AB258">
        <f t="shared" si="79"/>
        <v>0</v>
      </c>
      <c r="AC258">
        <f t="shared" si="80"/>
        <v>0</v>
      </c>
      <c r="AD258">
        <f t="shared" si="81"/>
        <v>0</v>
      </c>
      <c r="AE258">
        <f t="shared" si="82"/>
        <v>0</v>
      </c>
      <c r="AF258">
        <f t="shared" si="83"/>
        <v>0</v>
      </c>
      <c r="AG258">
        <f t="shared" si="84"/>
        <v>1</v>
      </c>
      <c r="AH258">
        <f t="shared" si="97"/>
        <v>0</v>
      </c>
      <c r="AI258">
        <f t="shared" si="104"/>
        <v>0</v>
      </c>
      <c r="AJ258">
        <f t="shared" si="104"/>
        <v>0</v>
      </c>
      <c r="AK258">
        <f t="shared" si="104"/>
        <v>0</v>
      </c>
      <c r="AL258">
        <f t="shared" si="104"/>
        <v>0</v>
      </c>
      <c r="AM258">
        <f t="shared" si="104"/>
        <v>0</v>
      </c>
      <c r="AN258">
        <f t="shared" si="104"/>
        <v>0</v>
      </c>
      <c r="AO258">
        <f t="shared" si="104"/>
        <v>0</v>
      </c>
      <c r="AP258">
        <f t="shared" si="104"/>
        <v>0</v>
      </c>
      <c r="AQ258">
        <f t="shared" si="104"/>
        <v>0</v>
      </c>
      <c r="AR258">
        <f t="shared" si="104"/>
        <v>0</v>
      </c>
      <c r="AS258">
        <f t="shared" si="104"/>
        <v>1</v>
      </c>
      <c r="AT258">
        <f t="shared" si="104"/>
        <v>0</v>
      </c>
      <c r="AU258">
        <f t="shared" si="104"/>
        <v>0</v>
      </c>
      <c r="AV258">
        <f t="shared" si="104"/>
        <v>0</v>
      </c>
      <c r="AW258">
        <f t="shared" si="104"/>
        <v>0</v>
      </c>
      <c r="AX258">
        <f t="shared" si="98"/>
        <v>0</v>
      </c>
      <c r="AY258">
        <f t="shared" si="98"/>
        <v>1</v>
      </c>
      <c r="AZ258">
        <f t="shared" si="98"/>
        <v>0</v>
      </c>
      <c r="BA258">
        <f t="shared" si="99"/>
        <v>0</v>
      </c>
      <c r="BB258">
        <f t="shared" si="100"/>
        <v>1</v>
      </c>
    </row>
    <row r="259" spans="1:54">
      <c r="A259">
        <v>256</v>
      </c>
      <c r="B259" t="s">
        <v>20</v>
      </c>
      <c r="C259" t="s">
        <v>28</v>
      </c>
      <c r="D259" t="s">
        <v>24</v>
      </c>
      <c r="E259" t="s">
        <v>20</v>
      </c>
      <c r="F259" t="s">
        <v>29</v>
      </c>
      <c r="G259" t="s">
        <v>23</v>
      </c>
      <c r="H259" s="3">
        <v>3.9458961542326997E-2</v>
      </c>
      <c r="I259" s="3">
        <v>3.8142705808084397E-2</v>
      </c>
      <c r="J259" s="3">
        <v>3.3700326060051897E-2</v>
      </c>
      <c r="K259" s="3">
        <v>3.4466565469618501E-2</v>
      </c>
      <c r="L259" s="3">
        <v>2.59667524540752E-2</v>
      </c>
      <c r="M259" s="3">
        <v>2.0726471926020701E-2</v>
      </c>
      <c r="N259" s="3">
        <v>4.3157076205287699E-2</v>
      </c>
      <c r="O259" s="3">
        <v>2.7704717310645801E-2</v>
      </c>
      <c r="P259">
        <f t="shared" si="85"/>
        <v>0</v>
      </c>
      <c r="Q259">
        <f t="shared" si="86"/>
        <v>0</v>
      </c>
      <c r="R259">
        <f t="shared" si="87"/>
        <v>1</v>
      </c>
      <c r="S259">
        <f t="shared" si="88"/>
        <v>0</v>
      </c>
      <c r="T259">
        <f t="shared" si="89"/>
        <v>0</v>
      </c>
      <c r="U259">
        <f t="shared" si="90"/>
        <v>0</v>
      </c>
      <c r="V259">
        <f t="shared" si="91"/>
        <v>0</v>
      </c>
      <c r="W259">
        <f t="shared" si="92"/>
        <v>0</v>
      </c>
      <c r="X259">
        <f t="shared" si="93"/>
        <v>0</v>
      </c>
      <c r="Y259">
        <f t="shared" si="94"/>
        <v>1</v>
      </c>
      <c r="Z259">
        <f t="shared" si="95"/>
        <v>0</v>
      </c>
      <c r="AA259">
        <f t="shared" si="96"/>
        <v>0</v>
      </c>
      <c r="AB259">
        <f t="shared" ref="AB259:AB322" si="105">IF(AND(AND(C259="windows",D259="clang"),AND(F259="windows",G259="clang")),1,0)</f>
        <v>0</v>
      </c>
      <c r="AC259">
        <f t="shared" ref="AC259:AC322" si="106">IF(AND(OR(D259="clang",D259="gcc",D259="msvc"),OR(G259="gcc",G259="clang",G259="msvc")),1,0)</f>
        <v>0</v>
      </c>
      <c r="AD259">
        <f t="shared" ref="AD259:AD322" si="107">IF(AND(OR(D259="go",D259="tgo"),OR(G259="go",G259="tgo")),1,0)</f>
        <v>0</v>
      </c>
      <c r="AE259">
        <f t="shared" ref="AE259:AE322" si="108">IF(AND(OR(D259="rs-pure",D259="rs-sys"),OR(G259="rs-pure",G259="rs-sys")),1,0)</f>
        <v>0</v>
      </c>
      <c r="AF259">
        <f t="shared" ref="AF259:AF322" si="109">IF(C259=F259,1,0)</f>
        <v>0</v>
      </c>
      <c r="AG259">
        <f t="shared" ref="AG259:AG322" si="110">IF(B259=E259,1,0)</f>
        <v>1</v>
      </c>
      <c r="AH259">
        <f t="shared" si="97"/>
        <v>0</v>
      </c>
      <c r="AI259">
        <f t="shared" si="104"/>
        <v>0</v>
      </c>
      <c r="AJ259">
        <f t="shared" si="104"/>
        <v>0</v>
      </c>
      <c r="AK259">
        <f t="shared" si="104"/>
        <v>0</v>
      </c>
      <c r="AL259">
        <f t="shared" si="104"/>
        <v>0</v>
      </c>
      <c r="AM259">
        <f t="shared" si="104"/>
        <v>0</v>
      </c>
      <c r="AN259">
        <f t="shared" si="104"/>
        <v>0</v>
      </c>
      <c r="AO259">
        <f t="shared" si="104"/>
        <v>0</v>
      </c>
      <c r="AP259">
        <f t="shared" si="104"/>
        <v>0</v>
      </c>
      <c r="AQ259">
        <f t="shared" si="104"/>
        <v>0</v>
      </c>
      <c r="AR259">
        <f t="shared" si="104"/>
        <v>0</v>
      </c>
      <c r="AS259">
        <f t="shared" si="104"/>
        <v>0</v>
      </c>
      <c r="AT259">
        <f t="shared" si="104"/>
        <v>0</v>
      </c>
      <c r="AU259">
        <f t="shared" si="104"/>
        <v>1</v>
      </c>
      <c r="AV259">
        <f t="shared" si="104"/>
        <v>0</v>
      </c>
      <c r="AW259">
        <f t="shared" si="104"/>
        <v>0</v>
      </c>
      <c r="AX259">
        <f t="shared" si="98"/>
        <v>0</v>
      </c>
      <c r="AY259">
        <f t="shared" si="98"/>
        <v>1</v>
      </c>
      <c r="AZ259">
        <f t="shared" si="98"/>
        <v>0</v>
      </c>
      <c r="BA259">
        <f t="shared" si="99"/>
        <v>0</v>
      </c>
      <c r="BB259">
        <f t="shared" si="100"/>
        <v>1</v>
      </c>
    </row>
    <row r="260" spans="1:54">
      <c r="A260">
        <v>257</v>
      </c>
      <c r="B260" t="s">
        <v>20</v>
      </c>
      <c r="C260" t="s">
        <v>28</v>
      </c>
      <c r="D260" t="s">
        <v>24</v>
      </c>
      <c r="E260" t="s">
        <v>20</v>
      </c>
      <c r="F260" t="s">
        <v>29</v>
      </c>
      <c r="G260" t="s">
        <v>24</v>
      </c>
      <c r="H260" s="3">
        <v>0.89386435668526798</v>
      </c>
      <c r="I260" s="3">
        <v>0.891990784839236</v>
      </c>
      <c r="J260" s="3">
        <v>0.86367095717213205</v>
      </c>
      <c r="K260" s="3">
        <v>0.882421480867282</v>
      </c>
      <c r="L260" s="3">
        <v>0.85036313744787295</v>
      </c>
      <c r="M260" s="3">
        <v>0.82937015965260896</v>
      </c>
      <c r="N260" s="3">
        <v>0.90435458786936196</v>
      </c>
      <c r="O260" s="3">
        <v>0.84573118386908097</v>
      </c>
      <c r="P260">
        <f t="shared" ref="P260:P323" si="111">IF(OR(AND($C260="linux",$D260="clang"),AND($F260="linux",$G260="clang")),1,0)</f>
        <v>0</v>
      </c>
      <c r="Q260">
        <f t="shared" ref="Q260:Q323" si="112">IF(OR(AND($C260="linux",$D260="gcc"),AND($F260="linux",$G260="gcc")),1,0)</f>
        <v>0</v>
      </c>
      <c r="R260">
        <f t="shared" ref="R260:R323" si="113">IF(OR(AND($C260="linux",$D260="go"),AND($F260="linux",$G260="go")),1,0)</f>
        <v>1</v>
      </c>
      <c r="S260">
        <f t="shared" ref="S260:S323" si="114">IF(OR(AND($C260="linux",$D260="tgo"),AND($F260="linux",$G260="tgo")),1,0)</f>
        <v>0</v>
      </c>
      <c r="T260">
        <f t="shared" ref="T260:T323" si="115">IF(OR(AND($C260="darwin",$D260="clang"),AND($F260="darwin",$G260="clang")),1,0)</f>
        <v>0</v>
      </c>
      <c r="U260">
        <f t="shared" ref="U260:U323" si="116">IF(OR(AND($C260="darwin",$D260="gcc"),AND($F260="darwin",$G260="gcc")),1,0)</f>
        <v>0</v>
      </c>
      <c r="V260">
        <f t="shared" ref="V260:V323" si="117">IF(OR(AND($C260="darwin",$D260="go"),AND($F260="darwin",$G260="go")),1,0)</f>
        <v>0</v>
      </c>
      <c r="W260">
        <f t="shared" ref="W260:W323" si="118">IF(OR(AND($C260="darwin",$D260="tgo"),AND($F260="darwin",$G260="tgo")),1,0)</f>
        <v>0</v>
      </c>
      <c r="X260">
        <f t="shared" ref="X260:X323" si="119">IF(OR(AND($C260="windows",$D260="clang"),AND($F260="windows",$G260="clang")),1,0)</f>
        <v>0</v>
      </c>
      <c r="Y260">
        <f t="shared" ref="Y260:Y323" si="120">IF(OR(AND($C260="windows",$D260="gcc"),AND($F260="windows",$G260="gcc")),1,0)</f>
        <v>0</v>
      </c>
      <c r="Z260">
        <f t="shared" ref="Z260:Z323" si="121">IF(OR(AND($C260="windows",$D260="msvc"),AND($F260="windows",$G260="msvc")),1,0)</f>
        <v>0</v>
      </c>
      <c r="AA260">
        <f t="shared" ref="AA260:AA323" si="122">IF(OR(AND($C260="windows",$D260="go"),AND($F260="windows",$G260="go")),1,0)</f>
        <v>1</v>
      </c>
      <c r="AB260">
        <f t="shared" si="105"/>
        <v>0</v>
      </c>
      <c r="AC260">
        <f t="shared" si="106"/>
        <v>0</v>
      </c>
      <c r="AD260">
        <f t="shared" si="107"/>
        <v>1</v>
      </c>
      <c r="AE260">
        <f t="shared" si="108"/>
        <v>0</v>
      </c>
      <c r="AF260">
        <f t="shared" si="109"/>
        <v>0</v>
      </c>
      <c r="AG260">
        <f t="shared" si="110"/>
        <v>1</v>
      </c>
      <c r="AH260">
        <f t="shared" ref="AH260:AH323" si="123">IF(SUM(AC260:AE260)=1,1,0)</f>
        <v>1</v>
      </c>
      <c r="AI260">
        <f t="shared" si="104"/>
        <v>0</v>
      </c>
      <c r="AJ260">
        <f t="shared" si="104"/>
        <v>0</v>
      </c>
      <c r="AK260">
        <f t="shared" si="104"/>
        <v>0</v>
      </c>
      <c r="AL260">
        <f t="shared" si="104"/>
        <v>0</v>
      </c>
      <c r="AM260">
        <f t="shared" si="104"/>
        <v>0</v>
      </c>
      <c r="AN260">
        <f t="shared" si="104"/>
        <v>0</v>
      </c>
      <c r="AO260">
        <f t="shared" si="104"/>
        <v>0</v>
      </c>
      <c r="AP260">
        <f t="shared" si="104"/>
        <v>0</v>
      </c>
      <c r="AQ260">
        <f t="shared" si="104"/>
        <v>0</v>
      </c>
      <c r="AR260">
        <f t="shared" si="104"/>
        <v>0</v>
      </c>
      <c r="AS260">
        <f t="shared" si="104"/>
        <v>0</v>
      </c>
      <c r="AT260">
        <f t="shared" si="104"/>
        <v>0</v>
      </c>
      <c r="AU260">
        <f t="shared" si="104"/>
        <v>0</v>
      </c>
      <c r="AV260">
        <f t="shared" si="104"/>
        <v>0</v>
      </c>
      <c r="AW260">
        <f t="shared" si="104"/>
        <v>0</v>
      </c>
      <c r="AX260">
        <f t="shared" ref="AX260:AZ323" si="124">IF(OR(AND($C260=AX$1,$F260=AX$2),AND($C260=AX$2,$F260=AX$1)),1,0)</f>
        <v>0</v>
      </c>
      <c r="AY260">
        <f t="shared" si="124"/>
        <v>1</v>
      </c>
      <c r="AZ260">
        <f t="shared" si="124"/>
        <v>0</v>
      </c>
      <c r="BA260">
        <f t="shared" ref="BA260:BA323" si="125">IF(SUM(AI260:AQ260)=1,1,0)</f>
        <v>0</v>
      </c>
      <c r="BB260">
        <f t="shared" ref="BB260:BB323" si="126">IF(OR(C260="windows",F260="windows"),1,0)</f>
        <v>1</v>
      </c>
    </row>
    <row r="261" spans="1:54">
      <c r="A261">
        <v>258</v>
      </c>
      <c r="B261" t="s">
        <v>20</v>
      </c>
      <c r="C261" t="s">
        <v>28</v>
      </c>
      <c r="D261" t="s">
        <v>24</v>
      </c>
      <c r="E261" t="s">
        <v>20</v>
      </c>
      <c r="F261" t="s">
        <v>29</v>
      </c>
      <c r="G261" t="s">
        <v>31</v>
      </c>
      <c r="H261" s="3">
        <v>4.7706419798235297E-2</v>
      </c>
      <c r="I261" s="3">
        <v>4.59907629459895E-2</v>
      </c>
      <c r="J261" s="3">
        <v>4.0557394854597403E-2</v>
      </c>
      <c r="K261" s="3">
        <v>4.1679538999107903E-2</v>
      </c>
      <c r="L261" s="3">
        <v>3.2032748972657198E-2</v>
      </c>
      <c r="M261" s="3">
        <v>2.5399169425085698E-2</v>
      </c>
      <c r="N261" s="3">
        <v>5.2099533437013998E-2</v>
      </c>
      <c r="O261" s="3">
        <v>3.32296691518537E-2</v>
      </c>
      <c r="P261">
        <f t="shared" si="111"/>
        <v>0</v>
      </c>
      <c r="Q261">
        <f t="shared" si="112"/>
        <v>0</v>
      </c>
      <c r="R261">
        <f t="shared" si="113"/>
        <v>1</v>
      </c>
      <c r="S261">
        <f t="shared" si="114"/>
        <v>0</v>
      </c>
      <c r="T261">
        <f t="shared" si="115"/>
        <v>0</v>
      </c>
      <c r="U261">
        <f t="shared" si="116"/>
        <v>0</v>
      </c>
      <c r="V261">
        <f t="shared" si="117"/>
        <v>0</v>
      </c>
      <c r="W261">
        <f t="shared" si="118"/>
        <v>0</v>
      </c>
      <c r="X261">
        <f t="shared" si="119"/>
        <v>0</v>
      </c>
      <c r="Y261">
        <f t="shared" si="120"/>
        <v>0</v>
      </c>
      <c r="Z261">
        <f t="shared" si="121"/>
        <v>1</v>
      </c>
      <c r="AA261">
        <f t="shared" si="122"/>
        <v>0</v>
      </c>
      <c r="AB261">
        <f t="shared" si="105"/>
        <v>0</v>
      </c>
      <c r="AC261">
        <f t="shared" si="106"/>
        <v>0</v>
      </c>
      <c r="AD261">
        <f t="shared" si="107"/>
        <v>0</v>
      </c>
      <c r="AE261">
        <f t="shared" si="108"/>
        <v>0</v>
      </c>
      <c r="AF261">
        <f t="shared" si="109"/>
        <v>0</v>
      </c>
      <c r="AG261">
        <f t="shared" si="110"/>
        <v>1</v>
      </c>
      <c r="AH261">
        <f t="shared" si="123"/>
        <v>0</v>
      </c>
      <c r="AI261">
        <f t="shared" si="104"/>
        <v>0</v>
      </c>
      <c r="AJ261">
        <f t="shared" si="104"/>
        <v>0</v>
      </c>
      <c r="AK261">
        <f t="shared" si="104"/>
        <v>0</v>
      </c>
      <c r="AL261">
        <f t="shared" si="104"/>
        <v>0</v>
      </c>
      <c r="AM261">
        <f t="shared" si="104"/>
        <v>0</v>
      </c>
      <c r="AN261">
        <f t="shared" si="104"/>
        <v>0</v>
      </c>
      <c r="AO261">
        <f t="shared" si="104"/>
        <v>0</v>
      </c>
      <c r="AP261">
        <f t="shared" si="104"/>
        <v>0</v>
      </c>
      <c r="AQ261">
        <f t="shared" si="104"/>
        <v>0</v>
      </c>
      <c r="AR261">
        <f t="shared" si="104"/>
        <v>0</v>
      </c>
      <c r="AS261">
        <f t="shared" si="104"/>
        <v>0</v>
      </c>
      <c r="AT261">
        <f t="shared" si="104"/>
        <v>0</v>
      </c>
      <c r="AU261">
        <f t="shared" si="104"/>
        <v>0</v>
      </c>
      <c r="AV261">
        <f t="shared" si="104"/>
        <v>0</v>
      </c>
      <c r="AW261">
        <f t="shared" si="104"/>
        <v>0</v>
      </c>
      <c r="AX261">
        <f t="shared" si="124"/>
        <v>0</v>
      </c>
      <c r="AY261">
        <f t="shared" si="124"/>
        <v>1</v>
      </c>
      <c r="AZ261">
        <f t="shared" si="124"/>
        <v>0</v>
      </c>
      <c r="BA261">
        <f t="shared" si="125"/>
        <v>0</v>
      </c>
      <c r="BB261">
        <f t="shared" si="126"/>
        <v>1</v>
      </c>
    </row>
    <row r="262" spans="1:54">
      <c r="A262">
        <v>259</v>
      </c>
      <c r="B262" t="s">
        <v>20</v>
      </c>
      <c r="C262" t="s">
        <v>28</v>
      </c>
      <c r="D262" t="s">
        <v>24</v>
      </c>
      <c r="E262" t="s">
        <v>20</v>
      </c>
      <c r="F262" t="s">
        <v>29</v>
      </c>
      <c r="G262" t="s">
        <v>25</v>
      </c>
      <c r="H262" s="3">
        <v>0.103385885488903</v>
      </c>
      <c r="I262" s="3">
        <v>9.8470058686357401E-2</v>
      </c>
      <c r="J262" s="3">
        <v>8.7550694875996302E-2</v>
      </c>
      <c r="K262" s="3">
        <v>8.7956065095549693E-2</v>
      </c>
      <c r="L262" s="3">
        <v>6.6451620407631695E-2</v>
      </c>
      <c r="M262" s="3">
        <v>5.1836622535928703E-2</v>
      </c>
      <c r="N262" s="3">
        <v>0.112967599303084</v>
      </c>
      <c r="O262" s="3">
        <v>6.9877136952650298E-2</v>
      </c>
      <c r="P262">
        <f t="shared" si="111"/>
        <v>0</v>
      </c>
      <c r="Q262">
        <f t="shared" si="112"/>
        <v>0</v>
      </c>
      <c r="R262">
        <f t="shared" si="113"/>
        <v>1</v>
      </c>
      <c r="S262">
        <f t="shared" si="114"/>
        <v>0</v>
      </c>
      <c r="T262">
        <f t="shared" si="115"/>
        <v>0</v>
      </c>
      <c r="U262">
        <f t="shared" si="116"/>
        <v>0</v>
      </c>
      <c r="V262">
        <f t="shared" si="117"/>
        <v>0</v>
      </c>
      <c r="W262">
        <f t="shared" si="118"/>
        <v>0</v>
      </c>
      <c r="X262">
        <f t="shared" si="119"/>
        <v>0</v>
      </c>
      <c r="Y262">
        <f t="shared" si="120"/>
        <v>0</v>
      </c>
      <c r="Z262">
        <f t="shared" si="121"/>
        <v>0</v>
      </c>
      <c r="AA262">
        <f t="shared" si="122"/>
        <v>0</v>
      </c>
      <c r="AB262">
        <f t="shared" si="105"/>
        <v>0</v>
      </c>
      <c r="AC262">
        <f t="shared" si="106"/>
        <v>0</v>
      </c>
      <c r="AD262">
        <f t="shared" si="107"/>
        <v>0</v>
      </c>
      <c r="AE262">
        <f t="shared" si="108"/>
        <v>0</v>
      </c>
      <c r="AF262">
        <f t="shared" si="109"/>
        <v>0</v>
      </c>
      <c r="AG262">
        <f t="shared" si="110"/>
        <v>1</v>
      </c>
      <c r="AH262">
        <f t="shared" si="123"/>
        <v>0</v>
      </c>
      <c r="AI262">
        <f t="shared" si="104"/>
        <v>0</v>
      </c>
      <c r="AJ262">
        <f t="shared" si="104"/>
        <v>0</v>
      </c>
      <c r="AK262">
        <f t="shared" si="104"/>
        <v>0</v>
      </c>
      <c r="AL262">
        <f t="shared" si="104"/>
        <v>0</v>
      </c>
      <c r="AM262">
        <f t="shared" si="104"/>
        <v>0</v>
      </c>
      <c r="AN262">
        <f t="shared" si="104"/>
        <v>0</v>
      </c>
      <c r="AO262">
        <f t="shared" si="104"/>
        <v>0</v>
      </c>
      <c r="AP262">
        <f t="shared" si="104"/>
        <v>1</v>
      </c>
      <c r="AQ262">
        <f t="shared" si="104"/>
        <v>0</v>
      </c>
      <c r="AR262">
        <f t="shared" si="104"/>
        <v>0</v>
      </c>
      <c r="AS262">
        <f t="shared" si="104"/>
        <v>0</v>
      </c>
      <c r="AT262">
        <f t="shared" si="104"/>
        <v>0</v>
      </c>
      <c r="AU262">
        <f t="shared" si="104"/>
        <v>0</v>
      </c>
      <c r="AV262">
        <f t="shared" si="104"/>
        <v>0</v>
      </c>
      <c r="AW262">
        <f t="shared" si="104"/>
        <v>0</v>
      </c>
      <c r="AX262">
        <f t="shared" si="124"/>
        <v>0</v>
      </c>
      <c r="AY262">
        <f t="shared" si="124"/>
        <v>1</v>
      </c>
      <c r="AZ262">
        <f t="shared" si="124"/>
        <v>0</v>
      </c>
      <c r="BA262">
        <f t="shared" si="125"/>
        <v>1</v>
      </c>
      <c r="BB262">
        <f t="shared" si="126"/>
        <v>1</v>
      </c>
    </row>
    <row r="263" spans="1:54">
      <c r="A263">
        <v>260</v>
      </c>
      <c r="B263" t="s">
        <v>20</v>
      </c>
      <c r="C263" t="s">
        <v>28</v>
      </c>
      <c r="D263" t="s">
        <v>24</v>
      </c>
      <c r="E263" t="s">
        <v>20</v>
      </c>
      <c r="F263" t="s">
        <v>29</v>
      </c>
      <c r="G263" t="s">
        <v>26</v>
      </c>
      <c r="H263" s="3">
        <v>0.105877677191036</v>
      </c>
      <c r="I263" s="3">
        <v>0.10068291582741599</v>
      </c>
      <c r="J263" s="3">
        <v>8.9686615665882097E-2</v>
      </c>
      <c r="K263" s="3">
        <v>8.9832588965525595E-2</v>
      </c>
      <c r="L263" s="3">
        <v>6.81121584131575E-2</v>
      </c>
      <c r="M263" s="3">
        <v>5.3125166919436098E-2</v>
      </c>
      <c r="N263" s="3">
        <v>0.115687366789381</v>
      </c>
      <c r="O263" s="3">
        <v>7.1579702432580494E-2</v>
      </c>
      <c r="P263">
        <f t="shared" si="111"/>
        <v>0</v>
      </c>
      <c r="Q263">
        <f t="shared" si="112"/>
        <v>0</v>
      </c>
      <c r="R263">
        <f t="shared" si="113"/>
        <v>1</v>
      </c>
      <c r="S263">
        <f t="shared" si="114"/>
        <v>0</v>
      </c>
      <c r="T263">
        <f t="shared" si="115"/>
        <v>0</v>
      </c>
      <c r="U263">
        <f t="shared" si="116"/>
        <v>0</v>
      </c>
      <c r="V263">
        <f t="shared" si="117"/>
        <v>0</v>
      </c>
      <c r="W263">
        <f t="shared" si="118"/>
        <v>0</v>
      </c>
      <c r="X263">
        <f t="shared" si="119"/>
        <v>0</v>
      </c>
      <c r="Y263">
        <f t="shared" si="120"/>
        <v>0</v>
      </c>
      <c r="Z263">
        <f t="shared" si="121"/>
        <v>0</v>
      </c>
      <c r="AA263">
        <f t="shared" si="122"/>
        <v>0</v>
      </c>
      <c r="AB263">
        <f t="shared" si="105"/>
        <v>0</v>
      </c>
      <c r="AC263">
        <f t="shared" si="106"/>
        <v>0</v>
      </c>
      <c r="AD263">
        <f t="shared" si="107"/>
        <v>0</v>
      </c>
      <c r="AE263">
        <f t="shared" si="108"/>
        <v>0</v>
      </c>
      <c r="AF263">
        <f t="shared" si="109"/>
        <v>0</v>
      </c>
      <c r="AG263">
        <f t="shared" si="110"/>
        <v>1</v>
      </c>
      <c r="AH263">
        <f t="shared" si="123"/>
        <v>0</v>
      </c>
      <c r="AI263">
        <f t="shared" si="104"/>
        <v>0</v>
      </c>
      <c r="AJ263">
        <f t="shared" si="104"/>
        <v>0</v>
      </c>
      <c r="AK263">
        <f t="shared" si="104"/>
        <v>0</v>
      </c>
      <c r="AL263">
        <f t="shared" si="104"/>
        <v>1</v>
      </c>
      <c r="AM263">
        <f t="shared" si="104"/>
        <v>0</v>
      </c>
      <c r="AN263">
        <f t="shared" si="104"/>
        <v>0</v>
      </c>
      <c r="AO263">
        <f t="shared" si="104"/>
        <v>0</v>
      </c>
      <c r="AP263">
        <f t="shared" si="104"/>
        <v>0</v>
      </c>
      <c r="AQ263">
        <f t="shared" si="104"/>
        <v>0</v>
      </c>
      <c r="AR263">
        <f t="shared" si="104"/>
        <v>0</v>
      </c>
      <c r="AS263">
        <f t="shared" si="104"/>
        <v>0</v>
      </c>
      <c r="AT263">
        <f t="shared" si="104"/>
        <v>0</v>
      </c>
      <c r="AU263">
        <f t="shared" si="104"/>
        <v>0</v>
      </c>
      <c r="AV263">
        <f t="shared" si="104"/>
        <v>0</v>
      </c>
      <c r="AW263">
        <f t="shared" si="104"/>
        <v>0</v>
      </c>
      <c r="AX263">
        <f t="shared" si="124"/>
        <v>0</v>
      </c>
      <c r="AY263">
        <f t="shared" si="124"/>
        <v>1</v>
      </c>
      <c r="AZ263">
        <f t="shared" si="124"/>
        <v>0</v>
      </c>
      <c r="BA263">
        <f t="shared" si="125"/>
        <v>1</v>
      </c>
      <c r="BB263">
        <f t="shared" si="126"/>
        <v>1</v>
      </c>
    </row>
    <row r="264" spans="1:54">
      <c r="A264">
        <v>261</v>
      </c>
      <c r="B264" t="s">
        <v>20</v>
      </c>
      <c r="C264" t="s">
        <v>28</v>
      </c>
      <c r="D264" t="s">
        <v>24</v>
      </c>
      <c r="E264" t="s">
        <v>30</v>
      </c>
      <c r="F264" t="s">
        <v>21</v>
      </c>
      <c r="G264" t="s">
        <v>22</v>
      </c>
      <c r="H264" s="3">
        <v>2.3264088979447699E-2</v>
      </c>
      <c r="I264" s="3">
        <v>2.1990049720747199E-2</v>
      </c>
      <c r="J264" s="3">
        <v>1.9550971546378301E-2</v>
      </c>
      <c r="K264" s="3">
        <v>1.9874229294613702E-2</v>
      </c>
      <c r="L264" s="3">
        <v>1.49328709125601E-2</v>
      </c>
      <c r="M264" s="3">
        <v>1.18414380914196E-2</v>
      </c>
      <c r="N264" s="3">
        <v>2.4883359253499202E-2</v>
      </c>
      <c r="O264" s="3">
        <v>1.5991311093299501E-2</v>
      </c>
      <c r="P264">
        <f t="shared" si="111"/>
        <v>0</v>
      </c>
      <c r="Q264">
        <f t="shared" si="112"/>
        <v>0</v>
      </c>
      <c r="R264">
        <f t="shared" si="113"/>
        <v>1</v>
      </c>
      <c r="S264">
        <f t="shared" si="114"/>
        <v>0</v>
      </c>
      <c r="T264">
        <f t="shared" si="115"/>
        <v>1</v>
      </c>
      <c r="U264">
        <f t="shared" si="116"/>
        <v>0</v>
      </c>
      <c r="V264">
        <f t="shared" si="117"/>
        <v>0</v>
      </c>
      <c r="W264">
        <f t="shared" si="118"/>
        <v>0</v>
      </c>
      <c r="X264">
        <f t="shared" si="119"/>
        <v>0</v>
      </c>
      <c r="Y264">
        <f t="shared" si="120"/>
        <v>0</v>
      </c>
      <c r="Z264">
        <f t="shared" si="121"/>
        <v>0</v>
      </c>
      <c r="AA264">
        <f t="shared" si="122"/>
        <v>0</v>
      </c>
      <c r="AB264">
        <f t="shared" si="105"/>
        <v>0</v>
      </c>
      <c r="AC264">
        <f t="shared" si="106"/>
        <v>0</v>
      </c>
      <c r="AD264">
        <f t="shared" si="107"/>
        <v>0</v>
      </c>
      <c r="AE264">
        <f t="shared" si="108"/>
        <v>0</v>
      </c>
      <c r="AF264">
        <f t="shared" si="109"/>
        <v>0</v>
      </c>
      <c r="AG264">
        <f t="shared" si="110"/>
        <v>0</v>
      </c>
      <c r="AH264">
        <f t="shared" si="123"/>
        <v>0</v>
      </c>
      <c r="AI264">
        <f t="shared" si="104"/>
        <v>0</v>
      </c>
      <c r="AJ264">
        <f t="shared" si="104"/>
        <v>0</v>
      </c>
      <c r="AK264">
        <f t="shared" si="104"/>
        <v>0</v>
      </c>
      <c r="AL264">
        <f t="shared" si="104"/>
        <v>0</v>
      </c>
      <c r="AM264">
        <f t="shared" si="104"/>
        <v>0</v>
      </c>
      <c r="AN264">
        <f t="shared" si="104"/>
        <v>0</v>
      </c>
      <c r="AO264">
        <f t="shared" si="104"/>
        <v>0</v>
      </c>
      <c r="AP264">
        <f t="shared" si="104"/>
        <v>0</v>
      </c>
      <c r="AQ264">
        <f t="shared" si="104"/>
        <v>0</v>
      </c>
      <c r="AR264">
        <f t="shared" si="104"/>
        <v>0</v>
      </c>
      <c r="AS264">
        <f t="shared" si="104"/>
        <v>1</v>
      </c>
      <c r="AT264">
        <f t="shared" si="104"/>
        <v>0</v>
      </c>
      <c r="AU264">
        <f t="shared" si="104"/>
        <v>0</v>
      </c>
      <c r="AV264">
        <f t="shared" si="104"/>
        <v>0</v>
      </c>
      <c r="AW264">
        <f t="shared" si="104"/>
        <v>0</v>
      </c>
      <c r="AX264">
        <f t="shared" si="124"/>
        <v>1</v>
      </c>
      <c r="AY264">
        <f t="shared" si="124"/>
        <v>0</v>
      </c>
      <c r="AZ264">
        <f t="shared" si="124"/>
        <v>0</v>
      </c>
      <c r="BA264">
        <f t="shared" si="125"/>
        <v>0</v>
      </c>
      <c r="BB264">
        <f t="shared" si="126"/>
        <v>0</v>
      </c>
    </row>
    <row r="265" spans="1:54">
      <c r="A265">
        <v>262</v>
      </c>
      <c r="B265" t="s">
        <v>20</v>
      </c>
      <c r="C265" t="s">
        <v>28</v>
      </c>
      <c r="D265" t="s">
        <v>24</v>
      </c>
      <c r="E265" t="s">
        <v>30</v>
      </c>
      <c r="F265" t="s">
        <v>21</v>
      </c>
      <c r="G265" t="s">
        <v>23</v>
      </c>
      <c r="H265" s="3">
        <v>2.48407975768682E-2</v>
      </c>
      <c r="I265" s="3">
        <v>2.3801989926648202E-2</v>
      </c>
      <c r="J265" s="3">
        <v>2.0721113285544601E-2</v>
      </c>
      <c r="K265" s="3">
        <v>2.1533384924557301E-2</v>
      </c>
      <c r="L265" s="3">
        <v>1.5371915698763901E-2</v>
      </c>
      <c r="M265" s="3">
        <v>1.1872862068459699E-2</v>
      </c>
      <c r="N265" s="3">
        <v>2.6827371695178799E-2</v>
      </c>
      <c r="O265" s="3">
        <v>1.6668400354205502E-2</v>
      </c>
      <c r="P265">
        <f t="shared" si="111"/>
        <v>0</v>
      </c>
      <c r="Q265">
        <f t="shared" si="112"/>
        <v>0</v>
      </c>
      <c r="R265">
        <f t="shared" si="113"/>
        <v>1</v>
      </c>
      <c r="S265">
        <f t="shared" si="114"/>
        <v>0</v>
      </c>
      <c r="T265">
        <f t="shared" si="115"/>
        <v>0</v>
      </c>
      <c r="U265">
        <f t="shared" si="116"/>
        <v>1</v>
      </c>
      <c r="V265">
        <f t="shared" si="117"/>
        <v>0</v>
      </c>
      <c r="W265">
        <f t="shared" si="118"/>
        <v>0</v>
      </c>
      <c r="X265">
        <f t="shared" si="119"/>
        <v>0</v>
      </c>
      <c r="Y265">
        <f t="shared" si="120"/>
        <v>0</v>
      </c>
      <c r="Z265">
        <f t="shared" si="121"/>
        <v>0</v>
      </c>
      <c r="AA265">
        <f t="shared" si="122"/>
        <v>0</v>
      </c>
      <c r="AB265">
        <f t="shared" si="105"/>
        <v>0</v>
      </c>
      <c r="AC265">
        <f t="shared" si="106"/>
        <v>0</v>
      </c>
      <c r="AD265">
        <f t="shared" si="107"/>
        <v>0</v>
      </c>
      <c r="AE265">
        <f t="shared" si="108"/>
        <v>0</v>
      </c>
      <c r="AF265">
        <f t="shared" si="109"/>
        <v>0</v>
      </c>
      <c r="AG265">
        <f t="shared" si="110"/>
        <v>0</v>
      </c>
      <c r="AH265">
        <f t="shared" si="123"/>
        <v>0</v>
      </c>
      <c r="AI265">
        <f t="shared" si="104"/>
        <v>0</v>
      </c>
      <c r="AJ265">
        <f t="shared" si="104"/>
        <v>0</v>
      </c>
      <c r="AK265">
        <f t="shared" si="104"/>
        <v>0</v>
      </c>
      <c r="AL265">
        <f t="shared" si="104"/>
        <v>0</v>
      </c>
      <c r="AM265">
        <f t="shared" si="104"/>
        <v>0</v>
      </c>
      <c r="AN265">
        <f t="shared" si="104"/>
        <v>0</v>
      </c>
      <c r="AO265">
        <f t="shared" si="104"/>
        <v>0</v>
      </c>
      <c r="AP265">
        <f t="shared" si="104"/>
        <v>0</v>
      </c>
      <c r="AQ265">
        <f t="shared" si="104"/>
        <v>0</v>
      </c>
      <c r="AR265">
        <f t="shared" si="104"/>
        <v>0</v>
      </c>
      <c r="AS265">
        <f t="shared" si="104"/>
        <v>0</v>
      </c>
      <c r="AT265">
        <f t="shared" si="104"/>
        <v>0</v>
      </c>
      <c r="AU265">
        <f t="shared" si="104"/>
        <v>1</v>
      </c>
      <c r="AV265">
        <f t="shared" si="104"/>
        <v>0</v>
      </c>
      <c r="AW265">
        <f t="shared" si="104"/>
        <v>0</v>
      </c>
      <c r="AX265">
        <f t="shared" si="124"/>
        <v>1</v>
      </c>
      <c r="AY265">
        <f t="shared" si="124"/>
        <v>0</v>
      </c>
      <c r="AZ265">
        <f t="shared" si="124"/>
        <v>0</v>
      </c>
      <c r="BA265">
        <f t="shared" si="125"/>
        <v>0</v>
      </c>
      <c r="BB265">
        <f t="shared" si="126"/>
        <v>0</v>
      </c>
    </row>
    <row r="266" spans="1:54">
      <c r="A266">
        <v>263</v>
      </c>
      <c r="B266" t="s">
        <v>20</v>
      </c>
      <c r="C266" t="s">
        <v>28</v>
      </c>
      <c r="D266" t="s">
        <v>24</v>
      </c>
      <c r="E266" t="s">
        <v>30</v>
      </c>
      <c r="F266" t="s">
        <v>21</v>
      </c>
      <c r="G266" t="s">
        <v>24</v>
      </c>
      <c r="H266" s="3">
        <v>0.76787287760902101</v>
      </c>
      <c r="I266" s="3">
        <v>0.85533383904584903</v>
      </c>
      <c r="J266" s="3">
        <v>0.57273774545138201</v>
      </c>
      <c r="K266" s="3">
        <v>0.77808860672588498</v>
      </c>
      <c r="L266" s="3">
        <v>0.50953759962720901</v>
      </c>
      <c r="M266" s="3">
        <v>0.37732494497118202</v>
      </c>
      <c r="N266" s="3">
        <v>0.97900466562985999</v>
      </c>
      <c r="O266" s="3">
        <v>0.463537339054646</v>
      </c>
      <c r="P266">
        <f t="shared" si="111"/>
        <v>0</v>
      </c>
      <c r="Q266">
        <f t="shared" si="112"/>
        <v>0</v>
      </c>
      <c r="R266">
        <f t="shared" si="113"/>
        <v>1</v>
      </c>
      <c r="S266">
        <f t="shared" si="114"/>
        <v>0</v>
      </c>
      <c r="T266">
        <f t="shared" si="115"/>
        <v>0</v>
      </c>
      <c r="U266">
        <f t="shared" si="116"/>
        <v>0</v>
      </c>
      <c r="V266">
        <f t="shared" si="117"/>
        <v>1</v>
      </c>
      <c r="W266">
        <f t="shared" si="118"/>
        <v>0</v>
      </c>
      <c r="X266">
        <f t="shared" si="119"/>
        <v>0</v>
      </c>
      <c r="Y266">
        <f t="shared" si="120"/>
        <v>0</v>
      </c>
      <c r="Z266">
        <f t="shared" si="121"/>
        <v>0</v>
      </c>
      <c r="AA266">
        <f t="shared" si="122"/>
        <v>0</v>
      </c>
      <c r="AB266">
        <f t="shared" si="105"/>
        <v>0</v>
      </c>
      <c r="AC266">
        <f t="shared" si="106"/>
        <v>0</v>
      </c>
      <c r="AD266">
        <f t="shared" si="107"/>
        <v>1</v>
      </c>
      <c r="AE266">
        <f t="shared" si="108"/>
        <v>0</v>
      </c>
      <c r="AF266">
        <f t="shared" si="109"/>
        <v>0</v>
      </c>
      <c r="AG266">
        <f t="shared" si="110"/>
        <v>0</v>
      </c>
      <c r="AH266">
        <f t="shared" si="123"/>
        <v>1</v>
      </c>
      <c r="AI266">
        <f t="shared" si="104"/>
        <v>0</v>
      </c>
      <c r="AJ266">
        <f t="shared" si="104"/>
        <v>0</v>
      </c>
      <c r="AK266">
        <f t="shared" si="104"/>
        <v>0</v>
      </c>
      <c r="AL266">
        <f t="shared" si="104"/>
        <v>0</v>
      </c>
      <c r="AM266">
        <f t="shared" si="104"/>
        <v>0</v>
      </c>
      <c r="AN266">
        <f t="shared" si="104"/>
        <v>0</v>
      </c>
      <c r="AO266">
        <f t="shared" si="104"/>
        <v>0</v>
      </c>
      <c r="AP266">
        <f t="shared" si="104"/>
        <v>0</v>
      </c>
      <c r="AQ266">
        <f t="shared" si="104"/>
        <v>0</v>
      </c>
      <c r="AR266">
        <f t="shared" si="104"/>
        <v>0</v>
      </c>
      <c r="AS266">
        <f t="shared" si="104"/>
        <v>0</v>
      </c>
      <c r="AT266">
        <f t="shared" si="104"/>
        <v>0</v>
      </c>
      <c r="AU266">
        <f t="shared" si="104"/>
        <v>0</v>
      </c>
      <c r="AV266">
        <f t="shared" si="104"/>
        <v>0</v>
      </c>
      <c r="AW266">
        <f t="shared" si="104"/>
        <v>0</v>
      </c>
      <c r="AX266">
        <f t="shared" si="124"/>
        <v>1</v>
      </c>
      <c r="AY266">
        <f t="shared" si="124"/>
        <v>0</v>
      </c>
      <c r="AZ266">
        <f t="shared" si="124"/>
        <v>0</v>
      </c>
      <c r="BA266">
        <f t="shared" si="125"/>
        <v>0</v>
      </c>
      <c r="BB266">
        <f t="shared" si="126"/>
        <v>0</v>
      </c>
    </row>
    <row r="267" spans="1:54">
      <c r="A267">
        <v>264</v>
      </c>
      <c r="B267" t="s">
        <v>20</v>
      </c>
      <c r="C267" t="s">
        <v>28</v>
      </c>
      <c r="D267" t="s">
        <v>24</v>
      </c>
      <c r="E267" t="s">
        <v>30</v>
      </c>
      <c r="F267" t="s">
        <v>21</v>
      </c>
      <c r="G267" t="s">
        <v>25</v>
      </c>
      <c r="H267" s="3">
        <v>0.66765882642382202</v>
      </c>
      <c r="I267" s="3">
        <v>0.63942381638143897</v>
      </c>
      <c r="J267" s="3">
        <v>0.54845549903369695</v>
      </c>
      <c r="K267" s="3">
        <v>0.55376198709463598</v>
      </c>
      <c r="L267" s="3">
        <v>0.40257140516893702</v>
      </c>
      <c r="M267" s="3">
        <v>0.300784259166609</v>
      </c>
      <c r="N267" s="3">
        <v>0.77096447841726601</v>
      </c>
      <c r="O267" s="3">
        <v>0.42531331349152701</v>
      </c>
      <c r="P267">
        <f t="shared" si="111"/>
        <v>0</v>
      </c>
      <c r="Q267">
        <f t="shared" si="112"/>
        <v>0</v>
      </c>
      <c r="R267">
        <f t="shared" si="113"/>
        <v>1</v>
      </c>
      <c r="S267">
        <f t="shared" si="114"/>
        <v>0</v>
      </c>
      <c r="T267">
        <f t="shared" si="115"/>
        <v>0</v>
      </c>
      <c r="U267">
        <f t="shared" si="116"/>
        <v>0</v>
      </c>
      <c r="V267">
        <f t="shared" si="117"/>
        <v>0</v>
      </c>
      <c r="W267">
        <f t="shared" si="118"/>
        <v>0</v>
      </c>
      <c r="X267">
        <f t="shared" si="119"/>
        <v>0</v>
      </c>
      <c r="Y267">
        <f t="shared" si="120"/>
        <v>0</v>
      </c>
      <c r="Z267">
        <f t="shared" si="121"/>
        <v>0</v>
      </c>
      <c r="AA267">
        <f t="shared" si="122"/>
        <v>0</v>
      </c>
      <c r="AB267">
        <f t="shared" si="105"/>
        <v>0</v>
      </c>
      <c r="AC267">
        <f t="shared" si="106"/>
        <v>0</v>
      </c>
      <c r="AD267">
        <f t="shared" si="107"/>
        <v>0</v>
      </c>
      <c r="AE267">
        <f t="shared" si="108"/>
        <v>0</v>
      </c>
      <c r="AF267">
        <f t="shared" si="109"/>
        <v>0</v>
      </c>
      <c r="AG267">
        <f t="shared" si="110"/>
        <v>0</v>
      </c>
      <c r="AH267">
        <f t="shared" si="123"/>
        <v>0</v>
      </c>
      <c r="AI267">
        <f t="shared" si="104"/>
        <v>0</v>
      </c>
      <c r="AJ267">
        <f t="shared" si="104"/>
        <v>0</v>
      </c>
      <c r="AK267">
        <f t="shared" si="104"/>
        <v>0</v>
      </c>
      <c r="AL267">
        <f t="shared" si="104"/>
        <v>0</v>
      </c>
      <c r="AM267">
        <f t="shared" si="104"/>
        <v>0</v>
      </c>
      <c r="AN267">
        <f t="shared" si="104"/>
        <v>0</v>
      </c>
      <c r="AO267">
        <f t="shared" si="104"/>
        <v>0</v>
      </c>
      <c r="AP267">
        <f t="shared" si="104"/>
        <v>1</v>
      </c>
      <c r="AQ267">
        <f t="shared" si="104"/>
        <v>0</v>
      </c>
      <c r="AR267">
        <f t="shared" si="104"/>
        <v>0</v>
      </c>
      <c r="AS267">
        <f t="shared" si="104"/>
        <v>0</v>
      </c>
      <c r="AT267">
        <f t="shared" si="104"/>
        <v>0</v>
      </c>
      <c r="AU267">
        <f t="shared" si="104"/>
        <v>0</v>
      </c>
      <c r="AV267">
        <f t="shared" si="104"/>
        <v>0</v>
      </c>
      <c r="AW267">
        <f t="shared" si="104"/>
        <v>0</v>
      </c>
      <c r="AX267">
        <f t="shared" si="124"/>
        <v>1</v>
      </c>
      <c r="AY267">
        <f t="shared" si="124"/>
        <v>0</v>
      </c>
      <c r="AZ267">
        <f t="shared" si="124"/>
        <v>0</v>
      </c>
      <c r="BA267">
        <f t="shared" si="125"/>
        <v>1</v>
      </c>
      <c r="BB267">
        <f t="shared" si="126"/>
        <v>0</v>
      </c>
    </row>
    <row r="268" spans="1:54">
      <c r="A268">
        <v>265</v>
      </c>
      <c r="B268" t="s">
        <v>20</v>
      </c>
      <c r="C268" t="s">
        <v>28</v>
      </c>
      <c r="D268" t="s">
        <v>24</v>
      </c>
      <c r="E268" t="s">
        <v>30</v>
      </c>
      <c r="F268" t="s">
        <v>21</v>
      </c>
      <c r="G268" t="s">
        <v>26</v>
      </c>
      <c r="H268" s="3">
        <v>0.67468674134561402</v>
      </c>
      <c r="I268" s="3">
        <v>0.64662492207517397</v>
      </c>
      <c r="J268" s="3">
        <v>0.55406131382811297</v>
      </c>
      <c r="K268" s="3">
        <v>0.55959621990820096</v>
      </c>
      <c r="L268" s="3">
        <v>0.40739822809759801</v>
      </c>
      <c r="M268" s="3">
        <v>0.30432849962778602</v>
      </c>
      <c r="N268" s="3">
        <v>0.78057663125948396</v>
      </c>
      <c r="O268" s="3">
        <v>0.42943786797821598</v>
      </c>
      <c r="P268">
        <f t="shared" si="111"/>
        <v>0</v>
      </c>
      <c r="Q268">
        <f t="shared" si="112"/>
        <v>0</v>
      </c>
      <c r="R268">
        <f t="shared" si="113"/>
        <v>1</v>
      </c>
      <c r="S268">
        <f t="shared" si="114"/>
        <v>0</v>
      </c>
      <c r="T268">
        <f t="shared" si="115"/>
        <v>0</v>
      </c>
      <c r="U268">
        <f t="shared" si="116"/>
        <v>0</v>
      </c>
      <c r="V268">
        <f t="shared" si="117"/>
        <v>0</v>
      </c>
      <c r="W268">
        <f t="shared" si="118"/>
        <v>0</v>
      </c>
      <c r="X268">
        <f t="shared" si="119"/>
        <v>0</v>
      </c>
      <c r="Y268">
        <f t="shared" si="120"/>
        <v>0</v>
      </c>
      <c r="Z268">
        <f t="shared" si="121"/>
        <v>0</v>
      </c>
      <c r="AA268">
        <f t="shared" si="122"/>
        <v>0</v>
      </c>
      <c r="AB268">
        <f t="shared" si="105"/>
        <v>0</v>
      </c>
      <c r="AC268">
        <f t="shared" si="106"/>
        <v>0</v>
      </c>
      <c r="AD268">
        <f t="shared" si="107"/>
        <v>0</v>
      </c>
      <c r="AE268">
        <f t="shared" si="108"/>
        <v>0</v>
      </c>
      <c r="AF268">
        <f t="shared" si="109"/>
        <v>0</v>
      </c>
      <c r="AG268">
        <f t="shared" si="110"/>
        <v>0</v>
      </c>
      <c r="AH268">
        <f t="shared" si="123"/>
        <v>0</v>
      </c>
      <c r="AI268">
        <f t="shared" si="104"/>
        <v>0</v>
      </c>
      <c r="AJ268">
        <f t="shared" si="104"/>
        <v>0</v>
      </c>
      <c r="AK268">
        <f t="shared" si="104"/>
        <v>0</v>
      </c>
      <c r="AL268">
        <f t="shared" si="104"/>
        <v>1</v>
      </c>
      <c r="AM268">
        <f t="shared" si="104"/>
        <v>0</v>
      </c>
      <c r="AN268">
        <f t="shared" si="104"/>
        <v>0</v>
      </c>
      <c r="AO268">
        <f t="shared" si="104"/>
        <v>0</v>
      </c>
      <c r="AP268">
        <f t="shared" si="104"/>
        <v>0</v>
      </c>
      <c r="AQ268">
        <f t="shared" si="104"/>
        <v>0</v>
      </c>
      <c r="AR268">
        <f t="shared" si="104"/>
        <v>0</v>
      </c>
      <c r="AS268">
        <f t="shared" si="104"/>
        <v>0</v>
      </c>
      <c r="AT268">
        <f t="shared" si="104"/>
        <v>0</v>
      </c>
      <c r="AU268">
        <f t="shared" si="104"/>
        <v>0</v>
      </c>
      <c r="AV268">
        <f t="shared" si="104"/>
        <v>0</v>
      </c>
      <c r="AW268">
        <f t="shared" si="104"/>
        <v>0</v>
      </c>
      <c r="AX268">
        <f t="shared" si="124"/>
        <v>1</v>
      </c>
      <c r="AY268">
        <f t="shared" si="124"/>
        <v>0</v>
      </c>
      <c r="AZ268">
        <f t="shared" si="124"/>
        <v>0</v>
      </c>
      <c r="BA268">
        <f t="shared" si="125"/>
        <v>1</v>
      </c>
      <c r="BB268">
        <f t="shared" si="126"/>
        <v>0</v>
      </c>
    </row>
    <row r="269" spans="1:54">
      <c r="A269">
        <v>266</v>
      </c>
      <c r="B269" t="s">
        <v>20</v>
      </c>
      <c r="C269" t="s">
        <v>28</v>
      </c>
      <c r="D269" t="s">
        <v>24</v>
      </c>
      <c r="E269" t="s">
        <v>30</v>
      </c>
      <c r="F269" t="s">
        <v>21</v>
      </c>
      <c r="G269" t="s">
        <v>27</v>
      </c>
      <c r="H269" s="3">
        <v>0.29581801319352302</v>
      </c>
      <c r="I269" s="3">
        <v>0.26234590141819902</v>
      </c>
      <c r="J269" s="3">
        <v>0.24013740672359701</v>
      </c>
      <c r="K269" s="3">
        <v>0.22065422209493299</v>
      </c>
      <c r="L269" s="3">
        <v>0.18943930221626301</v>
      </c>
      <c r="M269" s="3">
        <v>0.14308241061744301</v>
      </c>
      <c r="N269" s="3">
        <v>0.38452566096423002</v>
      </c>
      <c r="O269" s="3">
        <v>0.182666320691698</v>
      </c>
      <c r="P269">
        <f t="shared" si="111"/>
        <v>0</v>
      </c>
      <c r="Q269">
        <f t="shared" si="112"/>
        <v>0</v>
      </c>
      <c r="R269">
        <f t="shared" si="113"/>
        <v>1</v>
      </c>
      <c r="S269">
        <f t="shared" si="114"/>
        <v>0</v>
      </c>
      <c r="T269">
        <f t="shared" si="115"/>
        <v>0</v>
      </c>
      <c r="U269">
        <f t="shared" si="116"/>
        <v>0</v>
      </c>
      <c r="V269">
        <f t="shared" si="117"/>
        <v>0</v>
      </c>
      <c r="W269">
        <f t="shared" si="118"/>
        <v>1</v>
      </c>
      <c r="X269">
        <f t="shared" si="119"/>
        <v>0</v>
      </c>
      <c r="Y269">
        <f t="shared" si="120"/>
        <v>0</v>
      </c>
      <c r="Z269">
        <f t="shared" si="121"/>
        <v>0</v>
      </c>
      <c r="AA269">
        <f t="shared" si="122"/>
        <v>0</v>
      </c>
      <c r="AB269">
        <f t="shared" si="105"/>
        <v>0</v>
      </c>
      <c r="AC269">
        <f t="shared" si="106"/>
        <v>0</v>
      </c>
      <c r="AD269">
        <f t="shared" si="107"/>
        <v>1</v>
      </c>
      <c r="AE269">
        <f t="shared" si="108"/>
        <v>0</v>
      </c>
      <c r="AF269">
        <f t="shared" si="109"/>
        <v>0</v>
      </c>
      <c r="AG269">
        <f t="shared" si="110"/>
        <v>0</v>
      </c>
      <c r="AH269">
        <f t="shared" si="123"/>
        <v>1</v>
      </c>
      <c r="AI269">
        <f t="shared" si="104"/>
        <v>0</v>
      </c>
      <c r="AJ269">
        <f t="shared" si="104"/>
        <v>0</v>
      </c>
      <c r="AK269">
        <f t="shared" si="104"/>
        <v>0</v>
      </c>
      <c r="AL269">
        <f t="shared" si="104"/>
        <v>0</v>
      </c>
      <c r="AM269">
        <f t="shared" si="104"/>
        <v>0</v>
      </c>
      <c r="AN269">
        <f t="shared" si="104"/>
        <v>0</v>
      </c>
      <c r="AO269">
        <f t="shared" si="104"/>
        <v>0</v>
      </c>
      <c r="AP269">
        <f t="shared" si="104"/>
        <v>0</v>
      </c>
      <c r="AQ269">
        <f t="shared" si="104"/>
        <v>0</v>
      </c>
      <c r="AR269">
        <f t="shared" si="104"/>
        <v>0</v>
      </c>
      <c r="AS269">
        <f t="shared" si="104"/>
        <v>0</v>
      </c>
      <c r="AT269">
        <f t="shared" si="104"/>
        <v>0</v>
      </c>
      <c r="AU269">
        <f t="shared" si="104"/>
        <v>0</v>
      </c>
      <c r="AV269">
        <f t="shared" si="104"/>
        <v>0</v>
      </c>
      <c r="AW269">
        <f t="shared" si="104"/>
        <v>1</v>
      </c>
      <c r="AX269">
        <f t="shared" si="124"/>
        <v>1</v>
      </c>
      <c r="AY269">
        <f t="shared" si="124"/>
        <v>0</v>
      </c>
      <c r="AZ269">
        <f t="shared" si="124"/>
        <v>0</v>
      </c>
      <c r="BA269">
        <f t="shared" si="125"/>
        <v>0</v>
      </c>
      <c r="BB269">
        <f t="shared" si="126"/>
        <v>0</v>
      </c>
    </row>
    <row r="270" spans="1:54">
      <c r="A270">
        <v>267</v>
      </c>
      <c r="B270" t="s">
        <v>20</v>
      </c>
      <c r="C270" t="s">
        <v>28</v>
      </c>
      <c r="D270" t="s">
        <v>24</v>
      </c>
      <c r="E270" t="s">
        <v>30</v>
      </c>
      <c r="F270" t="s">
        <v>28</v>
      </c>
      <c r="G270" t="s">
        <v>22</v>
      </c>
      <c r="H270" s="3">
        <v>2.50840439656068E-2</v>
      </c>
      <c r="I270" s="3">
        <v>2.42328795755446E-2</v>
      </c>
      <c r="J270" s="3">
        <v>2.1375950071515999E-2</v>
      </c>
      <c r="K270" s="3">
        <v>2.20392320100254E-2</v>
      </c>
      <c r="L270" s="3">
        <v>1.6270978258218698E-2</v>
      </c>
      <c r="M270" s="3">
        <v>1.2799234487279701E-2</v>
      </c>
      <c r="N270" s="3">
        <v>2.7216174183514699E-2</v>
      </c>
      <c r="O270" s="3">
        <v>1.7687233920927001E-2</v>
      </c>
      <c r="P270">
        <f t="shared" si="111"/>
        <v>1</v>
      </c>
      <c r="Q270">
        <f t="shared" si="112"/>
        <v>0</v>
      </c>
      <c r="R270">
        <f t="shared" si="113"/>
        <v>1</v>
      </c>
      <c r="S270">
        <f t="shared" si="114"/>
        <v>0</v>
      </c>
      <c r="T270">
        <f t="shared" si="115"/>
        <v>0</v>
      </c>
      <c r="U270">
        <f t="shared" si="116"/>
        <v>0</v>
      </c>
      <c r="V270">
        <f t="shared" si="117"/>
        <v>0</v>
      </c>
      <c r="W270">
        <f t="shared" si="118"/>
        <v>0</v>
      </c>
      <c r="X270">
        <f t="shared" si="119"/>
        <v>0</v>
      </c>
      <c r="Y270">
        <f t="shared" si="120"/>
        <v>0</v>
      </c>
      <c r="Z270">
        <f t="shared" si="121"/>
        <v>0</v>
      </c>
      <c r="AA270">
        <f t="shared" si="122"/>
        <v>0</v>
      </c>
      <c r="AB270">
        <f t="shared" si="105"/>
        <v>0</v>
      </c>
      <c r="AC270">
        <f t="shared" si="106"/>
        <v>0</v>
      </c>
      <c r="AD270">
        <f t="shared" si="107"/>
        <v>0</v>
      </c>
      <c r="AE270">
        <f t="shared" si="108"/>
        <v>0</v>
      </c>
      <c r="AF270">
        <f t="shared" si="109"/>
        <v>1</v>
      </c>
      <c r="AG270">
        <f t="shared" si="110"/>
        <v>0</v>
      </c>
      <c r="AH270">
        <f t="shared" si="123"/>
        <v>0</v>
      </c>
      <c r="AI270">
        <f t="shared" si="104"/>
        <v>0</v>
      </c>
      <c r="AJ270">
        <f t="shared" si="104"/>
        <v>0</v>
      </c>
      <c r="AK270">
        <f t="shared" si="104"/>
        <v>0</v>
      </c>
      <c r="AL270">
        <f t="shared" si="104"/>
        <v>0</v>
      </c>
      <c r="AM270">
        <f t="shared" si="104"/>
        <v>0</v>
      </c>
      <c r="AN270">
        <f t="shared" si="104"/>
        <v>0</v>
      </c>
      <c r="AO270">
        <f t="shared" si="104"/>
        <v>0</v>
      </c>
      <c r="AP270">
        <f t="shared" si="104"/>
        <v>0</v>
      </c>
      <c r="AQ270">
        <f t="shared" si="104"/>
        <v>0</v>
      </c>
      <c r="AR270">
        <f t="shared" si="104"/>
        <v>0</v>
      </c>
      <c r="AS270">
        <f t="shared" si="104"/>
        <v>1</v>
      </c>
      <c r="AT270">
        <f t="shared" si="104"/>
        <v>0</v>
      </c>
      <c r="AU270">
        <f t="shared" si="104"/>
        <v>0</v>
      </c>
      <c r="AV270">
        <f t="shared" si="104"/>
        <v>0</v>
      </c>
      <c r="AW270">
        <f t="shared" si="104"/>
        <v>0</v>
      </c>
      <c r="AX270">
        <f t="shared" si="124"/>
        <v>0</v>
      </c>
      <c r="AY270">
        <f t="shared" si="124"/>
        <v>0</v>
      </c>
      <c r="AZ270">
        <f t="shared" si="124"/>
        <v>0</v>
      </c>
      <c r="BA270">
        <f t="shared" si="125"/>
        <v>0</v>
      </c>
      <c r="BB270">
        <f t="shared" si="126"/>
        <v>0</v>
      </c>
    </row>
    <row r="271" spans="1:54">
      <c r="A271">
        <v>268</v>
      </c>
      <c r="B271" t="s">
        <v>20</v>
      </c>
      <c r="C271" t="s">
        <v>28</v>
      </c>
      <c r="D271" t="s">
        <v>24</v>
      </c>
      <c r="E271" t="s">
        <v>30</v>
      </c>
      <c r="F271" t="s">
        <v>28</v>
      </c>
      <c r="G271" t="s">
        <v>23</v>
      </c>
      <c r="H271" s="3">
        <v>2.96983947943129E-2</v>
      </c>
      <c r="I271" s="3">
        <v>2.8780288160109999E-2</v>
      </c>
      <c r="J271" s="3">
        <v>2.5015870114522401E-2</v>
      </c>
      <c r="K271" s="3">
        <v>2.6215511309735502E-2</v>
      </c>
      <c r="L271" s="3">
        <v>1.91123160262173E-2</v>
      </c>
      <c r="M271" s="3">
        <v>1.49457642724666E-2</v>
      </c>
      <c r="N271" s="3">
        <v>3.2270606531881803E-2</v>
      </c>
      <c r="O271" s="3">
        <v>2.05970898416485E-2</v>
      </c>
      <c r="P271">
        <f t="shared" si="111"/>
        <v>0</v>
      </c>
      <c r="Q271">
        <f t="shared" si="112"/>
        <v>1</v>
      </c>
      <c r="R271">
        <f t="shared" si="113"/>
        <v>1</v>
      </c>
      <c r="S271">
        <f t="shared" si="114"/>
        <v>0</v>
      </c>
      <c r="T271">
        <f t="shared" si="115"/>
        <v>0</v>
      </c>
      <c r="U271">
        <f t="shared" si="116"/>
        <v>0</v>
      </c>
      <c r="V271">
        <f t="shared" si="117"/>
        <v>0</v>
      </c>
      <c r="W271">
        <f t="shared" si="118"/>
        <v>0</v>
      </c>
      <c r="X271">
        <f t="shared" si="119"/>
        <v>0</v>
      </c>
      <c r="Y271">
        <f t="shared" si="120"/>
        <v>0</v>
      </c>
      <c r="Z271">
        <f t="shared" si="121"/>
        <v>0</v>
      </c>
      <c r="AA271">
        <f t="shared" si="122"/>
        <v>0</v>
      </c>
      <c r="AB271">
        <f t="shared" si="105"/>
        <v>0</v>
      </c>
      <c r="AC271">
        <f t="shared" si="106"/>
        <v>0</v>
      </c>
      <c r="AD271">
        <f t="shared" si="107"/>
        <v>0</v>
      </c>
      <c r="AE271">
        <f t="shared" si="108"/>
        <v>0</v>
      </c>
      <c r="AF271">
        <f t="shared" si="109"/>
        <v>1</v>
      </c>
      <c r="AG271">
        <f t="shared" si="110"/>
        <v>0</v>
      </c>
      <c r="AH271">
        <f t="shared" si="123"/>
        <v>0</v>
      </c>
      <c r="AI271">
        <f t="shared" si="104"/>
        <v>0</v>
      </c>
      <c r="AJ271">
        <f t="shared" si="104"/>
        <v>0</v>
      </c>
      <c r="AK271">
        <f t="shared" si="104"/>
        <v>0</v>
      </c>
      <c r="AL271">
        <f t="shared" si="104"/>
        <v>0</v>
      </c>
      <c r="AM271">
        <f t="shared" si="104"/>
        <v>0</v>
      </c>
      <c r="AN271">
        <f t="shared" si="104"/>
        <v>0</v>
      </c>
      <c r="AO271">
        <f t="shared" si="104"/>
        <v>0</v>
      </c>
      <c r="AP271">
        <f t="shared" si="104"/>
        <v>0</v>
      </c>
      <c r="AQ271">
        <f t="shared" si="104"/>
        <v>0</v>
      </c>
      <c r="AR271">
        <f t="shared" si="104"/>
        <v>0</v>
      </c>
      <c r="AS271">
        <f t="shared" si="104"/>
        <v>0</v>
      </c>
      <c r="AT271">
        <f t="shared" si="104"/>
        <v>0</v>
      </c>
      <c r="AU271">
        <f t="shared" si="104"/>
        <v>1</v>
      </c>
      <c r="AV271">
        <f t="shared" si="104"/>
        <v>0</v>
      </c>
      <c r="AW271">
        <f t="shared" si="104"/>
        <v>0</v>
      </c>
      <c r="AX271">
        <f t="shared" si="124"/>
        <v>0</v>
      </c>
      <c r="AY271">
        <f t="shared" si="124"/>
        <v>0</v>
      </c>
      <c r="AZ271">
        <f t="shared" si="124"/>
        <v>0</v>
      </c>
      <c r="BA271">
        <f t="shared" si="125"/>
        <v>0</v>
      </c>
      <c r="BB271">
        <f t="shared" si="126"/>
        <v>0</v>
      </c>
    </row>
    <row r="272" spans="1:54">
      <c r="A272">
        <v>269</v>
      </c>
      <c r="B272" t="s">
        <v>20</v>
      </c>
      <c r="C272" t="s">
        <v>28</v>
      </c>
      <c r="D272" t="s">
        <v>24</v>
      </c>
      <c r="E272" t="s">
        <v>30</v>
      </c>
      <c r="F272" t="s">
        <v>28</v>
      </c>
      <c r="G272" t="s">
        <v>24</v>
      </c>
      <c r="H272" s="3">
        <v>0.78225133964560201</v>
      </c>
      <c r="I272" s="3">
        <v>0.89790153808746398</v>
      </c>
      <c r="J272" s="3">
        <v>0.60544469738183104</v>
      </c>
      <c r="K272" s="3">
        <v>0.83810328864372696</v>
      </c>
      <c r="L272" s="3">
        <v>0.58748313386505902</v>
      </c>
      <c r="M272" s="3">
        <v>0.45695735421871603</v>
      </c>
      <c r="N272" s="3">
        <v>0.97744945567651598</v>
      </c>
      <c r="O272" s="3">
        <v>0.52516721133341504</v>
      </c>
      <c r="P272">
        <f t="shared" si="111"/>
        <v>0</v>
      </c>
      <c r="Q272">
        <f t="shared" si="112"/>
        <v>0</v>
      </c>
      <c r="R272">
        <f t="shared" si="113"/>
        <v>1</v>
      </c>
      <c r="S272">
        <f t="shared" si="114"/>
        <v>0</v>
      </c>
      <c r="T272">
        <f t="shared" si="115"/>
        <v>0</v>
      </c>
      <c r="U272">
        <f t="shared" si="116"/>
        <v>0</v>
      </c>
      <c r="V272">
        <f t="shared" si="117"/>
        <v>0</v>
      </c>
      <c r="W272">
        <f t="shared" si="118"/>
        <v>0</v>
      </c>
      <c r="X272">
        <f t="shared" si="119"/>
        <v>0</v>
      </c>
      <c r="Y272">
        <f t="shared" si="120"/>
        <v>0</v>
      </c>
      <c r="Z272">
        <f t="shared" si="121"/>
        <v>0</v>
      </c>
      <c r="AA272">
        <f t="shared" si="122"/>
        <v>0</v>
      </c>
      <c r="AB272">
        <f t="shared" si="105"/>
        <v>0</v>
      </c>
      <c r="AC272">
        <f t="shared" si="106"/>
        <v>0</v>
      </c>
      <c r="AD272">
        <f t="shared" si="107"/>
        <v>1</v>
      </c>
      <c r="AE272">
        <f t="shared" si="108"/>
        <v>0</v>
      </c>
      <c r="AF272">
        <f t="shared" si="109"/>
        <v>1</v>
      </c>
      <c r="AG272">
        <f t="shared" si="110"/>
        <v>0</v>
      </c>
      <c r="AH272">
        <f t="shared" si="123"/>
        <v>1</v>
      </c>
      <c r="AI272">
        <f t="shared" si="104"/>
        <v>0</v>
      </c>
      <c r="AJ272">
        <f t="shared" si="104"/>
        <v>0</v>
      </c>
      <c r="AK272">
        <f t="shared" si="104"/>
        <v>0</v>
      </c>
      <c r="AL272">
        <f t="shared" si="104"/>
        <v>0</v>
      </c>
      <c r="AM272">
        <f t="shared" si="104"/>
        <v>0</v>
      </c>
      <c r="AN272">
        <f t="shared" si="104"/>
        <v>0</v>
      </c>
      <c r="AO272">
        <f t="shared" si="104"/>
        <v>0</v>
      </c>
      <c r="AP272">
        <f t="shared" si="104"/>
        <v>0</v>
      </c>
      <c r="AQ272">
        <f t="shared" si="104"/>
        <v>0</v>
      </c>
      <c r="AR272">
        <f t="shared" si="104"/>
        <v>0</v>
      </c>
      <c r="AS272">
        <f t="shared" si="104"/>
        <v>0</v>
      </c>
      <c r="AT272">
        <f t="shared" si="104"/>
        <v>0</v>
      </c>
      <c r="AU272">
        <f t="shared" si="104"/>
        <v>0</v>
      </c>
      <c r="AV272">
        <f t="shared" si="104"/>
        <v>0</v>
      </c>
      <c r="AW272">
        <f t="shared" si="104"/>
        <v>0</v>
      </c>
      <c r="AX272">
        <f t="shared" si="124"/>
        <v>0</v>
      </c>
      <c r="AY272">
        <f t="shared" si="124"/>
        <v>0</v>
      </c>
      <c r="AZ272">
        <f t="shared" si="124"/>
        <v>0</v>
      </c>
      <c r="BA272">
        <f t="shared" si="125"/>
        <v>0</v>
      </c>
      <c r="BB272">
        <f t="shared" si="126"/>
        <v>0</v>
      </c>
    </row>
    <row r="273" spans="1:54">
      <c r="A273">
        <v>270</v>
      </c>
      <c r="B273" t="s">
        <v>20</v>
      </c>
      <c r="C273" t="s">
        <v>28</v>
      </c>
      <c r="D273" t="s">
        <v>24</v>
      </c>
      <c r="E273" t="s">
        <v>30</v>
      </c>
      <c r="F273" t="s">
        <v>28</v>
      </c>
      <c r="G273" t="s">
        <v>25</v>
      </c>
      <c r="H273" s="3">
        <v>0.65937379960645603</v>
      </c>
      <c r="I273" s="3">
        <v>0.63340134471635501</v>
      </c>
      <c r="J273" s="3">
        <v>0.54323451319274896</v>
      </c>
      <c r="K273" s="3">
        <v>0.54969055968198199</v>
      </c>
      <c r="L273" s="3">
        <v>0.39899415606209698</v>
      </c>
      <c r="M273" s="3">
        <v>0.299053821134941</v>
      </c>
      <c r="N273" s="3">
        <v>0.76047935436741199</v>
      </c>
      <c r="O273" s="3">
        <v>0.421894067014707</v>
      </c>
      <c r="P273">
        <f t="shared" si="111"/>
        <v>0</v>
      </c>
      <c r="Q273">
        <f t="shared" si="112"/>
        <v>0</v>
      </c>
      <c r="R273">
        <f t="shared" si="113"/>
        <v>1</v>
      </c>
      <c r="S273">
        <f t="shared" si="114"/>
        <v>0</v>
      </c>
      <c r="T273">
        <f t="shared" si="115"/>
        <v>0</v>
      </c>
      <c r="U273">
        <f t="shared" si="116"/>
        <v>0</v>
      </c>
      <c r="V273">
        <f t="shared" si="117"/>
        <v>0</v>
      </c>
      <c r="W273">
        <f t="shared" si="118"/>
        <v>0</v>
      </c>
      <c r="X273">
        <f t="shared" si="119"/>
        <v>0</v>
      </c>
      <c r="Y273">
        <f t="shared" si="120"/>
        <v>0</v>
      </c>
      <c r="Z273">
        <f t="shared" si="121"/>
        <v>0</v>
      </c>
      <c r="AA273">
        <f t="shared" si="122"/>
        <v>0</v>
      </c>
      <c r="AB273">
        <f t="shared" si="105"/>
        <v>0</v>
      </c>
      <c r="AC273">
        <f t="shared" si="106"/>
        <v>0</v>
      </c>
      <c r="AD273">
        <f t="shared" si="107"/>
        <v>0</v>
      </c>
      <c r="AE273">
        <f t="shared" si="108"/>
        <v>0</v>
      </c>
      <c r="AF273">
        <f t="shared" si="109"/>
        <v>1</v>
      </c>
      <c r="AG273">
        <f t="shared" si="110"/>
        <v>0</v>
      </c>
      <c r="AH273">
        <f t="shared" si="123"/>
        <v>0</v>
      </c>
      <c r="AI273">
        <f t="shared" ref="AI273:AW289" si="127">IF(OR(AND($D273=AI$1,$G273=AI$2),AND($D273=AI$2,$G273=AI$1)),1,0)</f>
        <v>0</v>
      </c>
      <c r="AJ273">
        <f t="shared" si="127"/>
        <v>0</v>
      </c>
      <c r="AK273">
        <f t="shared" si="127"/>
        <v>0</v>
      </c>
      <c r="AL273">
        <f t="shared" si="127"/>
        <v>0</v>
      </c>
      <c r="AM273">
        <f t="shared" si="127"/>
        <v>0</v>
      </c>
      <c r="AN273">
        <f t="shared" si="127"/>
        <v>0</v>
      </c>
      <c r="AO273">
        <f t="shared" si="127"/>
        <v>0</v>
      </c>
      <c r="AP273">
        <f t="shared" si="127"/>
        <v>1</v>
      </c>
      <c r="AQ273">
        <f t="shared" si="127"/>
        <v>0</v>
      </c>
      <c r="AR273">
        <f t="shared" si="127"/>
        <v>0</v>
      </c>
      <c r="AS273">
        <f t="shared" si="127"/>
        <v>0</v>
      </c>
      <c r="AT273">
        <f t="shared" si="127"/>
        <v>0</v>
      </c>
      <c r="AU273">
        <f t="shared" si="127"/>
        <v>0</v>
      </c>
      <c r="AV273">
        <f t="shared" si="127"/>
        <v>0</v>
      </c>
      <c r="AW273">
        <f t="shared" si="127"/>
        <v>0</v>
      </c>
      <c r="AX273">
        <f t="shared" si="124"/>
        <v>0</v>
      </c>
      <c r="AY273">
        <f t="shared" si="124"/>
        <v>0</v>
      </c>
      <c r="AZ273">
        <f t="shared" si="124"/>
        <v>0</v>
      </c>
      <c r="BA273">
        <f t="shared" si="125"/>
        <v>1</v>
      </c>
      <c r="BB273">
        <f t="shared" si="126"/>
        <v>0</v>
      </c>
    </row>
    <row r="274" spans="1:54">
      <c r="A274">
        <v>271</v>
      </c>
      <c r="B274" t="s">
        <v>20</v>
      </c>
      <c r="C274" t="s">
        <v>28</v>
      </c>
      <c r="D274" t="s">
        <v>24</v>
      </c>
      <c r="E274" t="s">
        <v>30</v>
      </c>
      <c r="F274" t="s">
        <v>28</v>
      </c>
      <c r="G274" t="s">
        <v>26</v>
      </c>
      <c r="H274" s="3">
        <v>0.66747348440103205</v>
      </c>
      <c r="I274" s="3">
        <v>0.64177093250221595</v>
      </c>
      <c r="J274" s="3">
        <v>0.55017544565260301</v>
      </c>
      <c r="K274" s="3">
        <v>0.55630311516765596</v>
      </c>
      <c r="L274" s="3">
        <v>0.404886440689807</v>
      </c>
      <c r="M274" s="3">
        <v>0.30347281809381299</v>
      </c>
      <c r="N274" s="3">
        <v>0.77214049834884402</v>
      </c>
      <c r="O274" s="3">
        <v>0.42716560450414898</v>
      </c>
      <c r="P274">
        <f t="shared" si="111"/>
        <v>0</v>
      </c>
      <c r="Q274">
        <f t="shared" si="112"/>
        <v>0</v>
      </c>
      <c r="R274">
        <f t="shared" si="113"/>
        <v>1</v>
      </c>
      <c r="S274">
        <f t="shared" si="114"/>
        <v>0</v>
      </c>
      <c r="T274">
        <f t="shared" si="115"/>
        <v>0</v>
      </c>
      <c r="U274">
        <f t="shared" si="116"/>
        <v>0</v>
      </c>
      <c r="V274">
        <f t="shared" si="117"/>
        <v>0</v>
      </c>
      <c r="W274">
        <f t="shared" si="118"/>
        <v>0</v>
      </c>
      <c r="X274">
        <f t="shared" si="119"/>
        <v>0</v>
      </c>
      <c r="Y274">
        <f t="shared" si="120"/>
        <v>0</v>
      </c>
      <c r="Z274">
        <f t="shared" si="121"/>
        <v>0</v>
      </c>
      <c r="AA274">
        <f t="shared" si="122"/>
        <v>0</v>
      </c>
      <c r="AB274">
        <f t="shared" si="105"/>
        <v>0</v>
      </c>
      <c r="AC274">
        <f t="shared" si="106"/>
        <v>0</v>
      </c>
      <c r="AD274">
        <f t="shared" si="107"/>
        <v>0</v>
      </c>
      <c r="AE274">
        <f t="shared" si="108"/>
        <v>0</v>
      </c>
      <c r="AF274">
        <f t="shared" si="109"/>
        <v>1</v>
      </c>
      <c r="AG274">
        <f t="shared" si="110"/>
        <v>0</v>
      </c>
      <c r="AH274">
        <f t="shared" si="123"/>
        <v>0</v>
      </c>
      <c r="AI274">
        <f t="shared" si="127"/>
        <v>0</v>
      </c>
      <c r="AJ274">
        <f t="shared" si="127"/>
        <v>0</v>
      </c>
      <c r="AK274">
        <f t="shared" si="127"/>
        <v>0</v>
      </c>
      <c r="AL274">
        <f t="shared" si="127"/>
        <v>1</v>
      </c>
      <c r="AM274">
        <f t="shared" si="127"/>
        <v>0</v>
      </c>
      <c r="AN274">
        <f t="shared" si="127"/>
        <v>0</v>
      </c>
      <c r="AO274">
        <f t="shared" si="127"/>
        <v>0</v>
      </c>
      <c r="AP274">
        <f t="shared" si="127"/>
        <v>0</v>
      </c>
      <c r="AQ274">
        <f t="shared" si="127"/>
        <v>0</v>
      </c>
      <c r="AR274">
        <f t="shared" si="127"/>
        <v>0</v>
      </c>
      <c r="AS274">
        <f t="shared" si="127"/>
        <v>0</v>
      </c>
      <c r="AT274">
        <f t="shared" si="127"/>
        <v>0</v>
      </c>
      <c r="AU274">
        <f t="shared" si="127"/>
        <v>0</v>
      </c>
      <c r="AV274">
        <f t="shared" si="127"/>
        <v>0</v>
      </c>
      <c r="AW274">
        <f t="shared" si="127"/>
        <v>0</v>
      </c>
      <c r="AX274">
        <f t="shared" si="124"/>
        <v>0</v>
      </c>
      <c r="AY274">
        <f t="shared" si="124"/>
        <v>0</v>
      </c>
      <c r="AZ274">
        <f t="shared" si="124"/>
        <v>0</v>
      </c>
      <c r="BA274">
        <f t="shared" si="125"/>
        <v>1</v>
      </c>
      <c r="BB274">
        <f t="shared" si="126"/>
        <v>0</v>
      </c>
    </row>
    <row r="275" spans="1:54">
      <c r="A275">
        <v>272</v>
      </c>
      <c r="B275" t="s">
        <v>20</v>
      </c>
      <c r="C275" t="s">
        <v>28</v>
      </c>
      <c r="D275" t="s">
        <v>24</v>
      </c>
      <c r="E275" t="s">
        <v>30</v>
      </c>
      <c r="F275" t="s">
        <v>28</v>
      </c>
      <c r="G275" t="s">
        <v>27</v>
      </c>
      <c r="H275" s="3">
        <v>0.357844542492816</v>
      </c>
      <c r="I275" s="3">
        <v>0.317471910471253</v>
      </c>
      <c r="J275" s="3">
        <v>0.28638260395195198</v>
      </c>
      <c r="K275" s="3">
        <v>0.26569072598216398</v>
      </c>
      <c r="L275" s="3">
        <v>0.220761908616079</v>
      </c>
      <c r="M275" s="3">
        <v>0.16540933218670401</v>
      </c>
      <c r="N275" s="3">
        <v>0.47161741835147702</v>
      </c>
      <c r="O275" s="3">
        <v>0.21463708230982501</v>
      </c>
      <c r="P275">
        <f t="shared" si="111"/>
        <v>0</v>
      </c>
      <c r="Q275">
        <f t="shared" si="112"/>
        <v>0</v>
      </c>
      <c r="R275">
        <f t="shared" si="113"/>
        <v>1</v>
      </c>
      <c r="S275">
        <f t="shared" si="114"/>
        <v>1</v>
      </c>
      <c r="T275">
        <f t="shared" si="115"/>
        <v>0</v>
      </c>
      <c r="U275">
        <f t="shared" si="116"/>
        <v>0</v>
      </c>
      <c r="V275">
        <f t="shared" si="117"/>
        <v>0</v>
      </c>
      <c r="W275">
        <f t="shared" si="118"/>
        <v>0</v>
      </c>
      <c r="X275">
        <f t="shared" si="119"/>
        <v>0</v>
      </c>
      <c r="Y275">
        <f t="shared" si="120"/>
        <v>0</v>
      </c>
      <c r="Z275">
        <f t="shared" si="121"/>
        <v>0</v>
      </c>
      <c r="AA275">
        <f t="shared" si="122"/>
        <v>0</v>
      </c>
      <c r="AB275">
        <f t="shared" si="105"/>
        <v>0</v>
      </c>
      <c r="AC275">
        <f t="shared" si="106"/>
        <v>0</v>
      </c>
      <c r="AD275">
        <f t="shared" si="107"/>
        <v>1</v>
      </c>
      <c r="AE275">
        <f t="shared" si="108"/>
        <v>0</v>
      </c>
      <c r="AF275">
        <f t="shared" si="109"/>
        <v>1</v>
      </c>
      <c r="AG275">
        <f t="shared" si="110"/>
        <v>0</v>
      </c>
      <c r="AH275">
        <f t="shared" si="123"/>
        <v>1</v>
      </c>
      <c r="AI275">
        <f t="shared" si="127"/>
        <v>0</v>
      </c>
      <c r="AJ275">
        <f t="shared" si="127"/>
        <v>0</v>
      </c>
      <c r="AK275">
        <f t="shared" si="127"/>
        <v>0</v>
      </c>
      <c r="AL275">
        <f t="shared" si="127"/>
        <v>0</v>
      </c>
      <c r="AM275">
        <f t="shared" si="127"/>
        <v>0</v>
      </c>
      <c r="AN275">
        <f t="shared" si="127"/>
        <v>0</v>
      </c>
      <c r="AO275">
        <f t="shared" si="127"/>
        <v>0</v>
      </c>
      <c r="AP275">
        <f t="shared" si="127"/>
        <v>0</v>
      </c>
      <c r="AQ275">
        <f t="shared" si="127"/>
        <v>0</v>
      </c>
      <c r="AR275">
        <f t="shared" si="127"/>
        <v>0</v>
      </c>
      <c r="AS275">
        <f t="shared" si="127"/>
        <v>0</v>
      </c>
      <c r="AT275">
        <f t="shared" si="127"/>
        <v>0</v>
      </c>
      <c r="AU275">
        <f t="shared" si="127"/>
        <v>0</v>
      </c>
      <c r="AV275">
        <f t="shared" si="127"/>
        <v>0</v>
      </c>
      <c r="AW275">
        <f t="shared" si="127"/>
        <v>1</v>
      </c>
      <c r="AX275">
        <f t="shared" si="124"/>
        <v>0</v>
      </c>
      <c r="AY275">
        <f t="shared" si="124"/>
        <v>0</v>
      </c>
      <c r="AZ275">
        <f t="shared" si="124"/>
        <v>0</v>
      </c>
      <c r="BA275">
        <f t="shared" si="125"/>
        <v>0</v>
      </c>
      <c r="BB275">
        <f t="shared" si="126"/>
        <v>0</v>
      </c>
    </row>
    <row r="276" spans="1:54">
      <c r="A276">
        <v>273</v>
      </c>
      <c r="B276" t="s">
        <v>20</v>
      </c>
      <c r="C276" t="s">
        <v>28</v>
      </c>
      <c r="D276" t="s">
        <v>24</v>
      </c>
      <c r="E276" t="s">
        <v>30</v>
      </c>
      <c r="F276" t="s">
        <v>29</v>
      </c>
      <c r="G276" t="s">
        <v>22</v>
      </c>
      <c r="H276" s="3">
        <v>0.82305922981878898</v>
      </c>
      <c r="I276" s="3">
        <v>0.77511634545720298</v>
      </c>
      <c r="J276" s="3">
        <v>0.635007609401536</v>
      </c>
      <c r="K276" s="3">
        <v>0.65419282794337497</v>
      </c>
      <c r="L276" s="3">
        <v>0.47343500454010101</v>
      </c>
      <c r="M276" s="3">
        <v>0.350821744606789</v>
      </c>
      <c r="N276" s="3">
        <v>0.98673988252039402</v>
      </c>
      <c r="O276" s="3">
        <v>0.48957346100432197</v>
      </c>
      <c r="P276">
        <f t="shared" si="111"/>
        <v>0</v>
      </c>
      <c r="Q276">
        <f t="shared" si="112"/>
        <v>0</v>
      </c>
      <c r="R276">
        <f t="shared" si="113"/>
        <v>1</v>
      </c>
      <c r="S276">
        <f t="shared" si="114"/>
        <v>0</v>
      </c>
      <c r="T276">
        <f t="shared" si="115"/>
        <v>0</v>
      </c>
      <c r="U276">
        <f t="shared" si="116"/>
        <v>0</v>
      </c>
      <c r="V276">
        <f t="shared" si="117"/>
        <v>0</v>
      </c>
      <c r="W276">
        <f t="shared" si="118"/>
        <v>0</v>
      </c>
      <c r="X276">
        <f t="shared" si="119"/>
        <v>1</v>
      </c>
      <c r="Y276">
        <f t="shared" si="120"/>
        <v>0</v>
      </c>
      <c r="Z276">
        <f t="shared" si="121"/>
        <v>0</v>
      </c>
      <c r="AA276">
        <f t="shared" si="122"/>
        <v>0</v>
      </c>
      <c r="AB276">
        <f t="shared" si="105"/>
        <v>0</v>
      </c>
      <c r="AC276">
        <f t="shared" si="106"/>
        <v>0</v>
      </c>
      <c r="AD276">
        <f t="shared" si="107"/>
        <v>0</v>
      </c>
      <c r="AE276">
        <f t="shared" si="108"/>
        <v>0</v>
      </c>
      <c r="AF276">
        <f t="shared" si="109"/>
        <v>0</v>
      </c>
      <c r="AG276">
        <f t="shared" si="110"/>
        <v>0</v>
      </c>
      <c r="AH276">
        <f t="shared" si="123"/>
        <v>0</v>
      </c>
      <c r="AI276">
        <f t="shared" si="127"/>
        <v>0</v>
      </c>
      <c r="AJ276">
        <f t="shared" si="127"/>
        <v>0</v>
      </c>
      <c r="AK276">
        <f t="shared" si="127"/>
        <v>0</v>
      </c>
      <c r="AL276">
        <f t="shared" si="127"/>
        <v>0</v>
      </c>
      <c r="AM276">
        <f t="shared" si="127"/>
        <v>0</v>
      </c>
      <c r="AN276">
        <f t="shared" si="127"/>
        <v>0</v>
      </c>
      <c r="AO276">
        <f t="shared" si="127"/>
        <v>0</v>
      </c>
      <c r="AP276">
        <f t="shared" si="127"/>
        <v>0</v>
      </c>
      <c r="AQ276">
        <f t="shared" si="127"/>
        <v>0</v>
      </c>
      <c r="AR276">
        <f t="shared" si="127"/>
        <v>0</v>
      </c>
      <c r="AS276">
        <f t="shared" si="127"/>
        <v>1</v>
      </c>
      <c r="AT276">
        <f t="shared" si="127"/>
        <v>0</v>
      </c>
      <c r="AU276">
        <f t="shared" si="127"/>
        <v>0</v>
      </c>
      <c r="AV276">
        <f t="shared" si="127"/>
        <v>0</v>
      </c>
      <c r="AW276">
        <f t="shared" si="127"/>
        <v>0</v>
      </c>
      <c r="AX276">
        <f t="shared" si="124"/>
        <v>0</v>
      </c>
      <c r="AY276">
        <f t="shared" si="124"/>
        <v>1</v>
      </c>
      <c r="AZ276">
        <f t="shared" si="124"/>
        <v>0</v>
      </c>
      <c r="BA276">
        <f t="shared" si="125"/>
        <v>0</v>
      </c>
      <c r="BB276">
        <f t="shared" si="126"/>
        <v>1</v>
      </c>
    </row>
    <row r="277" spans="1:54">
      <c r="A277">
        <v>274</v>
      </c>
      <c r="B277" t="s">
        <v>20</v>
      </c>
      <c r="C277" t="s">
        <v>28</v>
      </c>
      <c r="D277" t="s">
        <v>24</v>
      </c>
      <c r="E277" t="s">
        <v>30</v>
      </c>
      <c r="F277" t="s">
        <v>29</v>
      </c>
      <c r="G277" t="s">
        <v>23</v>
      </c>
      <c r="H277" s="3">
        <v>3.8383126113883302E-2</v>
      </c>
      <c r="I277" s="3">
        <v>3.6610160336556299E-2</v>
      </c>
      <c r="J277" s="3">
        <v>3.2698743493877198E-2</v>
      </c>
      <c r="K277" s="3">
        <v>3.29893306108947E-2</v>
      </c>
      <c r="L277" s="3">
        <v>2.4676605110614001E-2</v>
      </c>
      <c r="M277" s="3">
        <v>1.9414399880283401E-2</v>
      </c>
      <c r="N277" s="3">
        <v>4.1601866251944002E-2</v>
      </c>
      <c r="O277" s="3">
        <v>2.67219515806764E-2</v>
      </c>
      <c r="P277">
        <f t="shared" si="111"/>
        <v>0</v>
      </c>
      <c r="Q277">
        <f t="shared" si="112"/>
        <v>0</v>
      </c>
      <c r="R277">
        <f t="shared" si="113"/>
        <v>1</v>
      </c>
      <c r="S277">
        <f t="shared" si="114"/>
        <v>0</v>
      </c>
      <c r="T277">
        <f t="shared" si="115"/>
        <v>0</v>
      </c>
      <c r="U277">
        <f t="shared" si="116"/>
        <v>0</v>
      </c>
      <c r="V277">
        <f t="shared" si="117"/>
        <v>0</v>
      </c>
      <c r="W277">
        <f t="shared" si="118"/>
        <v>0</v>
      </c>
      <c r="X277">
        <f t="shared" si="119"/>
        <v>0</v>
      </c>
      <c r="Y277">
        <f t="shared" si="120"/>
        <v>1</v>
      </c>
      <c r="Z277">
        <f t="shared" si="121"/>
        <v>0</v>
      </c>
      <c r="AA277">
        <f t="shared" si="122"/>
        <v>0</v>
      </c>
      <c r="AB277">
        <f t="shared" si="105"/>
        <v>0</v>
      </c>
      <c r="AC277">
        <f t="shared" si="106"/>
        <v>0</v>
      </c>
      <c r="AD277">
        <f t="shared" si="107"/>
        <v>0</v>
      </c>
      <c r="AE277">
        <f t="shared" si="108"/>
        <v>0</v>
      </c>
      <c r="AF277">
        <f t="shared" si="109"/>
        <v>0</v>
      </c>
      <c r="AG277">
        <f t="shared" si="110"/>
        <v>0</v>
      </c>
      <c r="AH277">
        <f t="shared" si="123"/>
        <v>0</v>
      </c>
      <c r="AI277">
        <f t="shared" si="127"/>
        <v>0</v>
      </c>
      <c r="AJ277">
        <f t="shared" si="127"/>
        <v>0</v>
      </c>
      <c r="AK277">
        <f t="shared" si="127"/>
        <v>0</v>
      </c>
      <c r="AL277">
        <f t="shared" si="127"/>
        <v>0</v>
      </c>
      <c r="AM277">
        <f t="shared" si="127"/>
        <v>0</v>
      </c>
      <c r="AN277">
        <f t="shared" si="127"/>
        <v>0</v>
      </c>
      <c r="AO277">
        <f t="shared" si="127"/>
        <v>0</v>
      </c>
      <c r="AP277">
        <f t="shared" si="127"/>
        <v>0</v>
      </c>
      <c r="AQ277">
        <f t="shared" si="127"/>
        <v>0</v>
      </c>
      <c r="AR277">
        <f t="shared" si="127"/>
        <v>0</v>
      </c>
      <c r="AS277">
        <f t="shared" si="127"/>
        <v>0</v>
      </c>
      <c r="AT277">
        <f t="shared" si="127"/>
        <v>0</v>
      </c>
      <c r="AU277">
        <f t="shared" si="127"/>
        <v>1</v>
      </c>
      <c r="AV277">
        <f t="shared" si="127"/>
        <v>0</v>
      </c>
      <c r="AW277">
        <f t="shared" si="127"/>
        <v>0</v>
      </c>
      <c r="AX277">
        <f t="shared" si="124"/>
        <v>0</v>
      </c>
      <c r="AY277">
        <f t="shared" si="124"/>
        <v>1</v>
      </c>
      <c r="AZ277">
        <f t="shared" si="124"/>
        <v>0</v>
      </c>
      <c r="BA277">
        <f t="shared" si="125"/>
        <v>0</v>
      </c>
      <c r="BB277">
        <f t="shared" si="126"/>
        <v>1</v>
      </c>
    </row>
    <row r="278" spans="1:54">
      <c r="A278">
        <v>275</v>
      </c>
      <c r="B278" t="s">
        <v>20</v>
      </c>
      <c r="C278" t="s">
        <v>28</v>
      </c>
      <c r="D278" t="s">
        <v>24</v>
      </c>
      <c r="E278" t="s">
        <v>30</v>
      </c>
      <c r="F278" t="s">
        <v>29</v>
      </c>
      <c r="G278" t="s">
        <v>24</v>
      </c>
      <c r="H278" s="3">
        <v>0.63144543199833403</v>
      </c>
      <c r="I278" s="3">
        <v>0.63973271398176901</v>
      </c>
      <c r="J278" s="3">
        <v>0.53856642085231698</v>
      </c>
      <c r="K278" s="3">
        <v>0.60983958060407195</v>
      </c>
      <c r="L278" s="3">
        <v>0.47894832123987802</v>
      </c>
      <c r="M278" s="3">
        <v>0.39955381128020501</v>
      </c>
      <c r="N278" s="3">
        <v>0.67612752721617397</v>
      </c>
      <c r="O278" s="3">
        <v>0.47342689657847398</v>
      </c>
      <c r="P278">
        <f t="shared" si="111"/>
        <v>0</v>
      </c>
      <c r="Q278">
        <f t="shared" si="112"/>
        <v>0</v>
      </c>
      <c r="R278">
        <f t="shared" si="113"/>
        <v>1</v>
      </c>
      <c r="S278">
        <f t="shared" si="114"/>
        <v>0</v>
      </c>
      <c r="T278">
        <f t="shared" si="115"/>
        <v>0</v>
      </c>
      <c r="U278">
        <f t="shared" si="116"/>
        <v>0</v>
      </c>
      <c r="V278">
        <f t="shared" si="117"/>
        <v>0</v>
      </c>
      <c r="W278">
        <f t="shared" si="118"/>
        <v>0</v>
      </c>
      <c r="X278">
        <f t="shared" si="119"/>
        <v>0</v>
      </c>
      <c r="Y278">
        <f t="shared" si="120"/>
        <v>0</v>
      </c>
      <c r="Z278">
        <f t="shared" si="121"/>
        <v>0</v>
      </c>
      <c r="AA278">
        <f t="shared" si="122"/>
        <v>1</v>
      </c>
      <c r="AB278">
        <f t="shared" si="105"/>
        <v>0</v>
      </c>
      <c r="AC278">
        <f t="shared" si="106"/>
        <v>0</v>
      </c>
      <c r="AD278">
        <f t="shared" si="107"/>
        <v>1</v>
      </c>
      <c r="AE278">
        <f t="shared" si="108"/>
        <v>0</v>
      </c>
      <c r="AF278">
        <f t="shared" si="109"/>
        <v>0</v>
      </c>
      <c r="AG278">
        <f t="shared" si="110"/>
        <v>0</v>
      </c>
      <c r="AH278">
        <f t="shared" si="123"/>
        <v>1</v>
      </c>
      <c r="AI278">
        <f t="shared" si="127"/>
        <v>0</v>
      </c>
      <c r="AJ278">
        <f t="shared" si="127"/>
        <v>0</v>
      </c>
      <c r="AK278">
        <f t="shared" si="127"/>
        <v>0</v>
      </c>
      <c r="AL278">
        <f t="shared" si="127"/>
        <v>0</v>
      </c>
      <c r="AM278">
        <f t="shared" si="127"/>
        <v>0</v>
      </c>
      <c r="AN278">
        <f t="shared" si="127"/>
        <v>0</v>
      </c>
      <c r="AO278">
        <f t="shared" si="127"/>
        <v>0</v>
      </c>
      <c r="AP278">
        <f t="shared" si="127"/>
        <v>0</v>
      </c>
      <c r="AQ278">
        <f t="shared" si="127"/>
        <v>0</v>
      </c>
      <c r="AR278">
        <f t="shared" si="127"/>
        <v>0</v>
      </c>
      <c r="AS278">
        <f t="shared" si="127"/>
        <v>0</v>
      </c>
      <c r="AT278">
        <f t="shared" si="127"/>
        <v>0</v>
      </c>
      <c r="AU278">
        <f t="shared" si="127"/>
        <v>0</v>
      </c>
      <c r="AV278">
        <f t="shared" si="127"/>
        <v>0</v>
      </c>
      <c r="AW278">
        <f t="shared" si="127"/>
        <v>0</v>
      </c>
      <c r="AX278">
        <f t="shared" si="124"/>
        <v>0</v>
      </c>
      <c r="AY278">
        <f t="shared" si="124"/>
        <v>1</v>
      </c>
      <c r="AZ278">
        <f t="shared" si="124"/>
        <v>0</v>
      </c>
      <c r="BA278">
        <f t="shared" si="125"/>
        <v>0</v>
      </c>
      <c r="BB278">
        <f t="shared" si="126"/>
        <v>1</v>
      </c>
    </row>
    <row r="279" spans="1:54">
      <c r="A279">
        <v>276</v>
      </c>
      <c r="B279" t="s">
        <v>20</v>
      </c>
      <c r="C279" t="s">
        <v>28</v>
      </c>
      <c r="D279" t="s">
        <v>24</v>
      </c>
      <c r="E279" t="s">
        <v>30</v>
      </c>
      <c r="F279" t="s">
        <v>29</v>
      </c>
      <c r="G279" t="s">
        <v>31</v>
      </c>
      <c r="H279" s="3">
        <v>4.7311786329777103E-2</v>
      </c>
      <c r="I279" s="3">
        <v>4.4644012518270701E-2</v>
      </c>
      <c r="J279" s="3">
        <v>4.0948843416598497E-2</v>
      </c>
      <c r="K279" s="3">
        <v>4.0461156005662899E-2</v>
      </c>
      <c r="L279" s="3">
        <v>3.2503427582748698E-2</v>
      </c>
      <c r="M279" s="3">
        <v>2.6483976204974499E-2</v>
      </c>
      <c r="N279" s="3">
        <v>5.0544323483670203E-2</v>
      </c>
      <c r="O279" s="3">
        <v>3.3978390849128202E-2</v>
      </c>
      <c r="P279">
        <f t="shared" si="111"/>
        <v>0</v>
      </c>
      <c r="Q279">
        <f t="shared" si="112"/>
        <v>0</v>
      </c>
      <c r="R279">
        <f t="shared" si="113"/>
        <v>1</v>
      </c>
      <c r="S279">
        <f t="shared" si="114"/>
        <v>0</v>
      </c>
      <c r="T279">
        <f t="shared" si="115"/>
        <v>0</v>
      </c>
      <c r="U279">
        <f t="shared" si="116"/>
        <v>0</v>
      </c>
      <c r="V279">
        <f t="shared" si="117"/>
        <v>0</v>
      </c>
      <c r="W279">
        <f t="shared" si="118"/>
        <v>0</v>
      </c>
      <c r="X279">
        <f t="shared" si="119"/>
        <v>0</v>
      </c>
      <c r="Y279">
        <f t="shared" si="120"/>
        <v>0</v>
      </c>
      <c r="Z279">
        <f t="shared" si="121"/>
        <v>1</v>
      </c>
      <c r="AA279">
        <f t="shared" si="122"/>
        <v>0</v>
      </c>
      <c r="AB279">
        <f t="shared" si="105"/>
        <v>0</v>
      </c>
      <c r="AC279">
        <f t="shared" si="106"/>
        <v>0</v>
      </c>
      <c r="AD279">
        <f t="shared" si="107"/>
        <v>0</v>
      </c>
      <c r="AE279">
        <f t="shared" si="108"/>
        <v>0</v>
      </c>
      <c r="AF279">
        <f t="shared" si="109"/>
        <v>0</v>
      </c>
      <c r="AG279">
        <f t="shared" si="110"/>
        <v>0</v>
      </c>
      <c r="AH279">
        <f t="shared" si="123"/>
        <v>0</v>
      </c>
      <c r="AI279">
        <f t="shared" si="127"/>
        <v>0</v>
      </c>
      <c r="AJ279">
        <f t="shared" si="127"/>
        <v>0</v>
      </c>
      <c r="AK279">
        <f t="shared" si="127"/>
        <v>0</v>
      </c>
      <c r="AL279">
        <f t="shared" si="127"/>
        <v>0</v>
      </c>
      <c r="AM279">
        <f t="shared" si="127"/>
        <v>0</v>
      </c>
      <c r="AN279">
        <f t="shared" si="127"/>
        <v>0</v>
      </c>
      <c r="AO279">
        <f t="shared" si="127"/>
        <v>0</v>
      </c>
      <c r="AP279">
        <f t="shared" si="127"/>
        <v>0</v>
      </c>
      <c r="AQ279">
        <f t="shared" si="127"/>
        <v>0</v>
      </c>
      <c r="AR279">
        <f t="shared" si="127"/>
        <v>0</v>
      </c>
      <c r="AS279">
        <f t="shared" si="127"/>
        <v>0</v>
      </c>
      <c r="AT279">
        <f t="shared" si="127"/>
        <v>0</v>
      </c>
      <c r="AU279">
        <f t="shared" si="127"/>
        <v>0</v>
      </c>
      <c r="AV279">
        <f t="shared" si="127"/>
        <v>0</v>
      </c>
      <c r="AW279">
        <f t="shared" si="127"/>
        <v>0</v>
      </c>
      <c r="AX279">
        <f t="shared" si="124"/>
        <v>0</v>
      </c>
      <c r="AY279">
        <f t="shared" si="124"/>
        <v>1</v>
      </c>
      <c r="AZ279">
        <f t="shared" si="124"/>
        <v>0</v>
      </c>
      <c r="BA279">
        <f t="shared" si="125"/>
        <v>0</v>
      </c>
      <c r="BB279">
        <f t="shared" si="126"/>
        <v>1</v>
      </c>
    </row>
    <row r="280" spans="1:54">
      <c r="A280">
        <v>277</v>
      </c>
      <c r="B280" t="s">
        <v>20</v>
      </c>
      <c r="C280" t="s">
        <v>28</v>
      </c>
      <c r="D280" t="s">
        <v>24</v>
      </c>
      <c r="E280" t="s">
        <v>30</v>
      </c>
      <c r="F280" t="s">
        <v>29</v>
      </c>
      <c r="G280" t="s">
        <v>25</v>
      </c>
      <c r="H280" s="3">
        <v>0.117664164773281</v>
      </c>
      <c r="I280" s="3">
        <v>0.111936365398183</v>
      </c>
      <c r="J280" s="3">
        <v>9.9694245903648601E-2</v>
      </c>
      <c r="K280" s="3">
        <v>9.9611468047872104E-2</v>
      </c>
      <c r="L280" s="3">
        <v>7.5713645654617898E-2</v>
      </c>
      <c r="M280" s="3">
        <v>5.9584801252851399E-2</v>
      </c>
      <c r="N280" s="3">
        <v>0.129106847045831</v>
      </c>
      <c r="O280" s="3">
        <v>7.9244944236157203E-2</v>
      </c>
      <c r="P280">
        <f t="shared" si="111"/>
        <v>0</v>
      </c>
      <c r="Q280">
        <f t="shared" si="112"/>
        <v>0</v>
      </c>
      <c r="R280">
        <f t="shared" si="113"/>
        <v>1</v>
      </c>
      <c r="S280">
        <f t="shared" si="114"/>
        <v>0</v>
      </c>
      <c r="T280">
        <f t="shared" si="115"/>
        <v>0</v>
      </c>
      <c r="U280">
        <f t="shared" si="116"/>
        <v>0</v>
      </c>
      <c r="V280">
        <f t="shared" si="117"/>
        <v>0</v>
      </c>
      <c r="W280">
        <f t="shared" si="118"/>
        <v>0</v>
      </c>
      <c r="X280">
        <f t="shared" si="119"/>
        <v>0</v>
      </c>
      <c r="Y280">
        <f t="shared" si="120"/>
        <v>0</v>
      </c>
      <c r="Z280">
        <f t="shared" si="121"/>
        <v>0</v>
      </c>
      <c r="AA280">
        <f t="shared" si="122"/>
        <v>0</v>
      </c>
      <c r="AB280">
        <f t="shared" si="105"/>
        <v>0</v>
      </c>
      <c r="AC280">
        <f t="shared" si="106"/>
        <v>0</v>
      </c>
      <c r="AD280">
        <f t="shared" si="107"/>
        <v>0</v>
      </c>
      <c r="AE280">
        <f t="shared" si="108"/>
        <v>0</v>
      </c>
      <c r="AF280">
        <f t="shared" si="109"/>
        <v>0</v>
      </c>
      <c r="AG280">
        <f t="shared" si="110"/>
        <v>0</v>
      </c>
      <c r="AH280">
        <f t="shared" si="123"/>
        <v>0</v>
      </c>
      <c r="AI280">
        <f t="shared" si="127"/>
        <v>0</v>
      </c>
      <c r="AJ280">
        <f t="shared" si="127"/>
        <v>0</v>
      </c>
      <c r="AK280">
        <f t="shared" si="127"/>
        <v>0</v>
      </c>
      <c r="AL280">
        <f t="shared" si="127"/>
        <v>0</v>
      </c>
      <c r="AM280">
        <f t="shared" si="127"/>
        <v>0</v>
      </c>
      <c r="AN280">
        <f t="shared" si="127"/>
        <v>0</v>
      </c>
      <c r="AO280">
        <f t="shared" si="127"/>
        <v>0</v>
      </c>
      <c r="AP280">
        <f t="shared" si="127"/>
        <v>1</v>
      </c>
      <c r="AQ280">
        <f t="shared" si="127"/>
        <v>0</v>
      </c>
      <c r="AR280">
        <f t="shared" si="127"/>
        <v>0</v>
      </c>
      <c r="AS280">
        <f t="shared" si="127"/>
        <v>0</v>
      </c>
      <c r="AT280">
        <f t="shared" si="127"/>
        <v>0</v>
      </c>
      <c r="AU280">
        <f t="shared" si="127"/>
        <v>0</v>
      </c>
      <c r="AV280">
        <f t="shared" si="127"/>
        <v>0</v>
      </c>
      <c r="AW280">
        <f t="shared" si="127"/>
        <v>0</v>
      </c>
      <c r="AX280">
        <f t="shared" si="124"/>
        <v>0</v>
      </c>
      <c r="AY280">
        <f t="shared" si="124"/>
        <v>1</v>
      </c>
      <c r="AZ280">
        <f t="shared" si="124"/>
        <v>0</v>
      </c>
      <c r="BA280">
        <f t="shared" si="125"/>
        <v>1</v>
      </c>
      <c r="BB280">
        <f t="shared" si="126"/>
        <v>1</v>
      </c>
    </row>
    <row r="281" spans="1:54">
      <c r="A281">
        <v>278</v>
      </c>
      <c r="B281" t="s">
        <v>20</v>
      </c>
      <c r="C281" t="s">
        <v>28</v>
      </c>
      <c r="D281" t="s">
        <v>24</v>
      </c>
      <c r="E281" t="s">
        <v>30</v>
      </c>
      <c r="F281" t="s">
        <v>29</v>
      </c>
      <c r="G281" t="s">
        <v>26</v>
      </c>
      <c r="H281" s="3">
        <v>0.120297350220558</v>
      </c>
      <c r="I281" s="3">
        <v>0.114298565330683</v>
      </c>
      <c r="J281" s="3">
        <v>0.10193965551331199</v>
      </c>
      <c r="K281" s="3">
        <v>0.10160591372200101</v>
      </c>
      <c r="L281" s="3">
        <v>7.7455996232121099E-2</v>
      </c>
      <c r="M281" s="3">
        <v>6.0951707840792402E-2</v>
      </c>
      <c r="N281" s="3">
        <v>0.13203285420944499</v>
      </c>
      <c r="O281" s="3">
        <v>8.1051638925527705E-2</v>
      </c>
      <c r="P281">
        <f t="shared" si="111"/>
        <v>0</v>
      </c>
      <c r="Q281">
        <f t="shared" si="112"/>
        <v>0</v>
      </c>
      <c r="R281">
        <f t="shared" si="113"/>
        <v>1</v>
      </c>
      <c r="S281">
        <f t="shared" si="114"/>
        <v>0</v>
      </c>
      <c r="T281">
        <f t="shared" si="115"/>
        <v>0</v>
      </c>
      <c r="U281">
        <f t="shared" si="116"/>
        <v>0</v>
      </c>
      <c r="V281">
        <f t="shared" si="117"/>
        <v>0</v>
      </c>
      <c r="W281">
        <f t="shared" si="118"/>
        <v>0</v>
      </c>
      <c r="X281">
        <f t="shared" si="119"/>
        <v>0</v>
      </c>
      <c r="Y281">
        <f t="shared" si="120"/>
        <v>0</v>
      </c>
      <c r="Z281">
        <f t="shared" si="121"/>
        <v>0</v>
      </c>
      <c r="AA281">
        <f t="shared" si="122"/>
        <v>0</v>
      </c>
      <c r="AB281">
        <f t="shared" si="105"/>
        <v>0</v>
      </c>
      <c r="AC281">
        <f t="shared" si="106"/>
        <v>0</v>
      </c>
      <c r="AD281">
        <f t="shared" si="107"/>
        <v>0</v>
      </c>
      <c r="AE281">
        <f t="shared" si="108"/>
        <v>0</v>
      </c>
      <c r="AF281">
        <f t="shared" si="109"/>
        <v>0</v>
      </c>
      <c r="AG281">
        <f t="shared" si="110"/>
        <v>0</v>
      </c>
      <c r="AH281">
        <f t="shared" si="123"/>
        <v>0</v>
      </c>
      <c r="AI281">
        <f t="shared" si="127"/>
        <v>0</v>
      </c>
      <c r="AJ281">
        <f t="shared" si="127"/>
        <v>0</v>
      </c>
      <c r="AK281">
        <f t="shared" si="127"/>
        <v>0</v>
      </c>
      <c r="AL281">
        <f t="shared" si="127"/>
        <v>1</v>
      </c>
      <c r="AM281">
        <f t="shared" si="127"/>
        <v>0</v>
      </c>
      <c r="AN281">
        <f t="shared" si="127"/>
        <v>0</v>
      </c>
      <c r="AO281">
        <f t="shared" si="127"/>
        <v>0</v>
      </c>
      <c r="AP281">
        <f t="shared" si="127"/>
        <v>0</v>
      </c>
      <c r="AQ281">
        <f t="shared" si="127"/>
        <v>0</v>
      </c>
      <c r="AR281">
        <f t="shared" si="127"/>
        <v>0</v>
      </c>
      <c r="AS281">
        <f t="shared" si="127"/>
        <v>0</v>
      </c>
      <c r="AT281">
        <f t="shared" si="127"/>
        <v>0</v>
      </c>
      <c r="AU281">
        <f t="shared" si="127"/>
        <v>0</v>
      </c>
      <c r="AV281">
        <f t="shared" si="127"/>
        <v>0</v>
      </c>
      <c r="AW281">
        <f t="shared" si="127"/>
        <v>0</v>
      </c>
      <c r="AX281">
        <f t="shared" si="124"/>
        <v>0</v>
      </c>
      <c r="AY281">
        <f t="shared" si="124"/>
        <v>1</v>
      </c>
      <c r="AZ281">
        <f t="shared" si="124"/>
        <v>0</v>
      </c>
      <c r="BA281">
        <f t="shared" si="125"/>
        <v>1</v>
      </c>
      <c r="BB281">
        <f t="shared" si="126"/>
        <v>1</v>
      </c>
    </row>
    <row r="282" spans="1:54">
      <c r="A282">
        <v>279</v>
      </c>
      <c r="B282" t="s">
        <v>20</v>
      </c>
      <c r="C282" t="s">
        <v>28</v>
      </c>
      <c r="D282" t="s">
        <v>25</v>
      </c>
      <c r="E282" t="s">
        <v>20</v>
      </c>
      <c r="F282" t="s">
        <v>28</v>
      </c>
      <c r="G282" t="s">
        <v>26</v>
      </c>
      <c r="H282" s="3">
        <v>0.983715362233198</v>
      </c>
      <c r="I282" s="3">
        <v>0.98228011372372304</v>
      </c>
      <c r="J282" s="3">
        <v>0.97878057140919505</v>
      </c>
      <c r="K282" s="3">
        <v>0.98025298601178601</v>
      </c>
      <c r="L282" s="3">
        <v>0.97571876389779499</v>
      </c>
      <c r="M282" s="3">
        <v>0.972457680955638</v>
      </c>
      <c r="N282" s="3">
        <v>0.98523767345733604</v>
      </c>
      <c r="O282" s="3">
        <v>0.97562757322469296</v>
      </c>
      <c r="P282">
        <f t="shared" si="111"/>
        <v>0</v>
      </c>
      <c r="Q282">
        <f t="shared" si="112"/>
        <v>0</v>
      </c>
      <c r="R282">
        <f t="shared" si="113"/>
        <v>0</v>
      </c>
      <c r="S282">
        <f t="shared" si="114"/>
        <v>0</v>
      </c>
      <c r="T282">
        <f t="shared" si="115"/>
        <v>0</v>
      </c>
      <c r="U282">
        <f t="shared" si="116"/>
        <v>0</v>
      </c>
      <c r="V282">
        <f t="shared" si="117"/>
        <v>0</v>
      </c>
      <c r="W282">
        <f t="shared" si="118"/>
        <v>0</v>
      </c>
      <c r="X282">
        <f t="shared" si="119"/>
        <v>0</v>
      </c>
      <c r="Y282">
        <f t="shared" si="120"/>
        <v>0</v>
      </c>
      <c r="Z282">
        <f t="shared" si="121"/>
        <v>0</v>
      </c>
      <c r="AA282">
        <f t="shared" si="122"/>
        <v>0</v>
      </c>
      <c r="AB282">
        <f t="shared" si="105"/>
        <v>0</v>
      </c>
      <c r="AC282">
        <f t="shared" si="106"/>
        <v>0</v>
      </c>
      <c r="AD282">
        <f t="shared" si="107"/>
        <v>0</v>
      </c>
      <c r="AE282">
        <f t="shared" si="108"/>
        <v>1</v>
      </c>
      <c r="AF282">
        <f t="shared" si="109"/>
        <v>1</v>
      </c>
      <c r="AG282">
        <f t="shared" si="110"/>
        <v>1</v>
      </c>
      <c r="AH282">
        <f t="shared" si="123"/>
        <v>1</v>
      </c>
      <c r="AI282">
        <f t="shared" si="127"/>
        <v>1</v>
      </c>
      <c r="AJ282">
        <f t="shared" si="127"/>
        <v>0</v>
      </c>
      <c r="AK282">
        <f t="shared" si="127"/>
        <v>0</v>
      </c>
      <c r="AL282">
        <f t="shared" si="127"/>
        <v>0</v>
      </c>
      <c r="AM282">
        <f t="shared" si="127"/>
        <v>0</v>
      </c>
      <c r="AN282">
        <f t="shared" si="127"/>
        <v>0</v>
      </c>
      <c r="AO282">
        <f t="shared" si="127"/>
        <v>0</v>
      </c>
      <c r="AP282">
        <f t="shared" si="127"/>
        <v>0</v>
      </c>
      <c r="AQ282">
        <f t="shared" si="127"/>
        <v>0</v>
      </c>
      <c r="AR282">
        <f t="shared" si="127"/>
        <v>0</v>
      </c>
      <c r="AS282">
        <f t="shared" si="127"/>
        <v>0</v>
      </c>
      <c r="AT282">
        <f t="shared" si="127"/>
        <v>0</v>
      </c>
      <c r="AU282">
        <f t="shared" si="127"/>
        <v>0</v>
      </c>
      <c r="AV282">
        <f t="shared" si="127"/>
        <v>0</v>
      </c>
      <c r="AW282">
        <f t="shared" si="127"/>
        <v>0</v>
      </c>
      <c r="AX282">
        <f t="shared" si="124"/>
        <v>0</v>
      </c>
      <c r="AY282">
        <f t="shared" si="124"/>
        <v>0</v>
      </c>
      <c r="AZ282">
        <f t="shared" si="124"/>
        <v>0</v>
      </c>
      <c r="BA282">
        <f t="shared" si="125"/>
        <v>1</v>
      </c>
      <c r="BB282">
        <f t="shared" si="126"/>
        <v>0</v>
      </c>
    </row>
    <row r="283" spans="1:54">
      <c r="A283">
        <v>280</v>
      </c>
      <c r="B283" t="s">
        <v>20</v>
      </c>
      <c r="C283" t="s">
        <v>28</v>
      </c>
      <c r="D283" t="s">
        <v>25</v>
      </c>
      <c r="E283" t="s">
        <v>20</v>
      </c>
      <c r="F283" t="s">
        <v>28</v>
      </c>
      <c r="G283" t="s">
        <v>27</v>
      </c>
      <c r="H283" s="3">
        <v>0.17458153081244901</v>
      </c>
      <c r="I283" s="3">
        <v>0.17327646841830899</v>
      </c>
      <c r="J283" s="3">
        <v>0.146227239238369</v>
      </c>
      <c r="K283" s="3">
        <v>0.15120829425069399</v>
      </c>
      <c r="L283" s="3">
        <v>0.109721480412525</v>
      </c>
      <c r="M283" s="3">
        <v>8.3247675472700899E-2</v>
      </c>
      <c r="N283" s="3">
        <v>0.206967818128137</v>
      </c>
      <c r="O283" s="3">
        <v>0.11332014480002101</v>
      </c>
      <c r="P283">
        <f t="shared" si="111"/>
        <v>0</v>
      </c>
      <c r="Q283">
        <f t="shared" si="112"/>
        <v>0</v>
      </c>
      <c r="R283">
        <f t="shared" si="113"/>
        <v>0</v>
      </c>
      <c r="S283">
        <f t="shared" si="114"/>
        <v>1</v>
      </c>
      <c r="T283">
        <f t="shared" si="115"/>
        <v>0</v>
      </c>
      <c r="U283">
        <f t="shared" si="116"/>
        <v>0</v>
      </c>
      <c r="V283">
        <f t="shared" si="117"/>
        <v>0</v>
      </c>
      <c r="W283">
        <f t="shared" si="118"/>
        <v>0</v>
      </c>
      <c r="X283">
        <f t="shared" si="119"/>
        <v>0</v>
      </c>
      <c r="Y283">
        <f t="shared" si="120"/>
        <v>0</v>
      </c>
      <c r="Z283">
        <f t="shared" si="121"/>
        <v>0</v>
      </c>
      <c r="AA283">
        <f t="shared" si="122"/>
        <v>0</v>
      </c>
      <c r="AB283">
        <f t="shared" si="105"/>
        <v>0</v>
      </c>
      <c r="AC283">
        <f t="shared" si="106"/>
        <v>0</v>
      </c>
      <c r="AD283">
        <f t="shared" si="107"/>
        <v>0</v>
      </c>
      <c r="AE283">
        <f t="shared" si="108"/>
        <v>0</v>
      </c>
      <c r="AF283">
        <f t="shared" si="109"/>
        <v>1</v>
      </c>
      <c r="AG283">
        <f t="shared" si="110"/>
        <v>1</v>
      </c>
      <c r="AH283">
        <f t="shared" si="123"/>
        <v>0</v>
      </c>
      <c r="AI283">
        <f t="shared" si="127"/>
        <v>0</v>
      </c>
      <c r="AJ283">
        <f t="shared" si="127"/>
        <v>0</v>
      </c>
      <c r="AK283">
        <f t="shared" si="127"/>
        <v>0</v>
      </c>
      <c r="AL283">
        <f t="shared" si="127"/>
        <v>0</v>
      </c>
      <c r="AM283">
        <f t="shared" si="127"/>
        <v>0</v>
      </c>
      <c r="AN283">
        <f t="shared" si="127"/>
        <v>0</v>
      </c>
      <c r="AO283">
        <f t="shared" si="127"/>
        <v>0</v>
      </c>
      <c r="AP283">
        <f t="shared" si="127"/>
        <v>0</v>
      </c>
      <c r="AQ283">
        <f t="shared" si="127"/>
        <v>1</v>
      </c>
      <c r="AR283">
        <f t="shared" si="127"/>
        <v>0</v>
      </c>
      <c r="AS283">
        <f t="shared" si="127"/>
        <v>0</v>
      </c>
      <c r="AT283">
        <f t="shared" si="127"/>
        <v>0</v>
      </c>
      <c r="AU283">
        <f t="shared" si="127"/>
        <v>0</v>
      </c>
      <c r="AV283">
        <f t="shared" si="127"/>
        <v>0</v>
      </c>
      <c r="AW283">
        <f t="shared" si="127"/>
        <v>0</v>
      </c>
      <c r="AX283">
        <f t="shared" si="124"/>
        <v>0</v>
      </c>
      <c r="AY283">
        <f t="shared" si="124"/>
        <v>0</v>
      </c>
      <c r="AZ283">
        <f t="shared" si="124"/>
        <v>0</v>
      </c>
      <c r="BA283">
        <f t="shared" si="125"/>
        <v>1</v>
      </c>
      <c r="BB283">
        <f t="shared" si="126"/>
        <v>0</v>
      </c>
    </row>
    <row r="284" spans="1:54">
      <c r="A284">
        <v>281</v>
      </c>
      <c r="B284" t="s">
        <v>20</v>
      </c>
      <c r="C284" t="s">
        <v>28</v>
      </c>
      <c r="D284" t="s">
        <v>25</v>
      </c>
      <c r="E284" t="s">
        <v>20</v>
      </c>
      <c r="F284" t="s">
        <v>29</v>
      </c>
      <c r="G284" t="s">
        <v>22</v>
      </c>
      <c r="H284" s="3">
        <v>0.51495789011746995</v>
      </c>
      <c r="I284" s="3">
        <v>0.49866306503093999</v>
      </c>
      <c r="J284" s="3">
        <v>0.43005339570176598</v>
      </c>
      <c r="K284" s="3">
        <v>0.42540386309870099</v>
      </c>
      <c r="L284" s="3">
        <v>0.31633122937061098</v>
      </c>
      <c r="M284" s="3">
        <v>0.23254034804955401</v>
      </c>
      <c r="N284" s="3">
        <v>0.61544634616907201</v>
      </c>
      <c r="O284" s="3">
        <v>0.32503175474553903</v>
      </c>
      <c r="P284">
        <f t="shared" si="111"/>
        <v>0</v>
      </c>
      <c r="Q284">
        <f t="shared" si="112"/>
        <v>0</v>
      </c>
      <c r="R284">
        <f t="shared" si="113"/>
        <v>0</v>
      </c>
      <c r="S284">
        <f t="shared" si="114"/>
        <v>0</v>
      </c>
      <c r="T284">
        <f t="shared" si="115"/>
        <v>0</v>
      </c>
      <c r="U284">
        <f t="shared" si="116"/>
        <v>0</v>
      </c>
      <c r="V284">
        <f t="shared" si="117"/>
        <v>0</v>
      </c>
      <c r="W284">
        <f t="shared" si="118"/>
        <v>0</v>
      </c>
      <c r="X284">
        <f t="shared" si="119"/>
        <v>1</v>
      </c>
      <c r="Y284">
        <f t="shared" si="120"/>
        <v>0</v>
      </c>
      <c r="Z284">
        <f t="shared" si="121"/>
        <v>0</v>
      </c>
      <c r="AA284">
        <f t="shared" si="122"/>
        <v>0</v>
      </c>
      <c r="AB284">
        <f t="shared" si="105"/>
        <v>0</v>
      </c>
      <c r="AC284">
        <f t="shared" si="106"/>
        <v>0</v>
      </c>
      <c r="AD284">
        <f t="shared" si="107"/>
        <v>0</v>
      </c>
      <c r="AE284">
        <f t="shared" si="108"/>
        <v>0</v>
      </c>
      <c r="AF284">
        <f t="shared" si="109"/>
        <v>0</v>
      </c>
      <c r="AG284">
        <f t="shared" si="110"/>
        <v>1</v>
      </c>
      <c r="AH284">
        <f t="shared" si="123"/>
        <v>0</v>
      </c>
      <c r="AI284">
        <f t="shared" si="127"/>
        <v>0</v>
      </c>
      <c r="AJ284">
        <f t="shared" si="127"/>
        <v>0</v>
      </c>
      <c r="AK284">
        <f t="shared" si="127"/>
        <v>0</v>
      </c>
      <c r="AL284">
        <f t="shared" si="127"/>
        <v>0</v>
      </c>
      <c r="AM284">
        <f t="shared" si="127"/>
        <v>0</v>
      </c>
      <c r="AN284">
        <f t="shared" si="127"/>
        <v>1</v>
      </c>
      <c r="AO284">
        <f t="shared" si="127"/>
        <v>0</v>
      </c>
      <c r="AP284">
        <f t="shared" si="127"/>
        <v>0</v>
      </c>
      <c r="AQ284">
        <f t="shared" si="127"/>
        <v>0</v>
      </c>
      <c r="AR284">
        <f t="shared" si="127"/>
        <v>0</v>
      </c>
      <c r="AS284">
        <f t="shared" si="127"/>
        <v>0</v>
      </c>
      <c r="AT284">
        <f t="shared" si="127"/>
        <v>0</v>
      </c>
      <c r="AU284">
        <f t="shared" si="127"/>
        <v>0</v>
      </c>
      <c r="AV284">
        <f t="shared" si="127"/>
        <v>0</v>
      </c>
      <c r="AW284">
        <f t="shared" si="127"/>
        <v>0</v>
      </c>
      <c r="AX284">
        <f t="shared" si="124"/>
        <v>0</v>
      </c>
      <c r="AY284">
        <f t="shared" si="124"/>
        <v>1</v>
      </c>
      <c r="AZ284">
        <f t="shared" si="124"/>
        <v>0</v>
      </c>
      <c r="BA284">
        <f t="shared" si="125"/>
        <v>1</v>
      </c>
      <c r="BB284">
        <f t="shared" si="126"/>
        <v>1</v>
      </c>
    </row>
    <row r="285" spans="1:54">
      <c r="A285">
        <v>282</v>
      </c>
      <c r="B285" t="s">
        <v>20</v>
      </c>
      <c r="C285" t="s">
        <v>28</v>
      </c>
      <c r="D285" t="s">
        <v>25</v>
      </c>
      <c r="E285" t="s">
        <v>20</v>
      </c>
      <c r="F285" t="s">
        <v>29</v>
      </c>
      <c r="G285" t="s">
        <v>23</v>
      </c>
      <c r="H285" s="3">
        <v>2.9534555408404901E-2</v>
      </c>
      <c r="I285" s="3">
        <v>2.8705823817671599E-2</v>
      </c>
      <c r="J285" s="3">
        <v>2.52834675227789E-2</v>
      </c>
      <c r="K285" s="3">
        <v>2.5805707450629298E-2</v>
      </c>
      <c r="L285" s="3">
        <v>1.91762754724282E-2</v>
      </c>
      <c r="M285" s="3">
        <v>1.53064189545828E-2</v>
      </c>
      <c r="N285" s="3">
        <v>3.2772364924712097E-2</v>
      </c>
      <c r="O285" s="3">
        <v>2.0570807194432099E-2</v>
      </c>
      <c r="P285">
        <f t="shared" si="111"/>
        <v>0</v>
      </c>
      <c r="Q285">
        <f t="shared" si="112"/>
        <v>0</v>
      </c>
      <c r="R285">
        <f t="shared" si="113"/>
        <v>0</v>
      </c>
      <c r="S285">
        <f t="shared" si="114"/>
        <v>0</v>
      </c>
      <c r="T285">
        <f t="shared" si="115"/>
        <v>0</v>
      </c>
      <c r="U285">
        <f t="shared" si="116"/>
        <v>0</v>
      </c>
      <c r="V285">
        <f t="shared" si="117"/>
        <v>0</v>
      </c>
      <c r="W285">
        <f t="shared" si="118"/>
        <v>0</v>
      </c>
      <c r="X285">
        <f t="shared" si="119"/>
        <v>0</v>
      </c>
      <c r="Y285">
        <f t="shared" si="120"/>
        <v>1</v>
      </c>
      <c r="Z285">
        <f t="shared" si="121"/>
        <v>0</v>
      </c>
      <c r="AA285">
        <f t="shared" si="122"/>
        <v>0</v>
      </c>
      <c r="AB285">
        <f t="shared" si="105"/>
        <v>0</v>
      </c>
      <c r="AC285">
        <f t="shared" si="106"/>
        <v>0</v>
      </c>
      <c r="AD285">
        <f t="shared" si="107"/>
        <v>0</v>
      </c>
      <c r="AE285">
        <f t="shared" si="108"/>
        <v>0</v>
      </c>
      <c r="AF285">
        <f t="shared" si="109"/>
        <v>0</v>
      </c>
      <c r="AG285">
        <f t="shared" si="110"/>
        <v>1</v>
      </c>
      <c r="AH285">
        <f t="shared" si="123"/>
        <v>0</v>
      </c>
      <c r="AI285">
        <f t="shared" si="127"/>
        <v>0</v>
      </c>
      <c r="AJ285">
        <f t="shared" si="127"/>
        <v>0</v>
      </c>
      <c r="AK285">
        <f t="shared" si="127"/>
        <v>0</v>
      </c>
      <c r="AL285">
        <f t="shared" si="127"/>
        <v>0</v>
      </c>
      <c r="AM285">
        <f t="shared" si="127"/>
        <v>0</v>
      </c>
      <c r="AN285">
        <f t="shared" si="127"/>
        <v>0</v>
      </c>
      <c r="AO285">
        <f t="shared" si="127"/>
        <v>1</v>
      </c>
      <c r="AP285">
        <f t="shared" si="127"/>
        <v>0</v>
      </c>
      <c r="AQ285">
        <f t="shared" si="127"/>
        <v>0</v>
      </c>
      <c r="AR285">
        <f t="shared" si="127"/>
        <v>0</v>
      </c>
      <c r="AS285">
        <f t="shared" si="127"/>
        <v>0</v>
      </c>
      <c r="AT285">
        <f t="shared" si="127"/>
        <v>0</v>
      </c>
      <c r="AU285">
        <f t="shared" si="127"/>
        <v>0</v>
      </c>
      <c r="AV285">
        <f t="shared" si="127"/>
        <v>0</v>
      </c>
      <c r="AW285">
        <f t="shared" si="127"/>
        <v>0</v>
      </c>
      <c r="AX285">
        <f t="shared" si="124"/>
        <v>0</v>
      </c>
      <c r="AY285">
        <f t="shared" si="124"/>
        <v>1</v>
      </c>
      <c r="AZ285">
        <f t="shared" si="124"/>
        <v>0</v>
      </c>
      <c r="BA285">
        <f t="shared" si="125"/>
        <v>1</v>
      </c>
      <c r="BB285">
        <f t="shared" si="126"/>
        <v>1</v>
      </c>
    </row>
    <row r="286" spans="1:54">
      <c r="A286">
        <v>283</v>
      </c>
      <c r="B286" t="s">
        <v>20</v>
      </c>
      <c r="C286" t="s">
        <v>28</v>
      </c>
      <c r="D286" t="s">
        <v>25</v>
      </c>
      <c r="E286" t="s">
        <v>20</v>
      </c>
      <c r="F286" t="s">
        <v>29</v>
      </c>
      <c r="G286" t="s">
        <v>24</v>
      </c>
      <c r="H286" s="3">
        <v>0.59995770533395598</v>
      </c>
      <c r="I286" s="3">
        <v>0.55248124185009295</v>
      </c>
      <c r="J286" s="3">
        <v>0.50925758845553604</v>
      </c>
      <c r="K286" s="3">
        <v>0.46935744098554999</v>
      </c>
      <c r="L286" s="3">
        <v>0.34898665127658302</v>
      </c>
      <c r="M286" s="3">
        <v>0.25487730045700102</v>
      </c>
      <c r="N286" s="3">
        <v>0.662523987645251</v>
      </c>
      <c r="O286" s="3">
        <v>0.38401647009180201</v>
      </c>
      <c r="P286">
        <f t="shared" si="111"/>
        <v>0</v>
      </c>
      <c r="Q286">
        <f t="shared" si="112"/>
        <v>0</v>
      </c>
      <c r="R286">
        <f t="shared" si="113"/>
        <v>0</v>
      </c>
      <c r="S286">
        <f t="shared" si="114"/>
        <v>0</v>
      </c>
      <c r="T286">
        <f t="shared" si="115"/>
        <v>0</v>
      </c>
      <c r="U286">
        <f t="shared" si="116"/>
        <v>0</v>
      </c>
      <c r="V286">
        <f t="shared" si="117"/>
        <v>0</v>
      </c>
      <c r="W286">
        <f t="shared" si="118"/>
        <v>0</v>
      </c>
      <c r="X286">
        <f t="shared" si="119"/>
        <v>0</v>
      </c>
      <c r="Y286">
        <f t="shared" si="120"/>
        <v>0</v>
      </c>
      <c r="Z286">
        <f t="shared" si="121"/>
        <v>0</v>
      </c>
      <c r="AA286">
        <f t="shared" si="122"/>
        <v>1</v>
      </c>
      <c r="AB286">
        <f t="shared" si="105"/>
        <v>0</v>
      </c>
      <c r="AC286">
        <f t="shared" si="106"/>
        <v>0</v>
      </c>
      <c r="AD286">
        <f t="shared" si="107"/>
        <v>0</v>
      </c>
      <c r="AE286">
        <f t="shared" si="108"/>
        <v>0</v>
      </c>
      <c r="AF286">
        <f t="shared" si="109"/>
        <v>0</v>
      </c>
      <c r="AG286">
        <f t="shared" si="110"/>
        <v>1</v>
      </c>
      <c r="AH286">
        <f t="shared" si="123"/>
        <v>0</v>
      </c>
      <c r="AI286">
        <f t="shared" si="127"/>
        <v>0</v>
      </c>
      <c r="AJ286">
        <f t="shared" si="127"/>
        <v>0</v>
      </c>
      <c r="AK286">
        <f t="shared" si="127"/>
        <v>0</v>
      </c>
      <c r="AL286">
        <f t="shared" si="127"/>
        <v>0</v>
      </c>
      <c r="AM286">
        <f t="shared" si="127"/>
        <v>0</v>
      </c>
      <c r="AN286">
        <f t="shared" si="127"/>
        <v>0</v>
      </c>
      <c r="AO286">
        <f t="shared" si="127"/>
        <v>0</v>
      </c>
      <c r="AP286">
        <f t="shared" si="127"/>
        <v>1</v>
      </c>
      <c r="AQ286">
        <f t="shared" si="127"/>
        <v>0</v>
      </c>
      <c r="AR286">
        <f t="shared" si="127"/>
        <v>0</v>
      </c>
      <c r="AS286">
        <f t="shared" si="127"/>
        <v>0</v>
      </c>
      <c r="AT286">
        <f t="shared" si="127"/>
        <v>0</v>
      </c>
      <c r="AU286">
        <f t="shared" si="127"/>
        <v>0</v>
      </c>
      <c r="AV286">
        <f t="shared" si="127"/>
        <v>0</v>
      </c>
      <c r="AW286">
        <f t="shared" si="127"/>
        <v>0</v>
      </c>
      <c r="AX286">
        <f t="shared" si="124"/>
        <v>0</v>
      </c>
      <c r="AY286">
        <f t="shared" si="124"/>
        <v>1</v>
      </c>
      <c r="AZ286">
        <f t="shared" si="124"/>
        <v>0</v>
      </c>
      <c r="BA286">
        <f t="shared" si="125"/>
        <v>1</v>
      </c>
      <c r="BB286">
        <f t="shared" si="126"/>
        <v>1</v>
      </c>
    </row>
    <row r="287" spans="1:54">
      <c r="A287">
        <v>284</v>
      </c>
      <c r="B287" t="s">
        <v>20</v>
      </c>
      <c r="C287" t="s">
        <v>28</v>
      </c>
      <c r="D287" t="s">
        <v>25</v>
      </c>
      <c r="E287" t="s">
        <v>20</v>
      </c>
      <c r="F287" t="s">
        <v>29</v>
      </c>
      <c r="G287" t="s">
        <v>31</v>
      </c>
      <c r="H287" s="3">
        <v>3.5296539525633802E-2</v>
      </c>
      <c r="I287" s="3">
        <v>3.39702602669971E-2</v>
      </c>
      <c r="J287" s="3">
        <v>2.96311188270123E-2</v>
      </c>
      <c r="K287" s="3">
        <v>3.0293053200467199E-2</v>
      </c>
      <c r="L287" s="3">
        <v>2.3311985072404801E-2</v>
      </c>
      <c r="M287" s="3">
        <v>1.85306313802889E-2</v>
      </c>
      <c r="N287" s="3">
        <v>3.95630351343371E-2</v>
      </c>
      <c r="O287" s="3">
        <v>2.36198988948161E-2</v>
      </c>
      <c r="P287">
        <f t="shared" si="111"/>
        <v>0</v>
      </c>
      <c r="Q287">
        <f t="shared" si="112"/>
        <v>0</v>
      </c>
      <c r="R287">
        <f t="shared" si="113"/>
        <v>0</v>
      </c>
      <c r="S287">
        <f t="shared" si="114"/>
        <v>0</v>
      </c>
      <c r="T287">
        <f t="shared" si="115"/>
        <v>0</v>
      </c>
      <c r="U287">
        <f t="shared" si="116"/>
        <v>0</v>
      </c>
      <c r="V287">
        <f t="shared" si="117"/>
        <v>0</v>
      </c>
      <c r="W287">
        <f t="shared" si="118"/>
        <v>0</v>
      </c>
      <c r="X287">
        <f t="shared" si="119"/>
        <v>0</v>
      </c>
      <c r="Y287">
        <f t="shared" si="120"/>
        <v>0</v>
      </c>
      <c r="Z287">
        <f t="shared" si="121"/>
        <v>1</v>
      </c>
      <c r="AA287">
        <f t="shared" si="122"/>
        <v>0</v>
      </c>
      <c r="AB287">
        <f t="shared" si="105"/>
        <v>0</v>
      </c>
      <c r="AC287">
        <f t="shared" si="106"/>
        <v>0</v>
      </c>
      <c r="AD287">
        <f t="shared" si="107"/>
        <v>0</v>
      </c>
      <c r="AE287">
        <f t="shared" si="108"/>
        <v>0</v>
      </c>
      <c r="AF287">
        <f t="shared" si="109"/>
        <v>0</v>
      </c>
      <c r="AG287">
        <f t="shared" si="110"/>
        <v>1</v>
      </c>
      <c r="AH287">
        <f t="shared" si="123"/>
        <v>0</v>
      </c>
      <c r="AI287">
        <f t="shared" si="127"/>
        <v>0</v>
      </c>
      <c r="AJ287">
        <f t="shared" si="127"/>
        <v>0</v>
      </c>
      <c r="AK287">
        <f t="shared" si="127"/>
        <v>0</v>
      </c>
      <c r="AL287">
        <f t="shared" si="127"/>
        <v>0</v>
      </c>
      <c r="AM287">
        <f t="shared" si="127"/>
        <v>0</v>
      </c>
      <c r="AN287">
        <f t="shared" si="127"/>
        <v>0</v>
      </c>
      <c r="AO287">
        <f t="shared" si="127"/>
        <v>0</v>
      </c>
      <c r="AP287">
        <f t="shared" si="127"/>
        <v>0</v>
      </c>
      <c r="AQ287">
        <f t="shared" si="127"/>
        <v>0</v>
      </c>
      <c r="AR287">
        <f t="shared" si="127"/>
        <v>0</v>
      </c>
      <c r="AS287">
        <f t="shared" si="127"/>
        <v>0</v>
      </c>
      <c r="AT287">
        <f t="shared" si="127"/>
        <v>0</v>
      </c>
      <c r="AU287">
        <f t="shared" si="127"/>
        <v>0</v>
      </c>
      <c r="AV287">
        <f t="shared" si="127"/>
        <v>0</v>
      </c>
      <c r="AW287">
        <f t="shared" si="127"/>
        <v>0</v>
      </c>
      <c r="AX287">
        <f t="shared" si="124"/>
        <v>0</v>
      </c>
      <c r="AY287">
        <f t="shared" si="124"/>
        <v>1</v>
      </c>
      <c r="AZ287">
        <f t="shared" si="124"/>
        <v>0</v>
      </c>
      <c r="BA287">
        <f t="shared" si="125"/>
        <v>0</v>
      </c>
      <c r="BB287">
        <f t="shared" si="126"/>
        <v>1</v>
      </c>
    </row>
    <row r="288" spans="1:54">
      <c r="A288">
        <v>285</v>
      </c>
      <c r="B288" t="s">
        <v>20</v>
      </c>
      <c r="C288" t="s">
        <v>28</v>
      </c>
      <c r="D288" t="s">
        <v>25</v>
      </c>
      <c r="E288" t="s">
        <v>20</v>
      </c>
      <c r="F288" t="s">
        <v>29</v>
      </c>
      <c r="G288" t="s">
        <v>25</v>
      </c>
      <c r="H288" s="3">
        <v>0.13342143814416699</v>
      </c>
      <c r="I288" s="3">
        <v>0.1241044171702</v>
      </c>
      <c r="J288" s="3">
        <v>0.112475108368893</v>
      </c>
      <c r="K288" s="3">
        <v>0.10782015368098601</v>
      </c>
      <c r="L288" s="3">
        <v>8.5776127089930598E-2</v>
      </c>
      <c r="M288" s="3">
        <v>6.9063345491594194E-2</v>
      </c>
      <c r="N288" s="3">
        <v>0.14876795361707701</v>
      </c>
      <c r="O288" s="3">
        <v>8.6806851754840195E-2</v>
      </c>
      <c r="P288">
        <f t="shared" si="111"/>
        <v>0</v>
      </c>
      <c r="Q288">
        <f t="shared" si="112"/>
        <v>0</v>
      </c>
      <c r="R288">
        <f t="shared" si="113"/>
        <v>0</v>
      </c>
      <c r="S288">
        <f t="shared" si="114"/>
        <v>0</v>
      </c>
      <c r="T288">
        <f t="shared" si="115"/>
        <v>0</v>
      </c>
      <c r="U288">
        <f t="shared" si="116"/>
        <v>0</v>
      </c>
      <c r="V288">
        <f t="shared" si="117"/>
        <v>0</v>
      </c>
      <c r="W288">
        <f t="shared" si="118"/>
        <v>0</v>
      </c>
      <c r="X288">
        <f t="shared" si="119"/>
        <v>0</v>
      </c>
      <c r="Y288">
        <f t="shared" si="120"/>
        <v>0</v>
      </c>
      <c r="Z288">
        <f t="shared" si="121"/>
        <v>0</v>
      </c>
      <c r="AA288">
        <f t="shared" si="122"/>
        <v>0</v>
      </c>
      <c r="AB288">
        <f t="shared" si="105"/>
        <v>0</v>
      </c>
      <c r="AC288">
        <f t="shared" si="106"/>
        <v>0</v>
      </c>
      <c r="AD288">
        <f t="shared" si="107"/>
        <v>0</v>
      </c>
      <c r="AE288">
        <f t="shared" si="108"/>
        <v>1</v>
      </c>
      <c r="AF288">
        <f t="shared" si="109"/>
        <v>0</v>
      </c>
      <c r="AG288">
        <f t="shared" si="110"/>
        <v>1</v>
      </c>
      <c r="AH288">
        <f t="shared" si="123"/>
        <v>1</v>
      </c>
      <c r="AI288">
        <f t="shared" si="127"/>
        <v>0</v>
      </c>
      <c r="AJ288">
        <f t="shared" si="127"/>
        <v>0</v>
      </c>
      <c r="AK288">
        <f t="shared" si="127"/>
        <v>0</v>
      </c>
      <c r="AL288">
        <f t="shared" si="127"/>
        <v>0</v>
      </c>
      <c r="AM288">
        <f t="shared" si="127"/>
        <v>0</v>
      </c>
      <c r="AN288">
        <f t="shared" si="127"/>
        <v>0</v>
      </c>
      <c r="AO288">
        <f t="shared" si="127"/>
        <v>0</v>
      </c>
      <c r="AP288">
        <f t="shared" si="127"/>
        <v>0</v>
      </c>
      <c r="AQ288">
        <f t="shared" si="127"/>
        <v>0</v>
      </c>
      <c r="AR288">
        <f t="shared" si="127"/>
        <v>0</v>
      </c>
      <c r="AS288">
        <f t="shared" si="127"/>
        <v>0</v>
      </c>
      <c r="AT288">
        <f t="shared" si="127"/>
        <v>0</v>
      </c>
      <c r="AU288">
        <f t="shared" si="127"/>
        <v>0</v>
      </c>
      <c r="AV288">
        <f t="shared" si="127"/>
        <v>0</v>
      </c>
      <c r="AW288">
        <f t="shared" si="127"/>
        <v>0</v>
      </c>
      <c r="AX288">
        <f t="shared" si="124"/>
        <v>0</v>
      </c>
      <c r="AY288">
        <f t="shared" si="124"/>
        <v>1</v>
      </c>
      <c r="AZ288">
        <f t="shared" si="124"/>
        <v>0</v>
      </c>
      <c r="BA288">
        <f t="shared" si="125"/>
        <v>0</v>
      </c>
      <c r="BB288">
        <f t="shared" si="126"/>
        <v>1</v>
      </c>
    </row>
    <row r="289" spans="1:54">
      <c r="A289">
        <v>286</v>
      </c>
      <c r="B289" t="s">
        <v>20</v>
      </c>
      <c r="C289" t="s">
        <v>28</v>
      </c>
      <c r="D289" t="s">
        <v>25</v>
      </c>
      <c r="E289" t="s">
        <v>20</v>
      </c>
      <c r="F289" t="s">
        <v>29</v>
      </c>
      <c r="G289" t="s">
        <v>26</v>
      </c>
      <c r="H289" s="3">
        <v>0.13664841719253101</v>
      </c>
      <c r="I289" s="3">
        <v>0.12691145129482301</v>
      </c>
      <c r="J289" s="3">
        <v>0.11525379768897399</v>
      </c>
      <c r="K289" s="3">
        <v>0.110168065458082</v>
      </c>
      <c r="L289" s="3">
        <v>8.7912067040802899E-2</v>
      </c>
      <c r="M289" s="3">
        <v>7.0755676616774205E-2</v>
      </c>
      <c r="N289" s="3">
        <v>0.15234796689456601</v>
      </c>
      <c r="O289" s="3">
        <v>8.8966450866658803E-2</v>
      </c>
      <c r="P289">
        <f t="shared" si="111"/>
        <v>0</v>
      </c>
      <c r="Q289">
        <f t="shared" si="112"/>
        <v>0</v>
      </c>
      <c r="R289">
        <f t="shared" si="113"/>
        <v>0</v>
      </c>
      <c r="S289">
        <f t="shared" si="114"/>
        <v>0</v>
      </c>
      <c r="T289">
        <f t="shared" si="115"/>
        <v>0</v>
      </c>
      <c r="U289">
        <f t="shared" si="116"/>
        <v>0</v>
      </c>
      <c r="V289">
        <f t="shared" si="117"/>
        <v>0</v>
      </c>
      <c r="W289">
        <f t="shared" si="118"/>
        <v>0</v>
      </c>
      <c r="X289">
        <f t="shared" si="119"/>
        <v>0</v>
      </c>
      <c r="Y289">
        <f t="shared" si="120"/>
        <v>0</v>
      </c>
      <c r="Z289">
        <f t="shared" si="121"/>
        <v>0</v>
      </c>
      <c r="AA289">
        <f t="shared" si="122"/>
        <v>0</v>
      </c>
      <c r="AB289">
        <f t="shared" si="105"/>
        <v>0</v>
      </c>
      <c r="AC289">
        <f t="shared" si="106"/>
        <v>0</v>
      </c>
      <c r="AD289">
        <f t="shared" si="107"/>
        <v>0</v>
      </c>
      <c r="AE289">
        <f t="shared" si="108"/>
        <v>1</v>
      </c>
      <c r="AF289">
        <f t="shared" si="109"/>
        <v>0</v>
      </c>
      <c r="AG289">
        <f t="shared" si="110"/>
        <v>1</v>
      </c>
      <c r="AH289">
        <f t="shared" si="123"/>
        <v>1</v>
      </c>
      <c r="AI289">
        <f t="shared" si="127"/>
        <v>1</v>
      </c>
      <c r="AJ289">
        <f t="shared" si="127"/>
        <v>0</v>
      </c>
      <c r="AK289">
        <f t="shared" si="127"/>
        <v>0</v>
      </c>
      <c r="AL289">
        <f t="shared" si="127"/>
        <v>0</v>
      </c>
      <c r="AM289">
        <f t="shared" si="127"/>
        <v>0</v>
      </c>
      <c r="AN289">
        <f t="shared" si="127"/>
        <v>0</v>
      </c>
      <c r="AO289">
        <f t="shared" si="127"/>
        <v>0</v>
      </c>
      <c r="AP289">
        <f t="shared" si="127"/>
        <v>0</v>
      </c>
      <c r="AQ289">
        <f t="shared" si="127"/>
        <v>0</v>
      </c>
      <c r="AR289">
        <f t="shared" si="127"/>
        <v>0</v>
      </c>
      <c r="AS289">
        <f t="shared" si="127"/>
        <v>0</v>
      </c>
      <c r="AT289">
        <f t="shared" si="127"/>
        <v>0</v>
      </c>
      <c r="AU289">
        <f t="shared" si="127"/>
        <v>0</v>
      </c>
      <c r="AV289">
        <f t="shared" si="127"/>
        <v>0</v>
      </c>
      <c r="AW289">
        <f t="shared" si="127"/>
        <v>0</v>
      </c>
      <c r="AX289">
        <f t="shared" si="124"/>
        <v>0</v>
      </c>
      <c r="AY289">
        <f t="shared" si="124"/>
        <v>1</v>
      </c>
      <c r="AZ289">
        <f t="shared" si="124"/>
        <v>0</v>
      </c>
      <c r="BA289">
        <f t="shared" si="125"/>
        <v>1</v>
      </c>
      <c r="BB289">
        <f t="shared" si="126"/>
        <v>1</v>
      </c>
    </row>
    <row r="290" spans="1:54">
      <c r="A290">
        <v>287</v>
      </c>
      <c r="B290" t="s">
        <v>20</v>
      </c>
      <c r="C290" t="s">
        <v>28</v>
      </c>
      <c r="D290" t="s">
        <v>25</v>
      </c>
      <c r="E290" t="s">
        <v>30</v>
      </c>
      <c r="F290" t="s">
        <v>21</v>
      </c>
      <c r="G290" t="s">
        <v>22</v>
      </c>
      <c r="H290" s="3">
        <v>1.7485463178781298E-2</v>
      </c>
      <c r="I290" s="3">
        <v>1.7051723490790201E-2</v>
      </c>
      <c r="J290" s="3">
        <v>1.48574502438067E-2</v>
      </c>
      <c r="K290" s="3">
        <v>1.5668108238836399E-2</v>
      </c>
      <c r="L290" s="3">
        <v>1.1397963260996799E-2</v>
      </c>
      <c r="M290" s="3">
        <v>9.0187333374364392E-3</v>
      </c>
      <c r="N290" s="3">
        <v>1.8895777974608799E-2</v>
      </c>
      <c r="O290" s="3">
        <v>1.2109063450934401E-2</v>
      </c>
      <c r="P290">
        <f t="shared" si="111"/>
        <v>0</v>
      </c>
      <c r="Q290">
        <f t="shared" si="112"/>
        <v>0</v>
      </c>
      <c r="R290">
        <f t="shared" si="113"/>
        <v>0</v>
      </c>
      <c r="S290">
        <f t="shared" si="114"/>
        <v>0</v>
      </c>
      <c r="T290">
        <f t="shared" si="115"/>
        <v>1</v>
      </c>
      <c r="U290">
        <f t="shared" si="116"/>
        <v>0</v>
      </c>
      <c r="V290">
        <f t="shared" si="117"/>
        <v>0</v>
      </c>
      <c r="W290">
        <f t="shared" si="118"/>
        <v>0</v>
      </c>
      <c r="X290">
        <f t="shared" si="119"/>
        <v>0</v>
      </c>
      <c r="Y290">
        <f t="shared" si="120"/>
        <v>0</v>
      </c>
      <c r="Z290">
        <f t="shared" si="121"/>
        <v>0</v>
      </c>
      <c r="AA290">
        <f t="shared" si="122"/>
        <v>0</v>
      </c>
      <c r="AB290">
        <f t="shared" si="105"/>
        <v>0</v>
      </c>
      <c r="AC290">
        <f t="shared" si="106"/>
        <v>0</v>
      </c>
      <c r="AD290">
        <f t="shared" si="107"/>
        <v>0</v>
      </c>
      <c r="AE290">
        <f t="shared" si="108"/>
        <v>0</v>
      </c>
      <c r="AF290">
        <f t="shared" si="109"/>
        <v>0</v>
      </c>
      <c r="AG290">
        <f t="shared" si="110"/>
        <v>0</v>
      </c>
      <c r="AH290">
        <f t="shared" si="123"/>
        <v>0</v>
      </c>
      <c r="AI290">
        <f t="shared" ref="AI290:AW306" si="128">IF(OR(AND($D290=AI$1,$G290=AI$2),AND($D290=AI$2,$G290=AI$1)),1,0)</f>
        <v>0</v>
      </c>
      <c r="AJ290">
        <f t="shared" si="128"/>
        <v>0</v>
      </c>
      <c r="AK290">
        <f t="shared" si="128"/>
        <v>0</v>
      </c>
      <c r="AL290">
        <f t="shared" si="128"/>
        <v>0</v>
      </c>
      <c r="AM290">
        <f t="shared" si="128"/>
        <v>0</v>
      </c>
      <c r="AN290">
        <f t="shared" si="128"/>
        <v>1</v>
      </c>
      <c r="AO290">
        <f t="shared" si="128"/>
        <v>0</v>
      </c>
      <c r="AP290">
        <f t="shared" si="128"/>
        <v>0</v>
      </c>
      <c r="AQ290">
        <f t="shared" si="128"/>
        <v>0</v>
      </c>
      <c r="AR290">
        <f t="shared" si="128"/>
        <v>0</v>
      </c>
      <c r="AS290">
        <f t="shared" si="128"/>
        <v>0</v>
      </c>
      <c r="AT290">
        <f t="shared" si="128"/>
        <v>0</v>
      </c>
      <c r="AU290">
        <f t="shared" si="128"/>
        <v>0</v>
      </c>
      <c r="AV290">
        <f t="shared" si="128"/>
        <v>0</v>
      </c>
      <c r="AW290">
        <f t="shared" si="128"/>
        <v>0</v>
      </c>
      <c r="AX290">
        <f t="shared" si="124"/>
        <v>1</v>
      </c>
      <c r="AY290">
        <f t="shared" si="124"/>
        <v>0</v>
      </c>
      <c r="AZ290">
        <f t="shared" si="124"/>
        <v>0</v>
      </c>
      <c r="BA290">
        <f t="shared" si="125"/>
        <v>1</v>
      </c>
      <c r="BB290">
        <f t="shared" si="126"/>
        <v>0</v>
      </c>
    </row>
    <row r="291" spans="1:54">
      <c r="A291">
        <v>288</v>
      </c>
      <c r="B291" t="s">
        <v>20</v>
      </c>
      <c r="C291" t="s">
        <v>28</v>
      </c>
      <c r="D291" t="s">
        <v>25</v>
      </c>
      <c r="E291" t="s">
        <v>30</v>
      </c>
      <c r="F291" t="s">
        <v>21</v>
      </c>
      <c r="G291" t="s">
        <v>23</v>
      </c>
      <c r="H291" s="3">
        <v>1.8770868383487301E-2</v>
      </c>
      <c r="I291" s="3">
        <v>1.7906054599410599E-2</v>
      </c>
      <c r="J291" s="3">
        <v>1.5715677065199999E-2</v>
      </c>
      <c r="K291" s="3">
        <v>1.60982303950803E-2</v>
      </c>
      <c r="L291" s="3">
        <v>1.15032106521519E-2</v>
      </c>
      <c r="M291" s="3">
        <v>8.8204052502023102E-3</v>
      </c>
      <c r="N291" s="3">
        <v>2.0372010628875101E-2</v>
      </c>
      <c r="O291" s="3">
        <v>1.2349603666559201E-2</v>
      </c>
      <c r="P291">
        <f t="shared" si="111"/>
        <v>0</v>
      </c>
      <c r="Q291">
        <f t="shared" si="112"/>
        <v>0</v>
      </c>
      <c r="R291">
        <f t="shared" si="113"/>
        <v>0</v>
      </c>
      <c r="S291">
        <f t="shared" si="114"/>
        <v>0</v>
      </c>
      <c r="T291">
        <f t="shared" si="115"/>
        <v>0</v>
      </c>
      <c r="U291">
        <f t="shared" si="116"/>
        <v>1</v>
      </c>
      <c r="V291">
        <f t="shared" si="117"/>
        <v>0</v>
      </c>
      <c r="W291">
        <f t="shared" si="118"/>
        <v>0</v>
      </c>
      <c r="X291">
        <f t="shared" si="119"/>
        <v>0</v>
      </c>
      <c r="Y291">
        <f t="shared" si="120"/>
        <v>0</v>
      </c>
      <c r="Z291">
        <f t="shared" si="121"/>
        <v>0</v>
      </c>
      <c r="AA291">
        <f t="shared" si="122"/>
        <v>0</v>
      </c>
      <c r="AB291">
        <f t="shared" si="105"/>
        <v>0</v>
      </c>
      <c r="AC291">
        <f t="shared" si="106"/>
        <v>0</v>
      </c>
      <c r="AD291">
        <f t="shared" si="107"/>
        <v>0</v>
      </c>
      <c r="AE291">
        <f t="shared" si="108"/>
        <v>0</v>
      </c>
      <c r="AF291">
        <f t="shared" si="109"/>
        <v>0</v>
      </c>
      <c r="AG291">
        <f t="shared" si="110"/>
        <v>0</v>
      </c>
      <c r="AH291">
        <f t="shared" si="123"/>
        <v>0</v>
      </c>
      <c r="AI291">
        <f t="shared" si="128"/>
        <v>0</v>
      </c>
      <c r="AJ291">
        <f t="shared" si="128"/>
        <v>0</v>
      </c>
      <c r="AK291">
        <f t="shared" si="128"/>
        <v>0</v>
      </c>
      <c r="AL291">
        <f t="shared" si="128"/>
        <v>0</v>
      </c>
      <c r="AM291">
        <f t="shared" si="128"/>
        <v>0</v>
      </c>
      <c r="AN291">
        <f t="shared" si="128"/>
        <v>0</v>
      </c>
      <c r="AO291">
        <f t="shared" si="128"/>
        <v>1</v>
      </c>
      <c r="AP291">
        <f t="shared" si="128"/>
        <v>0</v>
      </c>
      <c r="AQ291">
        <f t="shared" si="128"/>
        <v>0</v>
      </c>
      <c r="AR291">
        <f t="shared" si="128"/>
        <v>0</v>
      </c>
      <c r="AS291">
        <f t="shared" si="128"/>
        <v>0</v>
      </c>
      <c r="AT291">
        <f t="shared" si="128"/>
        <v>0</v>
      </c>
      <c r="AU291">
        <f t="shared" si="128"/>
        <v>0</v>
      </c>
      <c r="AV291">
        <f t="shared" si="128"/>
        <v>0</v>
      </c>
      <c r="AW291">
        <f t="shared" si="128"/>
        <v>0</v>
      </c>
      <c r="AX291">
        <f t="shared" si="124"/>
        <v>1</v>
      </c>
      <c r="AY291">
        <f t="shared" si="124"/>
        <v>0</v>
      </c>
      <c r="AZ291">
        <f t="shared" si="124"/>
        <v>0</v>
      </c>
      <c r="BA291">
        <f t="shared" si="125"/>
        <v>1</v>
      </c>
      <c r="BB291">
        <f t="shared" si="126"/>
        <v>0</v>
      </c>
    </row>
    <row r="292" spans="1:54">
      <c r="A292">
        <v>289</v>
      </c>
      <c r="B292" t="s">
        <v>20</v>
      </c>
      <c r="C292" t="s">
        <v>28</v>
      </c>
      <c r="D292" t="s">
        <v>25</v>
      </c>
      <c r="E292" t="s">
        <v>30</v>
      </c>
      <c r="F292" t="s">
        <v>21</v>
      </c>
      <c r="G292" t="s">
        <v>24</v>
      </c>
      <c r="H292" s="3">
        <v>0.58905103024134697</v>
      </c>
      <c r="I292" s="3">
        <v>0.59526886915820099</v>
      </c>
      <c r="J292" s="3">
        <v>0.46733272796306402</v>
      </c>
      <c r="K292" s="3">
        <v>0.50601591064762697</v>
      </c>
      <c r="L292" s="3">
        <v>0.32711974034680902</v>
      </c>
      <c r="M292" s="3">
        <v>0.235756324326477</v>
      </c>
      <c r="N292" s="3">
        <v>0.72243301653130798</v>
      </c>
      <c r="O292" s="3">
        <v>0.34563841394515998</v>
      </c>
      <c r="P292">
        <f t="shared" si="111"/>
        <v>0</v>
      </c>
      <c r="Q292">
        <f t="shared" si="112"/>
        <v>0</v>
      </c>
      <c r="R292">
        <f t="shared" si="113"/>
        <v>0</v>
      </c>
      <c r="S292">
        <f t="shared" si="114"/>
        <v>0</v>
      </c>
      <c r="T292">
        <f t="shared" si="115"/>
        <v>0</v>
      </c>
      <c r="U292">
        <f t="shared" si="116"/>
        <v>0</v>
      </c>
      <c r="V292">
        <f t="shared" si="117"/>
        <v>1</v>
      </c>
      <c r="W292">
        <f t="shared" si="118"/>
        <v>0</v>
      </c>
      <c r="X292">
        <f t="shared" si="119"/>
        <v>0</v>
      </c>
      <c r="Y292">
        <f t="shared" si="120"/>
        <v>0</v>
      </c>
      <c r="Z292">
        <f t="shared" si="121"/>
        <v>0</v>
      </c>
      <c r="AA292">
        <f t="shared" si="122"/>
        <v>0</v>
      </c>
      <c r="AB292">
        <f t="shared" si="105"/>
        <v>0</v>
      </c>
      <c r="AC292">
        <f t="shared" si="106"/>
        <v>0</v>
      </c>
      <c r="AD292">
        <f t="shared" si="107"/>
        <v>0</v>
      </c>
      <c r="AE292">
        <f t="shared" si="108"/>
        <v>0</v>
      </c>
      <c r="AF292">
        <f t="shared" si="109"/>
        <v>0</v>
      </c>
      <c r="AG292">
        <f t="shared" si="110"/>
        <v>0</v>
      </c>
      <c r="AH292">
        <f t="shared" si="123"/>
        <v>0</v>
      </c>
      <c r="AI292">
        <f t="shared" si="128"/>
        <v>0</v>
      </c>
      <c r="AJ292">
        <f t="shared" si="128"/>
        <v>0</v>
      </c>
      <c r="AK292">
        <f t="shared" si="128"/>
        <v>0</v>
      </c>
      <c r="AL292">
        <f t="shared" si="128"/>
        <v>0</v>
      </c>
      <c r="AM292">
        <f t="shared" si="128"/>
        <v>0</v>
      </c>
      <c r="AN292">
        <f t="shared" si="128"/>
        <v>0</v>
      </c>
      <c r="AO292">
        <f t="shared" si="128"/>
        <v>0</v>
      </c>
      <c r="AP292">
        <f t="shared" si="128"/>
        <v>1</v>
      </c>
      <c r="AQ292">
        <f t="shared" si="128"/>
        <v>0</v>
      </c>
      <c r="AR292">
        <f t="shared" si="128"/>
        <v>0</v>
      </c>
      <c r="AS292">
        <f t="shared" si="128"/>
        <v>0</v>
      </c>
      <c r="AT292">
        <f t="shared" si="128"/>
        <v>0</v>
      </c>
      <c r="AU292">
        <f t="shared" si="128"/>
        <v>0</v>
      </c>
      <c r="AV292">
        <f t="shared" si="128"/>
        <v>0</v>
      </c>
      <c r="AW292">
        <f t="shared" si="128"/>
        <v>0</v>
      </c>
      <c r="AX292">
        <f t="shared" si="124"/>
        <v>1</v>
      </c>
      <c r="AY292">
        <f t="shared" si="124"/>
        <v>0</v>
      </c>
      <c r="AZ292">
        <f t="shared" si="124"/>
        <v>0</v>
      </c>
      <c r="BA292">
        <f t="shared" si="125"/>
        <v>1</v>
      </c>
      <c r="BB292">
        <f t="shared" si="126"/>
        <v>0</v>
      </c>
    </row>
    <row r="293" spans="1:54">
      <c r="A293">
        <v>290</v>
      </c>
      <c r="B293" t="s">
        <v>20</v>
      </c>
      <c r="C293" t="s">
        <v>28</v>
      </c>
      <c r="D293" t="s">
        <v>25</v>
      </c>
      <c r="E293" t="s">
        <v>30</v>
      </c>
      <c r="F293" t="s">
        <v>21</v>
      </c>
      <c r="G293" t="s">
        <v>25</v>
      </c>
      <c r="H293" s="3">
        <v>0.802130281151612</v>
      </c>
      <c r="I293" s="3">
        <v>0.81802935280839995</v>
      </c>
      <c r="J293" s="3">
        <v>0.67250327628710804</v>
      </c>
      <c r="K293" s="3">
        <v>0.720203125556927</v>
      </c>
      <c r="L293" s="3">
        <v>0.60068837768935601</v>
      </c>
      <c r="M293" s="3">
        <v>0.47633809205847499</v>
      </c>
      <c r="N293" s="3">
        <v>0.96014422990516801</v>
      </c>
      <c r="O293" s="3">
        <v>0.57117907951457603</v>
      </c>
      <c r="P293">
        <f t="shared" si="111"/>
        <v>0</v>
      </c>
      <c r="Q293">
        <f t="shared" si="112"/>
        <v>0</v>
      </c>
      <c r="R293">
        <f t="shared" si="113"/>
        <v>0</v>
      </c>
      <c r="S293">
        <f t="shared" si="114"/>
        <v>0</v>
      </c>
      <c r="T293">
        <f t="shared" si="115"/>
        <v>0</v>
      </c>
      <c r="U293">
        <f t="shared" si="116"/>
        <v>0</v>
      </c>
      <c r="V293">
        <f t="shared" si="117"/>
        <v>0</v>
      </c>
      <c r="W293">
        <f t="shared" si="118"/>
        <v>0</v>
      </c>
      <c r="X293">
        <f t="shared" si="119"/>
        <v>0</v>
      </c>
      <c r="Y293">
        <f t="shared" si="120"/>
        <v>0</v>
      </c>
      <c r="Z293">
        <f t="shared" si="121"/>
        <v>0</v>
      </c>
      <c r="AA293">
        <f t="shared" si="122"/>
        <v>0</v>
      </c>
      <c r="AB293">
        <f t="shared" si="105"/>
        <v>0</v>
      </c>
      <c r="AC293">
        <f t="shared" si="106"/>
        <v>0</v>
      </c>
      <c r="AD293">
        <f t="shared" si="107"/>
        <v>0</v>
      </c>
      <c r="AE293">
        <f t="shared" si="108"/>
        <v>1</v>
      </c>
      <c r="AF293">
        <f t="shared" si="109"/>
        <v>0</v>
      </c>
      <c r="AG293">
        <f t="shared" si="110"/>
        <v>0</v>
      </c>
      <c r="AH293">
        <f t="shared" si="123"/>
        <v>1</v>
      </c>
      <c r="AI293">
        <f t="shared" si="128"/>
        <v>0</v>
      </c>
      <c r="AJ293">
        <f t="shared" si="128"/>
        <v>0</v>
      </c>
      <c r="AK293">
        <f t="shared" si="128"/>
        <v>0</v>
      </c>
      <c r="AL293">
        <f t="shared" si="128"/>
        <v>0</v>
      </c>
      <c r="AM293">
        <f t="shared" si="128"/>
        <v>0</v>
      </c>
      <c r="AN293">
        <f t="shared" si="128"/>
        <v>0</v>
      </c>
      <c r="AO293">
        <f t="shared" si="128"/>
        <v>0</v>
      </c>
      <c r="AP293">
        <f t="shared" si="128"/>
        <v>0</v>
      </c>
      <c r="AQ293">
        <f t="shared" si="128"/>
        <v>0</v>
      </c>
      <c r="AR293">
        <f t="shared" si="128"/>
        <v>0</v>
      </c>
      <c r="AS293">
        <f t="shared" si="128"/>
        <v>0</v>
      </c>
      <c r="AT293">
        <f t="shared" si="128"/>
        <v>0</v>
      </c>
      <c r="AU293">
        <f t="shared" si="128"/>
        <v>0</v>
      </c>
      <c r="AV293">
        <f t="shared" si="128"/>
        <v>0</v>
      </c>
      <c r="AW293">
        <f t="shared" si="128"/>
        <v>0</v>
      </c>
      <c r="AX293">
        <f t="shared" si="124"/>
        <v>1</v>
      </c>
      <c r="AY293">
        <f t="shared" si="124"/>
        <v>0</v>
      </c>
      <c r="AZ293">
        <f t="shared" si="124"/>
        <v>0</v>
      </c>
      <c r="BA293">
        <f t="shared" si="125"/>
        <v>0</v>
      </c>
      <c r="BB293">
        <f t="shared" si="126"/>
        <v>0</v>
      </c>
    </row>
    <row r="294" spans="1:54">
      <c r="A294">
        <v>291</v>
      </c>
      <c r="B294" t="s">
        <v>20</v>
      </c>
      <c r="C294" t="s">
        <v>28</v>
      </c>
      <c r="D294" t="s">
        <v>25</v>
      </c>
      <c r="E294" t="s">
        <v>30</v>
      </c>
      <c r="F294" t="s">
        <v>21</v>
      </c>
      <c r="G294" t="s">
        <v>26</v>
      </c>
      <c r="H294" s="3">
        <v>0.79425850930514696</v>
      </c>
      <c r="I294" s="3">
        <v>0.807572287218288</v>
      </c>
      <c r="J294" s="3">
        <v>0.66624675886698204</v>
      </c>
      <c r="K294" s="3">
        <v>0.71053655062389398</v>
      </c>
      <c r="L294" s="3">
        <v>0.59259411192170497</v>
      </c>
      <c r="M294" s="3">
        <v>0.46957193816654003</v>
      </c>
      <c r="N294" s="3">
        <v>0.94935873150696504</v>
      </c>
      <c r="O294" s="3">
        <v>0.56467024079348405</v>
      </c>
      <c r="P294">
        <f t="shared" si="111"/>
        <v>0</v>
      </c>
      <c r="Q294">
        <f t="shared" si="112"/>
        <v>0</v>
      </c>
      <c r="R294">
        <f t="shared" si="113"/>
        <v>0</v>
      </c>
      <c r="S294">
        <f t="shared" si="114"/>
        <v>0</v>
      </c>
      <c r="T294">
        <f t="shared" si="115"/>
        <v>0</v>
      </c>
      <c r="U294">
        <f t="shared" si="116"/>
        <v>0</v>
      </c>
      <c r="V294">
        <f t="shared" si="117"/>
        <v>0</v>
      </c>
      <c r="W294">
        <f t="shared" si="118"/>
        <v>0</v>
      </c>
      <c r="X294">
        <f t="shared" si="119"/>
        <v>0</v>
      </c>
      <c r="Y294">
        <f t="shared" si="120"/>
        <v>0</v>
      </c>
      <c r="Z294">
        <f t="shared" si="121"/>
        <v>0</v>
      </c>
      <c r="AA294">
        <f t="shared" si="122"/>
        <v>0</v>
      </c>
      <c r="AB294">
        <f t="shared" si="105"/>
        <v>0</v>
      </c>
      <c r="AC294">
        <f t="shared" si="106"/>
        <v>0</v>
      </c>
      <c r="AD294">
        <f t="shared" si="107"/>
        <v>0</v>
      </c>
      <c r="AE294">
        <f t="shared" si="108"/>
        <v>1</v>
      </c>
      <c r="AF294">
        <f t="shared" si="109"/>
        <v>0</v>
      </c>
      <c r="AG294">
        <f t="shared" si="110"/>
        <v>0</v>
      </c>
      <c r="AH294">
        <f t="shared" si="123"/>
        <v>1</v>
      </c>
      <c r="AI294">
        <f t="shared" si="128"/>
        <v>1</v>
      </c>
      <c r="AJ294">
        <f t="shared" si="128"/>
        <v>0</v>
      </c>
      <c r="AK294">
        <f t="shared" si="128"/>
        <v>0</v>
      </c>
      <c r="AL294">
        <f t="shared" si="128"/>
        <v>0</v>
      </c>
      <c r="AM294">
        <f t="shared" si="128"/>
        <v>0</v>
      </c>
      <c r="AN294">
        <f t="shared" si="128"/>
        <v>0</v>
      </c>
      <c r="AO294">
        <f t="shared" si="128"/>
        <v>0</v>
      </c>
      <c r="AP294">
        <f t="shared" si="128"/>
        <v>0</v>
      </c>
      <c r="AQ294">
        <f t="shared" si="128"/>
        <v>0</v>
      </c>
      <c r="AR294">
        <f t="shared" si="128"/>
        <v>0</v>
      </c>
      <c r="AS294">
        <f t="shared" si="128"/>
        <v>0</v>
      </c>
      <c r="AT294">
        <f t="shared" si="128"/>
        <v>0</v>
      </c>
      <c r="AU294">
        <f t="shared" si="128"/>
        <v>0</v>
      </c>
      <c r="AV294">
        <f t="shared" si="128"/>
        <v>0</v>
      </c>
      <c r="AW294">
        <f t="shared" si="128"/>
        <v>0</v>
      </c>
      <c r="AX294">
        <f t="shared" si="124"/>
        <v>1</v>
      </c>
      <c r="AY294">
        <f t="shared" si="124"/>
        <v>0</v>
      </c>
      <c r="AZ294">
        <f t="shared" si="124"/>
        <v>0</v>
      </c>
      <c r="BA294">
        <f t="shared" si="125"/>
        <v>1</v>
      </c>
      <c r="BB294">
        <f t="shared" si="126"/>
        <v>0</v>
      </c>
    </row>
    <row r="295" spans="1:54">
      <c r="A295">
        <v>292</v>
      </c>
      <c r="B295" t="s">
        <v>20</v>
      </c>
      <c r="C295" t="s">
        <v>28</v>
      </c>
      <c r="D295" t="s">
        <v>25</v>
      </c>
      <c r="E295" t="s">
        <v>30</v>
      </c>
      <c r="F295" t="s">
        <v>21</v>
      </c>
      <c r="G295" t="s">
        <v>27</v>
      </c>
      <c r="H295" s="3">
        <v>0.204041343688629</v>
      </c>
      <c r="I295" s="3">
        <v>0.19563517948655301</v>
      </c>
      <c r="J295" s="3">
        <v>0.17092829198972501</v>
      </c>
      <c r="K295" s="3">
        <v>0.16240536085450999</v>
      </c>
      <c r="L295" s="3">
        <v>0.135840016933823</v>
      </c>
      <c r="M295" s="3">
        <v>0.101845663702779</v>
      </c>
      <c r="N295" s="3">
        <v>0.29199881901387598</v>
      </c>
      <c r="O295" s="3">
        <v>0.12619697280979</v>
      </c>
      <c r="P295">
        <f t="shared" si="111"/>
        <v>0</v>
      </c>
      <c r="Q295">
        <f t="shared" si="112"/>
        <v>0</v>
      </c>
      <c r="R295">
        <f t="shared" si="113"/>
        <v>0</v>
      </c>
      <c r="S295">
        <f t="shared" si="114"/>
        <v>0</v>
      </c>
      <c r="T295">
        <f t="shared" si="115"/>
        <v>0</v>
      </c>
      <c r="U295">
        <f t="shared" si="116"/>
        <v>0</v>
      </c>
      <c r="V295">
        <f t="shared" si="117"/>
        <v>0</v>
      </c>
      <c r="W295">
        <f t="shared" si="118"/>
        <v>1</v>
      </c>
      <c r="X295">
        <f t="shared" si="119"/>
        <v>0</v>
      </c>
      <c r="Y295">
        <f t="shared" si="120"/>
        <v>0</v>
      </c>
      <c r="Z295">
        <f t="shared" si="121"/>
        <v>0</v>
      </c>
      <c r="AA295">
        <f t="shared" si="122"/>
        <v>0</v>
      </c>
      <c r="AB295">
        <f t="shared" si="105"/>
        <v>0</v>
      </c>
      <c r="AC295">
        <f t="shared" si="106"/>
        <v>0</v>
      </c>
      <c r="AD295">
        <f t="shared" si="107"/>
        <v>0</v>
      </c>
      <c r="AE295">
        <f t="shared" si="108"/>
        <v>0</v>
      </c>
      <c r="AF295">
        <f t="shared" si="109"/>
        <v>0</v>
      </c>
      <c r="AG295">
        <f t="shared" si="110"/>
        <v>0</v>
      </c>
      <c r="AH295">
        <f t="shared" si="123"/>
        <v>0</v>
      </c>
      <c r="AI295">
        <f t="shared" si="128"/>
        <v>0</v>
      </c>
      <c r="AJ295">
        <f t="shared" si="128"/>
        <v>0</v>
      </c>
      <c r="AK295">
        <f t="shared" si="128"/>
        <v>0</v>
      </c>
      <c r="AL295">
        <f t="shared" si="128"/>
        <v>0</v>
      </c>
      <c r="AM295">
        <f t="shared" si="128"/>
        <v>0</v>
      </c>
      <c r="AN295">
        <f t="shared" si="128"/>
        <v>0</v>
      </c>
      <c r="AO295">
        <f t="shared" si="128"/>
        <v>0</v>
      </c>
      <c r="AP295">
        <f t="shared" si="128"/>
        <v>0</v>
      </c>
      <c r="AQ295">
        <f t="shared" si="128"/>
        <v>1</v>
      </c>
      <c r="AR295">
        <f t="shared" si="128"/>
        <v>0</v>
      </c>
      <c r="AS295">
        <f t="shared" si="128"/>
        <v>0</v>
      </c>
      <c r="AT295">
        <f t="shared" si="128"/>
        <v>0</v>
      </c>
      <c r="AU295">
        <f t="shared" si="128"/>
        <v>0</v>
      </c>
      <c r="AV295">
        <f t="shared" si="128"/>
        <v>0</v>
      </c>
      <c r="AW295">
        <f t="shared" si="128"/>
        <v>0</v>
      </c>
      <c r="AX295">
        <f t="shared" si="124"/>
        <v>1</v>
      </c>
      <c r="AY295">
        <f t="shared" si="124"/>
        <v>0</v>
      </c>
      <c r="AZ295">
        <f t="shared" si="124"/>
        <v>0</v>
      </c>
      <c r="BA295">
        <f t="shared" si="125"/>
        <v>1</v>
      </c>
      <c r="BB295">
        <f t="shared" si="126"/>
        <v>0</v>
      </c>
    </row>
    <row r="296" spans="1:54">
      <c r="A296">
        <v>293</v>
      </c>
      <c r="B296" t="s">
        <v>20</v>
      </c>
      <c r="C296" t="s">
        <v>28</v>
      </c>
      <c r="D296" t="s">
        <v>25</v>
      </c>
      <c r="E296" t="s">
        <v>30</v>
      </c>
      <c r="F296" t="s">
        <v>28</v>
      </c>
      <c r="G296" t="s">
        <v>22</v>
      </c>
      <c r="H296" s="3">
        <v>1.8933406950948001E-2</v>
      </c>
      <c r="I296" s="3">
        <v>1.8607577323943001E-2</v>
      </c>
      <c r="J296" s="3">
        <v>1.6211024949532901E-2</v>
      </c>
      <c r="K296" s="3">
        <v>1.7121789498483898E-2</v>
      </c>
      <c r="L296" s="3">
        <v>1.2741943404859599E-2</v>
      </c>
      <c r="M296" s="3">
        <v>1.04094687566863E-2</v>
      </c>
      <c r="N296" s="3">
        <v>2.0667257159728301E-2</v>
      </c>
      <c r="O296" s="3">
        <v>1.34640007660616E-2</v>
      </c>
      <c r="P296">
        <f t="shared" si="111"/>
        <v>1</v>
      </c>
      <c r="Q296">
        <f t="shared" si="112"/>
        <v>0</v>
      </c>
      <c r="R296">
        <f t="shared" si="113"/>
        <v>0</v>
      </c>
      <c r="S296">
        <f t="shared" si="114"/>
        <v>0</v>
      </c>
      <c r="T296">
        <f t="shared" si="115"/>
        <v>0</v>
      </c>
      <c r="U296">
        <f t="shared" si="116"/>
        <v>0</v>
      </c>
      <c r="V296">
        <f t="shared" si="117"/>
        <v>0</v>
      </c>
      <c r="W296">
        <f t="shared" si="118"/>
        <v>0</v>
      </c>
      <c r="X296">
        <f t="shared" si="119"/>
        <v>0</v>
      </c>
      <c r="Y296">
        <f t="shared" si="120"/>
        <v>0</v>
      </c>
      <c r="Z296">
        <f t="shared" si="121"/>
        <v>0</v>
      </c>
      <c r="AA296">
        <f t="shared" si="122"/>
        <v>0</v>
      </c>
      <c r="AB296">
        <f t="shared" si="105"/>
        <v>0</v>
      </c>
      <c r="AC296">
        <f t="shared" si="106"/>
        <v>0</v>
      </c>
      <c r="AD296">
        <f t="shared" si="107"/>
        <v>0</v>
      </c>
      <c r="AE296">
        <f t="shared" si="108"/>
        <v>0</v>
      </c>
      <c r="AF296">
        <f t="shared" si="109"/>
        <v>1</v>
      </c>
      <c r="AG296">
        <f t="shared" si="110"/>
        <v>0</v>
      </c>
      <c r="AH296">
        <f t="shared" si="123"/>
        <v>0</v>
      </c>
      <c r="AI296">
        <f t="shared" si="128"/>
        <v>0</v>
      </c>
      <c r="AJ296">
        <f t="shared" si="128"/>
        <v>0</v>
      </c>
      <c r="AK296">
        <f t="shared" si="128"/>
        <v>0</v>
      </c>
      <c r="AL296">
        <f t="shared" si="128"/>
        <v>0</v>
      </c>
      <c r="AM296">
        <f t="shared" si="128"/>
        <v>0</v>
      </c>
      <c r="AN296">
        <f t="shared" si="128"/>
        <v>1</v>
      </c>
      <c r="AO296">
        <f t="shared" si="128"/>
        <v>0</v>
      </c>
      <c r="AP296">
        <f t="shared" si="128"/>
        <v>0</v>
      </c>
      <c r="AQ296">
        <f t="shared" si="128"/>
        <v>0</v>
      </c>
      <c r="AR296">
        <f t="shared" si="128"/>
        <v>0</v>
      </c>
      <c r="AS296">
        <f t="shared" si="128"/>
        <v>0</v>
      </c>
      <c r="AT296">
        <f t="shared" si="128"/>
        <v>0</v>
      </c>
      <c r="AU296">
        <f t="shared" si="128"/>
        <v>0</v>
      </c>
      <c r="AV296">
        <f t="shared" si="128"/>
        <v>0</v>
      </c>
      <c r="AW296">
        <f t="shared" si="128"/>
        <v>0</v>
      </c>
      <c r="AX296">
        <f t="shared" si="124"/>
        <v>0</v>
      </c>
      <c r="AY296">
        <f t="shared" si="124"/>
        <v>0</v>
      </c>
      <c r="AZ296">
        <f t="shared" si="124"/>
        <v>0</v>
      </c>
      <c r="BA296">
        <f t="shared" si="125"/>
        <v>1</v>
      </c>
      <c r="BB296">
        <f t="shared" si="126"/>
        <v>0</v>
      </c>
    </row>
    <row r="297" spans="1:54">
      <c r="A297">
        <v>294</v>
      </c>
      <c r="B297" t="s">
        <v>20</v>
      </c>
      <c r="C297" t="s">
        <v>28</v>
      </c>
      <c r="D297" t="s">
        <v>25</v>
      </c>
      <c r="E297" t="s">
        <v>30</v>
      </c>
      <c r="F297" t="s">
        <v>28</v>
      </c>
      <c r="G297" t="s">
        <v>23</v>
      </c>
      <c r="H297" s="3">
        <v>2.2092224920552999E-2</v>
      </c>
      <c r="I297" s="3">
        <v>2.1260201293522001E-2</v>
      </c>
      <c r="J297" s="3">
        <v>1.8725588827809999E-2</v>
      </c>
      <c r="K297" s="3">
        <v>1.90034429599404E-2</v>
      </c>
      <c r="L297" s="3">
        <v>1.43490676520654E-2</v>
      </c>
      <c r="M297" s="3">
        <v>1.15436106393718E-2</v>
      </c>
      <c r="N297" s="3">
        <v>2.4505462060820701E-2</v>
      </c>
      <c r="O297" s="3">
        <v>1.4914601388635901E-2</v>
      </c>
      <c r="P297">
        <f t="shared" si="111"/>
        <v>0</v>
      </c>
      <c r="Q297">
        <f t="shared" si="112"/>
        <v>1</v>
      </c>
      <c r="R297">
        <f t="shared" si="113"/>
        <v>0</v>
      </c>
      <c r="S297">
        <f t="shared" si="114"/>
        <v>0</v>
      </c>
      <c r="T297">
        <f t="shared" si="115"/>
        <v>0</v>
      </c>
      <c r="U297">
        <f t="shared" si="116"/>
        <v>0</v>
      </c>
      <c r="V297">
        <f t="shared" si="117"/>
        <v>0</v>
      </c>
      <c r="W297">
        <f t="shared" si="118"/>
        <v>0</v>
      </c>
      <c r="X297">
        <f t="shared" si="119"/>
        <v>0</v>
      </c>
      <c r="Y297">
        <f t="shared" si="120"/>
        <v>0</v>
      </c>
      <c r="Z297">
        <f t="shared" si="121"/>
        <v>0</v>
      </c>
      <c r="AA297">
        <f t="shared" si="122"/>
        <v>0</v>
      </c>
      <c r="AB297">
        <f t="shared" si="105"/>
        <v>0</v>
      </c>
      <c r="AC297">
        <f t="shared" si="106"/>
        <v>0</v>
      </c>
      <c r="AD297">
        <f t="shared" si="107"/>
        <v>0</v>
      </c>
      <c r="AE297">
        <f t="shared" si="108"/>
        <v>0</v>
      </c>
      <c r="AF297">
        <f t="shared" si="109"/>
        <v>1</v>
      </c>
      <c r="AG297">
        <f t="shared" si="110"/>
        <v>0</v>
      </c>
      <c r="AH297">
        <f t="shared" si="123"/>
        <v>0</v>
      </c>
      <c r="AI297">
        <f t="shared" si="128"/>
        <v>0</v>
      </c>
      <c r="AJ297">
        <f t="shared" si="128"/>
        <v>0</v>
      </c>
      <c r="AK297">
        <f t="shared" si="128"/>
        <v>0</v>
      </c>
      <c r="AL297">
        <f t="shared" si="128"/>
        <v>0</v>
      </c>
      <c r="AM297">
        <f t="shared" si="128"/>
        <v>0</v>
      </c>
      <c r="AN297">
        <f t="shared" si="128"/>
        <v>0</v>
      </c>
      <c r="AO297">
        <f t="shared" si="128"/>
        <v>1</v>
      </c>
      <c r="AP297">
        <f t="shared" si="128"/>
        <v>0</v>
      </c>
      <c r="AQ297">
        <f t="shared" si="128"/>
        <v>0</v>
      </c>
      <c r="AR297">
        <f t="shared" si="128"/>
        <v>0</v>
      </c>
      <c r="AS297">
        <f t="shared" si="128"/>
        <v>0</v>
      </c>
      <c r="AT297">
        <f t="shared" si="128"/>
        <v>0</v>
      </c>
      <c r="AU297">
        <f t="shared" si="128"/>
        <v>0</v>
      </c>
      <c r="AV297">
        <f t="shared" si="128"/>
        <v>0</v>
      </c>
      <c r="AW297">
        <f t="shared" si="128"/>
        <v>0</v>
      </c>
      <c r="AX297">
        <f t="shared" si="124"/>
        <v>0</v>
      </c>
      <c r="AY297">
        <f t="shared" si="124"/>
        <v>0</v>
      </c>
      <c r="AZ297">
        <f t="shared" si="124"/>
        <v>0</v>
      </c>
      <c r="BA297">
        <f t="shared" si="125"/>
        <v>1</v>
      </c>
      <c r="BB297">
        <f t="shared" si="126"/>
        <v>0</v>
      </c>
    </row>
    <row r="298" spans="1:54">
      <c r="A298">
        <v>295</v>
      </c>
      <c r="B298" t="s">
        <v>20</v>
      </c>
      <c r="C298" t="s">
        <v>28</v>
      </c>
      <c r="D298" t="s">
        <v>25</v>
      </c>
      <c r="E298" t="s">
        <v>30</v>
      </c>
      <c r="F298" t="s">
        <v>28</v>
      </c>
      <c r="G298" t="s">
        <v>24</v>
      </c>
      <c r="H298" s="3">
        <v>0.58645537956387095</v>
      </c>
      <c r="I298" s="3">
        <v>0.60670141418839996</v>
      </c>
      <c r="J298" s="3">
        <v>0.46572393453062799</v>
      </c>
      <c r="K298" s="3">
        <v>0.51908152739716196</v>
      </c>
      <c r="L298" s="3">
        <v>0.32382684075698598</v>
      </c>
      <c r="M298" s="3">
        <v>0.23478143172403701</v>
      </c>
      <c r="N298" s="3">
        <v>0.71866627803400096</v>
      </c>
      <c r="O298" s="3">
        <v>0.34749389224160698</v>
      </c>
      <c r="P298">
        <f t="shared" si="111"/>
        <v>0</v>
      </c>
      <c r="Q298">
        <f t="shared" si="112"/>
        <v>0</v>
      </c>
      <c r="R298">
        <f t="shared" si="113"/>
        <v>1</v>
      </c>
      <c r="S298">
        <f t="shared" si="114"/>
        <v>0</v>
      </c>
      <c r="T298">
        <f t="shared" si="115"/>
        <v>0</v>
      </c>
      <c r="U298">
        <f t="shared" si="116"/>
        <v>0</v>
      </c>
      <c r="V298">
        <f t="shared" si="117"/>
        <v>0</v>
      </c>
      <c r="W298">
        <f t="shared" si="118"/>
        <v>0</v>
      </c>
      <c r="X298">
        <f t="shared" si="119"/>
        <v>0</v>
      </c>
      <c r="Y298">
        <f t="shared" si="120"/>
        <v>0</v>
      </c>
      <c r="Z298">
        <f t="shared" si="121"/>
        <v>0</v>
      </c>
      <c r="AA298">
        <f t="shared" si="122"/>
        <v>0</v>
      </c>
      <c r="AB298">
        <f t="shared" si="105"/>
        <v>0</v>
      </c>
      <c r="AC298">
        <f t="shared" si="106"/>
        <v>0</v>
      </c>
      <c r="AD298">
        <f t="shared" si="107"/>
        <v>0</v>
      </c>
      <c r="AE298">
        <f t="shared" si="108"/>
        <v>0</v>
      </c>
      <c r="AF298">
        <f t="shared" si="109"/>
        <v>1</v>
      </c>
      <c r="AG298">
        <f t="shared" si="110"/>
        <v>0</v>
      </c>
      <c r="AH298">
        <f t="shared" si="123"/>
        <v>0</v>
      </c>
      <c r="AI298">
        <f t="shared" si="128"/>
        <v>0</v>
      </c>
      <c r="AJ298">
        <f t="shared" si="128"/>
        <v>0</v>
      </c>
      <c r="AK298">
        <f t="shared" si="128"/>
        <v>0</v>
      </c>
      <c r="AL298">
        <f t="shared" si="128"/>
        <v>0</v>
      </c>
      <c r="AM298">
        <f t="shared" si="128"/>
        <v>0</v>
      </c>
      <c r="AN298">
        <f t="shared" si="128"/>
        <v>0</v>
      </c>
      <c r="AO298">
        <f t="shared" si="128"/>
        <v>0</v>
      </c>
      <c r="AP298">
        <f t="shared" si="128"/>
        <v>1</v>
      </c>
      <c r="AQ298">
        <f t="shared" si="128"/>
        <v>0</v>
      </c>
      <c r="AR298">
        <f t="shared" si="128"/>
        <v>0</v>
      </c>
      <c r="AS298">
        <f t="shared" si="128"/>
        <v>0</v>
      </c>
      <c r="AT298">
        <f t="shared" si="128"/>
        <v>0</v>
      </c>
      <c r="AU298">
        <f t="shared" si="128"/>
        <v>0</v>
      </c>
      <c r="AV298">
        <f t="shared" si="128"/>
        <v>0</v>
      </c>
      <c r="AW298">
        <f t="shared" si="128"/>
        <v>0</v>
      </c>
      <c r="AX298">
        <f t="shared" si="124"/>
        <v>0</v>
      </c>
      <c r="AY298">
        <f t="shared" si="124"/>
        <v>0</v>
      </c>
      <c r="AZ298">
        <f t="shared" si="124"/>
        <v>0</v>
      </c>
      <c r="BA298">
        <f t="shared" si="125"/>
        <v>1</v>
      </c>
      <c r="BB298">
        <f t="shared" si="126"/>
        <v>0</v>
      </c>
    </row>
    <row r="299" spans="1:54">
      <c r="A299">
        <v>296</v>
      </c>
      <c r="B299" t="s">
        <v>20</v>
      </c>
      <c r="C299" t="s">
        <v>28</v>
      </c>
      <c r="D299" t="s">
        <v>25</v>
      </c>
      <c r="E299" t="s">
        <v>30</v>
      </c>
      <c r="F299" t="s">
        <v>28</v>
      </c>
      <c r="G299" t="s">
        <v>25</v>
      </c>
      <c r="H299" s="3">
        <v>0.80286060699744299</v>
      </c>
      <c r="I299" s="3">
        <v>0.81608562426629905</v>
      </c>
      <c r="J299" s="3">
        <v>0.67563496742547002</v>
      </c>
      <c r="K299" s="3">
        <v>0.71390321816825597</v>
      </c>
      <c r="L299" s="3">
        <v>0.59321801735780699</v>
      </c>
      <c r="M299" s="3">
        <v>0.462749013968623</v>
      </c>
      <c r="N299" s="3">
        <v>0.97124033080022099</v>
      </c>
      <c r="O299" s="3">
        <v>0.57118249111107999</v>
      </c>
      <c r="P299">
        <f t="shared" si="111"/>
        <v>0</v>
      </c>
      <c r="Q299">
        <f t="shared" si="112"/>
        <v>0</v>
      </c>
      <c r="R299">
        <f t="shared" si="113"/>
        <v>0</v>
      </c>
      <c r="S299">
        <f t="shared" si="114"/>
        <v>0</v>
      </c>
      <c r="T299">
        <f t="shared" si="115"/>
        <v>0</v>
      </c>
      <c r="U299">
        <f t="shared" si="116"/>
        <v>0</v>
      </c>
      <c r="V299">
        <f t="shared" si="117"/>
        <v>0</v>
      </c>
      <c r="W299">
        <f t="shared" si="118"/>
        <v>0</v>
      </c>
      <c r="X299">
        <f t="shared" si="119"/>
        <v>0</v>
      </c>
      <c r="Y299">
        <f t="shared" si="120"/>
        <v>0</v>
      </c>
      <c r="Z299">
        <f t="shared" si="121"/>
        <v>0</v>
      </c>
      <c r="AA299">
        <f t="shared" si="122"/>
        <v>0</v>
      </c>
      <c r="AB299">
        <f t="shared" si="105"/>
        <v>0</v>
      </c>
      <c r="AC299">
        <f t="shared" si="106"/>
        <v>0</v>
      </c>
      <c r="AD299">
        <f t="shared" si="107"/>
        <v>0</v>
      </c>
      <c r="AE299">
        <f t="shared" si="108"/>
        <v>1</v>
      </c>
      <c r="AF299">
        <f t="shared" si="109"/>
        <v>1</v>
      </c>
      <c r="AG299">
        <f t="shared" si="110"/>
        <v>0</v>
      </c>
      <c r="AH299">
        <f t="shared" si="123"/>
        <v>1</v>
      </c>
      <c r="AI299">
        <f t="shared" si="128"/>
        <v>0</v>
      </c>
      <c r="AJ299">
        <f t="shared" si="128"/>
        <v>0</v>
      </c>
      <c r="AK299">
        <f t="shared" si="128"/>
        <v>0</v>
      </c>
      <c r="AL299">
        <f t="shared" si="128"/>
        <v>0</v>
      </c>
      <c r="AM299">
        <f t="shared" si="128"/>
        <v>0</v>
      </c>
      <c r="AN299">
        <f t="shared" si="128"/>
        <v>0</v>
      </c>
      <c r="AO299">
        <f t="shared" si="128"/>
        <v>0</v>
      </c>
      <c r="AP299">
        <f t="shared" si="128"/>
        <v>0</v>
      </c>
      <c r="AQ299">
        <f t="shared" si="128"/>
        <v>0</v>
      </c>
      <c r="AR299">
        <f t="shared" si="128"/>
        <v>0</v>
      </c>
      <c r="AS299">
        <f t="shared" si="128"/>
        <v>0</v>
      </c>
      <c r="AT299">
        <f t="shared" si="128"/>
        <v>0</v>
      </c>
      <c r="AU299">
        <f t="shared" si="128"/>
        <v>0</v>
      </c>
      <c r="AV299">
        <f t="shared" si="128"/>
        <v>0</v>
      </c>
      <c r="AW299">
        <f t="shared" si="128"/>
        <v>0</v>
      </c>
      <c r="AX299">
        <f t="shared" si="124"/>
        <v>0</v>
      </c>
      <c r="AY299">
        <f t="shared" si="124"/>
        <v>0</v>
      </c>
      <c r="AZ299">
        <f t="shared" si="124"/>
        <v>0</v>
      </c>
      <c r="BA299">
        <f t="shared" si="125"/>
        <v>0</v>
      </c>
      <c r="BB299">
        <f t="shared" si="126"/>
        <v>0</v>
      </c>
    </row>
    <row r="300" spans="1:54">
      <c r="A300">
        <v>297</v>
      </c>
      <c r="B300" t="s">
        <v>20</v>
      </c>
      <c r="C300" t="s">
        <v>28</v>
      </c>
      <c r="D300" t="s">
        <v>25</v>
      </c>
      <c r="E300" t="s">
        <v>30</v>
      </c>
      <c r="F300" t="s">
        <v>28</v>
      </c>
      <c r="G300" t="s">
        <v>26</v>
      </c>
      <c r="H300" s="3">
        <v>0.79242739834328602</v>
      </c>
      <c r="I300" s="3">
        <v>0.80338975180337602</v>
      </c>
      <c r="J300" s="3">
        <v>0.66757363851344598</v>
      </c>
      <c r="K300" s="3">
        <v>0.70235019502326002</v>
      </c>
      <c r="L300" s="3">
        <v>0.58412976013699802</v>
      </c>
      <c r="M300" s="3">
        <v>0.455480913377176</v>
      </c>
      <c r="N300" s="3">
        <v>0.95795516255451796</v>
      </c>
      <c r="O300" s="3">
        <v>0.56300518008899503</v>
      </c>
      <c r="P300">
        <f t="shared" si="111"/>
        <v>0</v>
      </c>
      <c r="Q300">
        <f t="shared" si="112"/>
        <v>0</v>
      </c>
      <c r="R300">
        <f t="shared" si="113"/>
        <v>0</v>
      </c>
      <c r="S300">
        <f t="shared" si="114"/>
        <v>0</v>
      </c>
      <c r="T300">
        <f t="shared" si="115"/>
        <v>0</v>
      </c>
      <c r="U300">
        <f t="shared" si="116"/>
        <v>0</v>
      </c>
      <c r="V300">
        <f t="shared" si="117"/>
        <v>0</v>
      </c>
      <c r="W300">
        <f t="shared" si="118"/>
        <v>0</v>
      </c>
      <c r="X300">
        <f t="shared" si="119"/>
        <v>0</v>
      </c>
      <c r="Y300">
        <f t="shared" si="120"/>
        <v>0</v>
      </c>
      <c r="Z300">
        <f t="shared" si="121"/>
        <v>0</v>
      </c>
      <c r="AA300">
        <f t="shared" si="122"/>
        <v>0</v>
      </c>
      <c r="AB300">
        <f t="shared" si="105"/>
        <v>0</v>
      </c>
      <c r="AC300">
        <f t="shared" si="106"/>
        <v>0</v>
      </c>
      <c r="AD300">
        <f t="shared" si="107"/>
        <v>0</v>
      </c>
      <c r="AE300">
        <f t="shared" si="108"/>
        <v>1</v>
      </c>
      <c r="AF300">
        <f t="shared" si="109"/>
        <v>1</v>
      </c>
      <c r="AG300">
        <f t="shared" si="110"/>
        <v>0</v>
      </c>
      <c r="AH300">
        <f t="shared" si="123"/>
        <v>1</v>
      </c>
      <c r="AI300">
        <f t="shared" si="128"/>
        <v>1</v>
      </c>
      <c r="AJ300">
        <f t="shared" si="128"/>
        <v>0</v>
      </c>
      <c r="AK300">
        <f t="shared" si="128"/>
        <v>0</v>
      </c>
      <c r="AL300">
        <f t="shared" si="128"/>
        <v>0</v>
      </c>
      <c r="AM300">
        <f t="shared" si="128"/>
        <v>0</v>
      </c>
      <c r="AN300">
        <f t="shared" si="128"/>
        <v>0</v>
      </c>
      <c r="AO300">
        <f t="shared" si="128"/>
        <v>0</v>
      </c>
      <c r="AP300">
        <f t="shared" si="128"/>
        <v>0</v>
      </c>
      <c r="AQ300">
        <f t="shared" si="128"/>
        <v>0</v>
      </c>
      <c r="AR300">
        <f t="shared" si="128"/>
        <v>0</v>
      </c>
      <c r="AS300">
        <f t="shared" si="128"/>
        <v>0</v>
      </c>
      <c r="AT300">
        <f t="shared" si="128"/>
        <v>0</v>
      </c>
      <c r="AU300">
        <f t="shared" si="128"/>
        <v>0</v>
      </c>
      <c r="AV300">
        <f t="shared" si="128"/>
        <v>0</v>
      </c>
      <c r="AW300">
        <f t="shared" si="128"/>
        <v>0</v>
      </c>
      <c r="AX300">
        <f t="shared" si="124"/>
        <v>0</v>
      </c>
      <c r="AY300">
        <f t="shared" si="124"/>
        <v>0</v>
      </c>
      <c r="AZ300">
        <f t="shared" si="124"/>
        <v>0</v>
      </c>
      <c r="BA300">
        <f t="shared" si="125"/>
        <v>1</v>
      </c>
      <c r="BB300">
        <f t="shared" si="126"/>
        <v>0</v>
      </c>
    </row>
    <row r="301" spans="1:54">
      <c r="A301">
        <v>298</v>
      </c>
      <c r="B301" t="s">
        <v>20</v>
      </c>
      <c r="C301" t="s">
        <v>28</v>
      </c>
      <c r="D301" t="s">
        <v>25</v>
      </c>
      <c r="E301" t="s">
        <v>30</v>
      </c>
      <c r="F301" t="s">
        <v>28</v>
      </c>
      <c r="G301" t="s">
        <v>27</v>
      </c>
      <c r="H301" s="3">
        <v>0.25436409494804402</v>
      </c>
      <c r="I301" s="3">
        <v>0.23969342671972099</v>
      </c>
      <c r="J301" s="3">
        <v>0.20809880945312001</v>
      </c>
      <c r="K301" s="3">
        <v>0.197230398996976</v>
      </c>
      <c r="L301" s="3">
        <v>0.16440013903511</v>
      </c>
      <c r="M301" s="3">
        <v>0.122154731555217</v>
      </c>
      <c r="N301" s="3">
        <v>0.35813404192500697</v>
      </c>
      <c r="O301" s="3">
        <v>0.152156909049638</v>
      </c>
      <c r="P301">
        <f t="shared" si="111"/>
        <v>0</v>
      </c>
      <c r="Q301">
        <f t="shared" si="112"/>
        <v>0</v>
      </c>
      <c r="R301">
        <f t="shared" si="113"/>
        <v>0</v>
      </c>
      <c r="S301">
        <f t="shared" si="114"/>
        <v>1</v>
      </c>
      <c r="T301">
        <f t="shared" si="115"/>
        <v>0</v>
      </c>
      <c r="U301">
        <f t="shared" si="116"/>
        <v>0</v>
      </c>
      <c r="V301">
        <f t="shared" si="117"/>
        <v>0</v>
      </c>
      <c r="W301">
        <f t="shared" si="118"/>
        <v>0</v>
      </c>
      <c r="X301">
        <f t="shared" si="119"/>
        <v>0</v>
      </c>
      <c r="Y301">
        <f t="shared" si="120"/>
        <v>0</v>
      </c>
      <c r="Z301">
        <f t="shared" si="121"/>
        <v>0</v>
      </c>
      <c r="AA301">
        <f t="shared" si="122"/>
        <v>0</v>
      </c>
      <c r="AB301">
        <f t="shared" si="105"/>
        <v>0</v>
      </c>
      <c r="AC301">
        <f t="shared" si="106"/>
        <v>0</v>
      </c>
      <c r="AD301">
        <f t="shared" si="107"/>
        <v>0</v>
      </c>
      <c r="AE301">
        <f t="shared" si="108"/>
        <v>0</v>
      </c>
      <c r="AF301">
        <f t="shared" si="109"/>
        <v>1</v>
      </c>
      <c r="AG301">
        <f t="shared" si="110"/>
        <v>0</v>
      </c>
      <c r="AH301">
        <f t="shared" si="123"/>
        <v>0</v>
      </c>
      <c r="AI301">
        <f t="shared" si="128"/>
        <v>0</v>
      </c>
      <c r="AJ301">
        <f t="shared" si="128"/>
        <v>0</v>
      </c>
      <c r="AK301">
        <f t="shared" si="128"/>
        <v>0</v>
      </c>
      <c r="AL301">
        <f t="shared" si="128"/>
        <v>0</v>
      </c>
      <c r="AM301">
        <f t="shared" si="128"/>
        <v>0</v>
      </c>
      <c r="AN301">
        <f t="shared" si="128"/>
        <v>0</v>
      </c>
      <c r="AO301">
        <f t="shared" si="128"/>
        <v>0</v>
      </c>
      <c r="AP301">
        <f t="shared" si="128"/>
        <v>0</v>
      </c>
      <c r="AQ301">
        <f t="shared" si="128"/>
        <v>1</v>
      </c>
      <c r="AR301">
        <f t="shared" si="128"/>
        <v>0</v>
      </c>
      <c r="AS301">
        <f t="shared" si="128"/>
        <v>0</v>
      </c>
      <c r="AT301">
        <f t="shared" si="128"/>
        <v>0</v>
      </c>
      <c r="AU301">
        <f t="shared" si="128"/>
        <v>0</v>
      </c>
      <c r="AV301">
        <f t="shared" si="128"/>
        <v>0</v>
      </c>
      <c r="AW301">
        <f t="shared" si="128"/>
        <v>0</v>
      </c>
      <c r="AX301">
        <f t="shared" si="124"/>
        <v>0</v>
      </c>
      <c r="AY301">
        <f t="shared" si="124"/>
        <v>0</v>
      </c>
      <c r="AZ301">
        <f t="shared" si="124"/>
        <v>0</v>
      </c>
      <c r="BA301">
        <f t="shared" si="125"/>
        <v>1</v>
      </c>
      <c r="BB301">
        <f t="shared" si="126"/>
        <v>0</v>
      </c>
    </row>
    <row r="302" spans="1:54">
      <c r="A302">
        <v>299</v>
      </c>
      <c r="B302" t="s">
        <v>20</v>
      </c>
      <c r="C302" t="s">
        <v>28</v>
      </c>
      <c r="D302" t="s">
        <v>25</v>
      </c>
      <c r="E302" t="s">
        <v>30</v>
      </c>
      <c r="F302" t="s">
        <v>29</v>
      </c>
      <c r="G302" t="s">
        <v>22</v>
      </c>
      <c r="H302" s="3">
        <v>0.61780065455318101</v>
      </c>
      <c r="I302" s="3">
        <v>0.59193704368894196</v>
      </c>
      <c r="J302" s="3">
        <v>0.50839424052399496</v>
      </c>
      <c r="K302" s="3">
        <v>0.496021302127647</v>
      </c>
      <c r="L302" s="3">
        <v>0.38013857323148897</v>
      </c>
      <c r="M302" s="3">
        <v>0.28063148281200201</v>
      </c>
      <c r="N302" s="3">
        <v>0.75316946732768097</v>
      </c>
      <c r="O302" s="3">
        <v>0.37711655548379203</v>
      </c>
      <c r="P302">
        <f t="shared" si="111"/>
        <v>0</v>
      </c>
      <c r="Q302">
        <f t="shared" si="112"/>
        <v>0</v>
      </c>
      <c r="R302">
        <f t="shared" si="113"/>
        <v>0</v>
      </c>
      <c r="S302">
        <f t="shared" si="114"/>
        <v>0</v>
      </c>
      <c r="T302">
        <f t="shared" si="115"/>
        <v>0</v>
      </c>
      <c r="U302">
        <f t="shared" si="116"/>
        <v>0</v>
      </c>
      <c r="V302">
        <f t="shared" si="117"/>
        <v>0</v>
      </c>
      <c r="W302">
        <f t="shared" si="118"/>
        <v>0</v>
      </c>
      <c r="X302">
        <f t="shared" si="119"/>
        <v>1</v>
      </c>
      <c r="Y302">
        <f t="shared" si="120"/>
        <v>0</v>
      </c>
      <c r="Z302">
        <f t="shared" si="121"/>
        <v>0</v>
      </c>
      <c r="AA302">
        <f t="shared" si="122"/>
        <v>0</v>
      </c>
      <c r="AB302">
        <f t="shared" si="105"/>
        <v>0</v>
      </c>
      <c r="AC302">
        <f t="shared" si="106"/>
        <v>0</v>
      </c>
      <c r="AD302">
        <f t="shared" si="107"/>
        <v>0</v>
      </c>
      <c r="AE302">
        <f t="shared" si="108"/>
        <v>0</v>
      </c>
      <c r="AF302">
        <f t="shared" si="109"/>
        <v>0</v>
      </c>
      <c r="AG302">
        <f t="shared" si="110"/>
        <v>0</v>
      </c>
      <c r="AH302">
        <f t="shared" si="123"/>
        <v>0</v>
      </c>
      <c r="AI302">
        <f t="shared" si="128"/>
        <v>0</v>
      </c>
      <c r="AJ302">
        <f t="shared" si="128"/>
        <v>0</v>
      </c>
      <c r="AK302">
        <f t="shared" si="128"/>
        <v>0</v>
      </c>
      <c r="AL302">
        <f t="shared" si="128"/>
        <v>0</v>
      </c>
      <c r="AM302">
        <f t="shared" si="128"/>
        <v>0</v>
      </c>
      <c r="AN302">
        <f t="shared" si="128"/>
        <v>1</v>
      </c>
      <c r="AO302">
        <f t="shared" si="128"/>
        <v>0</v>
      </c>
      <c r="AP302">
        <f t="shared" si="128"/>
        <v>0</v>
      </c>
      <c r="AQ302">
        <f t="shared" si="128"/>
        <v>0</v>
      </c>
      <c r="AR302">
        <f t="shared" si="128"/>
        <v>0</v>
      </c>
      <c r="AS302">
        <f t="shared" si="128"/>
        <v>0</v>
      </c>
      <c r="AT302">
        <f t="shared" si="128"/>
        <v>0</v>
      </c>
      <c r="AU302">
        <f t="shared" si="128"/>
        <v>0</v>
      </c>
      <c r="AV302">
        <f t="shared" si="128"/>
        <v>0</v>
      </c>
      <c r="AW302">
        <f t="shared" si="128"/>
        <v>0</v>
      </c>
      <c r="AX302">
        <f t="shared" si="124"/>
        <v>0</v>
      </c>
      <c r="AY302">
        <f t="shared" si="124"/>
        <v>1</v>
      </c>
      <c r="AZ302">
        <f t="shared" si="124"/>
        <v>0</v>
      </c>
      <c r="BA302">
        <f t="shared" si="125"/>
        <v>1</v>
      </c>
      <c r="BB302">
        <f t="shared" si="126"/>
        <v>1</v>
      </c>
    </row>
    <row r="303" spans="1:54">
      <c r="A303">
        <v>300</v>
      </c>
      <c r="B303" t="s">
        <v>20</v>
      </c>
      <c r="C303" t="s">
        <v>28</v>
      </c>
      <c r="D303" t="s">
        <v>25</v>
      </c>
      <c r="E303" t="s">
        <v>30</v>
      </c>
      <c r="F303" t="s">
        <v>29</v>
      </c>
      <c r="G303" t="s">
        <v>23</v>
      </c>
      <c r="H303" s="3">
        <v>2.85355750204512E-2</v>
      </c>
      <c r="I303" s="3">
        <v>2.76152018373182E-2</v>
      </c>
      <c r="J303" s="3">
        <v>2.4260501920576098E-2</v>
      </c>
      <c r="K303" s="3">
        <v>2.4771101503498899E-2</v>
      </c>
      <c r="L303" s="3">
        <v>1.8262266643409401E-2</v>
      </c>
      <c r="M303" s="3">
        <v>1.44031491819233E-2</v>
      </c>
      <c r="N303" s="3">
        <v>3.1591378801299003E-2</v>
      </c>
      <c r="O303" s="3">
        <v>1.9437626051236601E-2</v>
      </c>
      <c r="P303">
        <f t="shared" si="111"/>
        <v>0</v>
      </c>
      <c r="Q303">
        <f t="shared" si="112"/>
        <v>0</v>
      </c>
      <c r="R303">
        <f t="shared" si="113"/>
        <v>0</v>
      </c>
      <c r="S303">
        <f t="shared" si="114"/>
        <v>0</v>
      </c>
      <c r="T303">
        <f t="shared" si="115"/>
        <v>0</v>
      </c>
      <c r="U303">
        <f t="shared" si="116"/>
        <v>0</v>
      </c>
      <c r="V303">
        <f t="shared" si="117"/>
        <v>0</v>
      </c>
      <c r="W303">
        <f t="shared" si="118"/>
        <v>0</v>
      </c>
      <c r="X303">
        <f t="shared" si="119"/>
        <v>0</v>
      </c>
      <c r="Y303">
        <f t="shared" si="120"/>
        <v>1</v>
      </c>
      <c r="Z303">
        <f t="shared" si="121"/>
        <v>0</v>
      </c>
      <c r="AA303">
        <f t="shared" si="122"/>
        <v>0</v>
      </c>
      <c r="AB303">
        <f t="shared" si="105"/>
        <v>0</v>
      </c>
      <c r="AC303">
        <f t="shared" si="106"/>
        <v>0</v>
      </c>
      <c r="AD303">
        <f t="shared" si="107"/>
        <v>0</v>
      </c>
      <c r="AE303">
        <f t="shared" si="108"/>
        <v>0</v>
      </c>
      <c r="AF303">
        <f t="shared" si="109"/>
        <v>0</v>
      </c>
      <c r="AG303">
        <f t="shared" si="110"/>
        <v>0</v>
      </c>
      <c r="AH303">
        <f t="shared" si="123"/>
        <v>0</v>
      </c>
      <c r="AI303">
        <f t="shared" si="128"/>
        <v>0</v>
      </c>
      <c r="AJ303">
        <f t="shared" si="128"/>
        <v>0</v>
      </c>
      <c r="AK303">
        <f t="shared" si="128"/>
        <v>0</v>
      </c>
      <c r="AL303">
        <f t="shared" si="128"/>
        <v>0</v>
      </c>
      <c r="AM303">
        <f t="shared" si="128"/>
        <v>0</v>
      </c>
      <c r="AN303">
        <f t="shared" si="128"/>
        <v>0</v>
      </c>
      <c r="AO303">
        <f t="shared" si="128"/>
        <v>1</v>
      </c>
      <c r="AP303">
        <f t="shared" si="128"/>
        <v>0</v>
      </c>
      <c r="AQ303">
        <f t="shared" si="128"/>
        <v>0</v>
      </c>
      <c r="AR303">
        <f t="shared" si="128"/>
        <v>0</v>
      </c>
      <c r="AS303">
        <f t="shared" si="128"/>
        <v>0</v>
      </c>
      <c r="AT303">
        <f t="shared" si="128"/>
        <v>0</v>
      </c>
      <c r="AU303">
        <f t="shared" si="128"/>
        <v>0</v>
      </c>
      <c r="AV303">
        <f t="shared" si="128"/>
        <v>0</v>
      </c>
      <c r="AW303">
        <f t="shared" si="128"/>
        <v>0</v>
      </c>
      <c r="AX303">
        <f t="shared" si="124"/>
        <v>0</v>
      </c>
      <c r="AY303">
        <f t="shared" si="124"/>
        <v>1</v>
      </c>
      <c r="AZ303">
        <f t="shared" si="124"/>
        <v>0</v>
      </c>
      <c r="BA303">
        <f t="shared" si="125"/>
        <v>1</v>
      </c>
      <c r="BB303">
        <f t="shared" si="126"/>
        <v>1</v>
      </c>
    </row>
    <row r="304" spans="1:54">
      <c r="A304">
        <v>301</v>
      </c>
      <c r="B304" t="s">
        <v>20</v>
      </c>
      <c r="C304" t="s">
        <v>28</v>
      </c>
      <c r="D304" t="s">
        <v>25</v>
      </c>
      <c r="E304" t="s">
        <v>30</v>
      </c>
      <c r="F304" t="s">
        <v>29</v>
      </c>
      <c r="G304" t="s">
        <v>24</v>
      </c>
      <c r="H304" s="3">
        <v>0.46425192582483499</v>
      </c>
      <c r="I304" s="3">
        <v>0.43399143851757499</v>
      </c>
      <c r="J304" s="3">
        <v>0.38843656464494702</v>
      </c>
      <c r="K304" s="3">
        <v>0.37871819911716997</v>
      </c>
      <c r="L304" s="3">
        <v>0.25645788399936198</v>
      </c>
      <c r="M304" s="3">
        <v>0.187435758017129</v>
      </c>
      <c r="N304" s="3">
        <v>0.505151856318794</v>
      </c>
      <c r="O304" s="3">
        <v>0.297894003920531</v>
      </c>
      <c r="P304">
        <f t="shared" si="111"/>
        <v>0</v>
      </c>
      <c r="Q304">
        <f t="shared" si="112"/>
        <v>0</v>
      </c>
      <c r="R304">
        <f t="shared" si="113"/>
        <v>0</v>
      </c>
      <c r="S304">
        <f t="shared" si="114"/>
        <v>0</v>
      </c>
      <c r="T304">
        <f t="shared" si="115"/>
        <v>0</v>
      </c>
      <c r="U304">
        <f t="shared" si="116"/>
        <v>0</v>
      </c>
      <c r="V304">
        <f t="shared" si="117"/>
        <v>0</v>
      </c>
      <c r="W304">
        <f t="shared" si="118"/>
        <v>0</v>
      </c>
      <c r="X304">
        <f t="shared" si="119"/>
        <v>0</v>
      </c>
      <c r="Y304">
        <f t="shared" si="120"/>
        <v>0</v>
      </c>
      <c r="Z304">
        <f t="shared" si="121"/>
        <v>0</v>
      </c>
      <c r="AA304">
        <f t="shared" si="122"/>
        <v>1</v>
      </c>
      <c r="AB304">
        <f t="shared" si="105"/>
        <v>0</v>
      </c>
      <c r="AC304">
        <f t="shared" si="106"/>
        <v>0</v>
      </c>
      <c r="AD304">
        <f t="shared" si="107"/>
        <v>0</v>
      </c>
      <c r="AE304">
        <f t="shared" si="108"/>
        <v>0</v>
      </c>
      <c r="AF304">
        <f t="shared" si="109"/>
        <v>0</v>
      </c>
      <c r="AG304">
        <f t="shared" si="110"/>
        <v>0</v>
      </c>
      <c r="AH304">
        <f t="shared" si="123"/>
        <v>0</v>
      </c>
      <c r="AI304">
        <f t="shared" si="128"/>
        <v>0</v>
      </c>
      <c r="AJ304">
        <f t="shared" si="128"/>
        <v>0</v>
      </c>
      <c r="AK304">
        <f t="shared" si="128"/>
        <v>0</v>
      </c>
      <c r="AL304">
        <f t="shared" si="128"/>
        <v>0</v>
      </c>
      <c r="AM304">
        <f t="shared" si="128"/>
        <v>0</v>
      </c>
      <c r="AN304">
        <f t="shared" si="128"/>
        <v>0</v>
      </c>
      <c r="AO304">
        <f t="shared" si="128"/>
        <v>0</v>
      </c>
      <c r="AP304">
        <f t="shared" si="128"/>
        <v>1</v>
      </c>
      <c r="AQ304">
        <f t="shared" si="128"/>
        <v>0</v>
      </c>
      <c r="AR304">
        <f t="shared" si="128"/>
        <v>0</v>
      </c>
      <c r="AS304">
        <f t="shared" si="128"/>
        <v>0</v>
      </c>
      <c r="AT304">
        <f t="shared" si="128"/>
        <v>0</v>
      </c>
      <c r="AU304">
        <f t="shared" si="128"/>
        <v>0</v>
      </c>
      <c r="AV304">
        <f t="shared" si="128"/>
        <v>0</v>
      </c>
      <c r="AW304">
        <f t="shared" si="128"/>
        <v>0</v>
      </c>
      <c r="AX304">
        <f t="shared" si="124"/>
        <v>0</v>
      </c>
      <c r="AY304">
        <f t="shared" si="124"/>
        <v>1</v>
      </c>
      <c r="AZ304">
        <f t="shared" si="124"/>
        <v>0</v>
      </c>
      <c r="BA304">
        <f t="shared" si="125"/>
        <v>1</v>
      </c>
      <c r="BB304">
        <f t="shared" si="126"/>
        <v>1</v>
      </c>
    </row>
    <row r="305" spans="1:54">
      <c r="A305">
        <v>302</v>
      </c>
      <c r="B305" t="s">
        <v>20</v>
      </c>
      <c r="C305" t="s">
        <v>28</v>
      </c>
      <c r="D305" t="s">
        <v>25</v>
      </c>
      <c r="E305" t="s">
        <v>30</v>
      </c>
      <c r="F305" t="s">
        <v>29</v>
      </c>
      <c r="G305" t="s">
        <v>31</v>
      </c>
      <c r="H305" s="3">
        <v>3.5421746134956099E-2</v>
      </c>
      <c r="I305" s="3">
        <v>3.3600342710894397E-2</v>
      </c>
      <c r="J305" s="3">
        <v>3.0403510661599902E-2</v>
      </c>
      <c r="K305" s="3">
        <v>3.03274646433228E-2</v>
      </c>
      <c r="L305" s="3">
        <v>2.4108850512275602E-2</v>
      </c>
      <c r="M305" s="3">
        <v>1.9383122238044798E-2</v>
      </c>
      <c r="N305" s="3">
        <v>3.8382049010924103E-2</v>
      </c>
      <c r="O305" s="3">
        <v>2.48739029616632E-2</v>
      </c>
      <c r="P305">
        <f t="shared" si="111"/>
        <v>0</v>
      </c>
      <c r="Q305">
        <f t="shared" si="112"/>
        <v>0</v>
      </c>
      <c r="R305">
        <f t="shared" si="113"/>
        <v>0</v>
      </c>
      <c r="S305">
        <f t="shared" si="114"/>
        <v>0</v>
      </c>
      <c r="T305">
        <f t="shared" si="115"/>
        <v>0</v>
      </c>
      <c r="U305">
        <f t="shared" si="116"/>
        <v>0</v>
      </c>
      <c r="V305">
        <f t="shared" si="117"/>
        <v>0</v>
      </c>
      <c r="W305">
        <f t="shared" si="118"/>
        <v>0</v>
      </c>
      <c r="X305">
        <f t="shared" si="119"/>
        <v>0</v>
      </c>
      <c r="Y305">
        <f t="shared" si="120"/>
        <v>0</v>
      </c>
      <c r="Z305">
        <f t="shared" si="121"/>
        <v>1</v>
      </c>
      <c r="AA305">
        <f t="shared" si="122"/>
        <v>0</v>
      </c>
      <c r="AB305">
        <f t="shared" si="105"/>
        <v>0</v>
      </c>
      <c r="AC305">
        <f t="shared" si="106"/>
        <v>0</v>
      </c>
      <c r="AD305">
        <f t="shared" si="107"/>
        <v>0</v>
      </c>
      <c r="AE305">
        <f t="shared" si="108"/>
        <v>0</v>
      </c>
      <c r="AF305">
        <f t="shared" si="109"/>
        <v>0</v>
      </c>
      <c r="AG305">
        <f t="shared" si="110"/>
        <v>0</v>
      </c>
      <c r="AH305">
        <f t="shared" si="123"/>
        <v>0</v>
      </c>
      <c r="AI305">
        <f t="shared" si="128"/>
        <v>0</v>
      </c>
      <c r="AJ305">
        <f t="shared" si="128"/>
        <v>0</v>
      </c>
      <c r="AK305">
        <f t="shared" si="128"/>
        <v>0</v>
      </c>
      <c r="AL305">
        <f t="shared" si="128"/>
        <v>0</v>
      </c>
      <c r="AM305">
        <f t="shared" si="128"/>
        <v>0</v>
      </c>
      <c r="AN305">
        <f t="shared" si="128"/>
        <v>0</v>
      </c>
      <c r="AO305">
        <f t="shared" si="128"/>
        <v>0</v>
      </c>
      <c r="AP305">
        <f t="shared" si="128"/>
        <v>0</v>
      </c>
      <c r="AQ305">
        <f t="shared" si="128"/>
        <v>0</v>
      </c>
      <c r="AR305">
        <f t="shared" si="128"/>
        <v>0</v>
      </c>
      <c r="AS305">
        <f t="shared" si="128"/>
        <v>0</v>
      </c>
      <c r="AT305">
        <f t="shared" si="128"/>
        <v>0</v>
      </c>
      <c r="AU305">
        <f t="shared" si="128"/>
        <v>0</v>
      </c>
      <c r="AV305">
        <f t="shared" si="128"/>
        <v>0</v>
      </c>
      <c r="AW305">
        <f t="shared" si="128"/>
        <v>0</v>
      </c>
      <c r="AX305">
        <f t="shared" si="124"/>
        <v>0</v>
      </c>
      <c r="AY305">
        <f t="shared" si="124"/>
        <v>1</v>
      </c>
      <c r="AZ305">
        <f t="shared" si="124"/>
        <v>0</v>
      </c>
      <c r="BA305">
        <f t="shared" si="125"/>
        <v>0</v>
      </c>
      <c r="BB305">
        <f t="shared" si="126"/>
        <v>1</v>
      </c>
    </row>
    <row r="306" spans="1:54">
      <c r="A306">
        <v>303</v>
      </c>
      <c r="B306" t="s">
        <v>20</v>
      </c>
      <c r="C306" t="s">
        <v>28</v>
      </c>
      <c r="D306" t="s">
        <v>25</v>
      </c>
      <c r="E306" t="s">
        <v>30</v>
      </c>
      <c r="F306" t="s">
        <v>29</v>
      </c>
      <c r="G306" t="s">
        <v>25</v>
      </c>
      <c r="H306" s="3">
        <v>0.15101900831539899</v>
      </c>
      <c r="I306" s="3">
        <v>0.139631867138542</v>
      </c>
      <c r="J306" s="3">
        <v>0.12702635152601199</v>
      </c>
      <c r="K306" s="3">
        <v>0.120042997822814</v>
      </c>
      <c r="L306" s="3">
        <v>9.5764237902514399E-2</v>
      </c>
      <c r="M306" s="3">
        <v>7.5624310377523193E-2</v>
      </c>
      <c r="N306" s="3">
        <v>0.17002158526178399</v>
      </c>
      <c r="O306" s="3">
        <v>9.6537793528100199E-2</v>
      </c>
      <c r="P306">
        <f t="shared" si="111"/>
        <v>0</v>
      </c>
      <c r="Q306">
        <f t="shared" si="112"/>
        <v>0</v>
      </c>
      <c r="R306">
        <f t="shared" si="113"/>
        <v>0</v>
      </c>
      <c r="S306">
        <f t="shared" si="114"/>
        <v>0</v>
      </c>
      <c r="T306">
        <f t="shared" si="115"/>
        <v>0</v>
      </c>
      <c r="U306">
        <f t="shared" si="116"/>
        <v>0</v>
      </c>
      <c r="V306">
        <f t="shared" si="117"/>
        <v>0</v>
      </c>
      <c r="W306">
        <f t="shared" si="118"/>
        <v>0</v>
      </c>
      <c r="X306">
        <f t="shared" si="119"/>
        <v>0</v>
      </c>
      <c r="Y306">
        <f t="shared" si="120"/>
        <v>0</v>
      </c>
      <c r="Z306">
        <f t="shared" si="121"/>
        <v>0</v>
      </c>
      <c r="AA306">
        <f t="shared" si="122"/>
        <v>0</v>
      </c>
      <c r="AB306">
        <f t="shared" si="105"/>
        <v>0</v>
      </c>
      <c r="AC306">
        <f t="shared" si="106"/>
        <v>0</v>
      </c>
      <c r="AD306">
        <f t="shared" si="107"/>
        <v>0</v>
      </c>
      <c r="AE306">
        <f t="shared" si="108"/>
        <v>1</v>
      </c>
      <c r="AF306">
        <f t="shared" si="109"/>
        <v>0</v>
      </c>
      <c r="AG306">
        <f t="shared" si="110"/>
        <v>0</v>
      </c>
      <c r="AH306">
        <f t="shared" si="123"/>
        <v>1</v>
      </c>
      <c r="AI306">
        <f t="shared" si="128"/>
        <v>0</v>
      </c>
      <c r="AJ306">
        <f t="shared" si="128"/>
        <v>0</v>
      </c>
      <c r="AK306">
        <f t="shared" si="128"/>
        <v>0</v>
      </c>
      <c r="AL306">
        <f t="shared" si="128"/>
        <v>0</v>
      </c>
      <c r="AM306">
        <f t="shared" si="128"/>
        <v>0</v>
      </c>
      <c r="AN306">
        <f t="shared" si="128"/>
        <v>0</v>
      </c>
      <c r="AO306">
        <f t="shared" si="128"/>
        <v>0</v>
      </c>
      <c r="AP306">
        <f t="shared" si="128"/>
        <v>0</v>
      </c>
      <c r="AQ306">
        <f t="shared" si="128"/>
        <v>0</v>
      </c>
      <c r="AR306">
        <f t="shared" si="128"/>
        <v>0</v>
      </c>
      <c r="AS306">
        <f t="shared" si="128"/>
        <v>0</v>
      </c>
      <c r="AT306">
        <f t="shared" si="128"/>
        <v>0</v>
      </c>
      <c r="AU306">
        <f t="shared" si="128"/>
        <v>0</v>
      </c>
      <c r="AV306">
        <f t="shared" si="128"/>
        <v>0</v>
      </c>
      <c r="AW306">
        <f t="shared" si="128"/>
        <v>0</v>
      </c>
      <c r="AX306">
        <f t="shared" si="124"/>
        <v>0</v>
      </c>
      <c r="AY306">
        <f t="shared" si="124"/>
        <v>1</v>
      </c>
      <c r="AZ306">
        <f t="shared" si="124"/>
        <v>0</v>
      </c>
      <c r="BA306">
        <f t="shared" si="125"/>
        <v>0</v>
      </c>
      <c r="BB306">
        <f t="shared" si="126"/>
        <v>1</v>
      </c>
    </row>
    <row r="307" spans="1:54">
      <c r="A307">
        <v>304</v>
      </c>
      <c r="B307" t="s">
        <v>20</v>
      </c>
      <c r="C307" t="s">
        <v>28</v>
      </c>
      <c r="D307" t="s">
        <v>25</v>
      </c>
      <c r="E307" t="s">
        <v>30</v>
      </c>
      <c r="F307" t="s">
        <v>29</v>
      </c>
      <c r="G307" t="s">
        <v>26</v>
      </c>
      <c r="H307" s="3">
        <v>0.15438983036656501</v>
      </c>
      <c r="I307" s="3">
        <v>0.14245663463956099</v>
      </c>
      <c r="J307" s="3">
        <v>0.12982229147392799</v>
      </c>
      <c r="K307" s="3">
        <v>0.122295179819054</v>
      </c>
      <c r="L307" s="3">
        <v>9.7950419134962996E-2</v>
      </c>
      <c r="M307" s="3">
        <v>7.7321107860595303E-2</v>
      </c>
      <c r="N307" s="3">
        <v>0.17387063655030799</v>
      </c>
      <c r="O307" s="3">
        <v>9.8647834965183104E-2</v>
      </c>
      <c r="P307">
        <f t="shared" si="111"/>
        <v>0</v>
      </c>
      <c r="Q307">
        <f t="shared" si="112"/>
        <v>0</v>
      </c>
      <c r="R307">
        <f t="shared" si="113"/>
        <v>0</v>
      </c>
      <c r="S307">
        <f t="shared" si="114"/>
        <v>0</v>
      </c>
      <c r="T307">
        <f t="shared" si="115"/>
        <v>0</v>
      </c>
      <c r="U307">
        <f t="shared" si="116"/>
        <v>0</v>
      </c>
      <c r="V307">
        <f t="shared" si="117"/>
        <v>0</v>
      </c>
      <c r="W307">
        <f t="shared" si="118"/>
        <v>0</v>
      </c>
      <c r="X307">
        <f t="shared" si="119"/>
        <v>0</v>
      </c>
      <c r="Y307">
        <f t="shared" si="120"/>
        <v>0</v>
      </c>
      <c r="Z307">
        <f t="shared" si="121"/>
        <v>0</v>
      </c>
      <c r="AA307">
        <f t="shared" si="122"/>
        <v>0</v>
      </c>
      <c r="AB307">
        <f t="shared" si="105"/>
        <v>0</v>
      </c>
      <c r="AC307">
        <f t="shared" si="106"/>
        <v>0</v>
      </c>
      <c r="AD307">
        <f t="shared" si="107"/>
        <v>0</v>
      </c>
      <c r="AE307">
        <f t="shared" si="108"/>
        <v>1</v>
      </c>
      <c r="AF307">
        <f t="shared" si="109"/>
        <v>0</v>
      </c>
      <c r="AG307">
        <f t="shared" si="110"/>
        <v>0</v>
      </c>
      <c r="AH307">
        <f t="shared" si="123"/>
        <v>1</v>
      </c>
      <c r="AI307">
        <f t="shared" ref="AI307:AW323" si="129">IF(OR(AND($D307=AI$1,$G307=AI$2),AND($D307=AI$2,$G307=AI$1)),1,0)</f>
        <v>1</v>
      </c>
      <c r="AJ307">
        <f t="shared" si="129"/>
        <v>0</v>
      </c>
      <c r="AK307">
        <f t="shared" si="129"/>
        <v>0</v>
      </c>
      <c r="AL307">
        <f t="shared" si="129"/>
        <v>0</v>
      </c>
      <c r="AM307">
        <f t="shared" si="129"/>
        <v>0</v>
      </c>
      <c r="AN307">
        <f t="shared" si="129"/>
        <v>0</v>
      </c>
      <c r="AO307">
        <f t="shared" si="129"/>
        <v>0</v>
      </c>
      <c r="AP307">
        <f t="shared" si="129"/>
        <v>0</v>
      </c>
      <c r="AQ307">
        <f t="shared" si="129"/>
        <v>0</v>
      </c>
      <c r="AR307">
        <f t="shared" si="129"/>
        <v>0</v>
      </c>
      <c r="AS307">
        <f t="shared" si="129"/>
        <v>0</v>
      </c>
      <c r="AT307">
        <f t="shared" si="129"/>
        <v>0</v>
      </c>
      <c r="AU307">
        <f t="shared" si="129"/>
        <v>0</v>
      </c>
      <c r="AV307">
        <f t="shared" si="129"/>
        <v>0</v>
      </c>
      <c r="AW307">
        <f t="shared" si="129"/>
        <v>0</v>
      </c>
      <c r="AX307">
        <f t="shared" si="124"/>
        <v>0</v>
      </c>
      <c r="AY307">
        <f t="shared" si="124"/>
        <v>1</v>
      </c>
      <c r="AZ307">
        <f t="shared" si="124"/>
        <v>0</v>
      </c>
      <c r="BA307">
        <f t="shared" si="125"/>
        <v>1</v>
      </c>
      <c r="BB307">
        <f t="shared" si="126"/>
        <v>1</v>
      </c>
    </row>
    <row r="308" spans="1:54">
      <c r="A308">
        <v>305</v>
      </c>
      <c r="B308" t="s">
        <v>20</v>
      </c>
      <c r="C308" t="s">
        <v>28</v>
      </c>
      <c r="D308" t="s">
        <v>26</v>
      </c>
      <c r="E308" t="s">
        <v>20</v>
      </c>
      <c r="F308" t="s">
        <v>28</v>
      </c>
      <c r="G308" t="s">
        <v>27</v>
      </c>
      <c r="H308" s="3">
        <v>0.17733952083172499</v>
      </c>
      <c r="I308" s="3">
        <v>0.176081339341607</v>
      </c>
      <c r="J308" s="3">
        <v>0.148599948447691</v>
      </c>
      <c r="K308" s="3">
        <v>0.153811992016054</v>
      </c>
      <c r="L308" s="3">
        <v>0.11148786892251999</v>
      </c>
      <c r="M308" s="3">
        <v>8.4775883582759004E-2</v>
      </c>
      <c r="N308" s="3">
        <v>0.21006892418339801</v>
      </c>
      <c r="O308" s="3">
        <v>0.115238965369268</v>
      </c>
      <c r="P308">
        <f t="shared" si="111"/>
        <v>0</v>
      </c>
      <c r="Q308">
        <f t="shared" si="112"/>
        <v>0</v>
      </c>
      <c r="R308">
        <f t="shared" si="113"/>
        <v>0</v>
      </c>
      <c r="S308">
        <f t="shared" si="114"/>
        <v>1</v>
      </c>
      <c r="T308">
        <f t="shared" si="115"/>
        <v>0</v>
      </c>
      <c r="U308">
        <f t="shared" si="116"/>
        <v>0</v>
      </c>
      <c r="V308">
        <f t="shared" si="117"/>
        <v>0</v>
      </c>
      <c r="W308">
        <f t="shared" si="118"/>
        <v>0</v>
      </c>
      <c r="X308">
        <f t="shared" si="119"/>
        <v>0</v>
      </c>
      <c r="Y308">
        <f t="shared" si="120"/>
        <v>0</v>
      </c>
      <c r="Z308">
        <f t="shared" si="121"/>
        <v>0</v>
      </c>
      <c r="AA308">
        <f t="shared" si="122"/>
        <v>0</v>
      </c>
      <c r="AB308">
        <f t="shared" si="105"/>
        <v>0</v>
      </c>
      <c r="AC308">
        <f t="shared" si="106"/>
        <v>0</v>
      </c>
      <c r="AD308">
        <f t="shared" si="107"/>
        <v>0</v>
      </c>
      <c r="AE308">
        <f t="shared" si="108"/>
        <v>0</v>
      </c>
      <c r="AF308">
        <f t="shared" si="109"/>
        <v>1</v>
      </c>
      <c r="AG308">
        <f t="shared" si="110"/>
        <v>1</v>
      </c>
      <c r="AH308">
        <f t="shared" si="123"/>
        <v>0</v>
      </c>
      <c r="AI308">
        <f t="shared" si="129"/>
        <v>0</v>
      </c>
      <c r="AJ308">
        <f t="shared" si="129"/>
        <v>0</v>
      </c>
      <c r="AK308">
        <f t="shared" si="129"/>
        <v>0</v>
      </c>
      <c r="AL308">
        <f t="shared" si="129"/>
        <v>0</v>
      </c>
      <c r="AM308">
        <f t="shared" si="129"/>
        <v>1</v>
      </c>
      <c r="AN308">
        <f t="shared" si="129"/>
        <v>0</v>
      </c>
      <c r="AO308">
        <f t="shared" si="129"/>
        <v>0</v>
      </c>
      <c r="AP308">
        <f t="shared" si="129"/>
        <v>0</v>
      </c>
      <c r="AQ308">
        <f t="shared" si="129"/>
        <v>0</v>
      </c>
      <c r="AR308">
        <f t="shared" si="129"/>
        <v>0</v>
      </c>
      <c r="AS308">
        <f t="shared" si="129"/>
        <v>0</v>
      </c>
      <c r="AT308">
        <f t="shared" si="129"/>
        <v>0</v>
      </c>
      <c r="AU308">
        <f t="shared" si="129"/>
        <v>0</v>
      </c>
      <c r="AV308">
        <f t="shared" si="129"/>
        <v>0</v>
      </c>
      <c r="AW308">
        <f t="shared" si="129"/>
        <v>0</v>
      </c>
      <c r="AX308">
        <f t="shared" si="124"/>
        <v>0</v>
      </c>
      <c r="AY308">
        <f t="shared" si="124"/>
        <v>0</v>
      </c>
      <c r="AZ308">
        <f t="shared" si="124"/>
        <v>0</v>
      </c>
      <c r="BA308">
        <f t="shared" si="125"/>
        <v>1</v>
      </c>
      <c r="BB308">
        <f t="shared" si="126"/>
        <v>0</v>
      </c>
    </row>
    <row r="309" spans="1:54">
      <c r="A309">
        <v>306</v>
      </c>
      <c r="B309" t="s">
        <v>20</v>
      </c>
      <c r="C309" t="s">
        <v>28</v>
      </c>
      <c r="D309" t="s">
        <v>26</v>
      </c>
      <c r="E309" t="s">
        <v>20</v>
      </c>
      <c r="F309" t="s">
        <v>29</v>
      </c>
      <c r="G309" t="s">
        <v>22</v>
      </c>
      <c r="H309" s="3">
        <v>0.52182249271305203</v>
      </c>
      <c r="I309" s="3">
        <v>0.50563492981434699</v>
      </c>
      <c r="J309" s="3">
        <v>0.43585756039124501</v>
      </c>
      <c r="K309" s="3">
        <v>0.43131829479040101</v>
      </c>
      <c r="L309" s="3">
        <v>0.32059855441198398</v>
      </c>
      <c r="M309" s="3">
        <v>0.23567417953235101</v>
      </c>
      <c r="N309" s="3">
        <v>0.623978721789197</v>
      </c>
      <c r="O309" s="3">
        <v>0.329232041616493</v>
      </c>
      <c r="P309">
        <f t="shared" si="111"/>
        <v>0</v>
      </c>
      <c r="Q309">
        <f t="shared" si="112"/>
        <v>0</v>
      </c>
      <c r="R309">
        <f t="shared" si="113"/>
        <v>0</v>
      </c>
      <c r="S309">
        <f t="shared" si="114"/>
        <v>0</v>
      </c>
      <c r="T309">
        <f t="shared" si="115"/>
        <v>0</v>
      </c>
      <c r="U309">
        <f t="shared" si="116"/>
        <v>0</v>
      </c>
      <c r="V309">
        <f t="shared" si="117"/>
        <v>0</v>
      </c>
      <c r="W309">
        <f t="shared" si="118"/>
        <v>0</v>
      </c>
      <c r="X309">
        <f t="shared" si="119"/>
        <v>1</v>
      </c>
      <c r="Y309">
        <f t="shared" si="120"/>
        <v>0</v>
      </c>
      <c r="Z309">
        <f t="shared" si="121"/>
        <v>0</v>
      </c>
      <c r="AA309">
        <f t="shared" si="122"/>
        <v>0</v>
      </c>
      <c r="AB309">
        <f t="shared" si="105"/>
        <v>0</v>
      </c>
      <c r="AC309">
        <f t="shared" si="106"/>
        <v>0</v>
      </c>
      <c r="AD309">
        <f t="shared" si="107"/>
        <v>0</v>
      </c>
      <c r="AE309">
        <f t="shared" si="108"/>
        <v>0</v>
      </c>
      <c r="AF309">
        <f t="shared" si="109"/>
        <v>0</v>
      </c>
      <c r="AG309">
        <f t="shared" si="110"/>
        <v>1</v>
      </c>
      <c r="AH309">
        <f t="shared" si="123"/>
        <v>0</v>
      </c>
      <c r="AI309">
        <f t="shared" si="129"/>
        <v>0</v>
      </c>
      <c r="AJ309">
        <f t="shared" si="129"/>
        <v>1</v>
      </c>
      <c r="AK309">
        <f t="shared" si="129"/>
        <v>0</v>
      </c>
      <c r="AL309">
        <f t="shared" si="129"/>
        <v>0</v>
      </c>
      <c r="AM309">
        <f t="shared" si="129"/>
        <v>0</v>
      </c>
      <c r="AN309">
        <f t="shared" si="129"/>
        <v>0</v>
      </c>
      <c r="AO309">
        <f t="shared" si="129"/>
        <v>0</v>
      </c>
      <c r="AP309">
        <f t="shared" si="129"/>
        <v>0</v>
      </c>
      <c r="AQ309">
        <f t="shared" si="129"/>
        <v>0</v>
      </c>
      <c r="AR309">
        <f t="shared" si="129"/>
        <v>0</v>
      </c>
      <c r="AS309">
        <f t="shared" si="129"/>
        <v>0</v>
      </c>
      <c r="AT309">
        <f t="shared" si="129"/>
        <v>0</v>
      </c>
      <c r="AU309">
        <f t="shared" si="129"/>
        <v>0</v>
      </c>
      <c r="AV309">
        <f t="shared" si="129"/>
        <v>0</v>
      </c>
      <c r="AW309">
        <f t="shared" si="129"/>
        <v>0</v>
      </c>
      <c r="AX309">
        <f t="shared" si="124"/>
        <v>0</v>
      </c>
      <c r="AY309">
        <f t="shared" si="124"/>
        <v>1</v>
      </c>
      <c r="AZ309">
        <f t="shared" si="124"/>
        <v>0</v>
      </c>
      <c r="BA309">
        <f t="shared" si="125"/>
        <v>1</v>
      </c>
      <c r="BB309">
        <f t="shared" si="126"/>
        <v>1</v>
      </c>
    </row>
    <row r="310" spans="1:54">
      <c r="A310">
        <v>307</v>
      </c>
      <c r="B310" t="s">
        <v>20</v>
      </c>
      <c r="C310" t="s">
        <v>28</v>
      </c>
      <c r="D310" t="s">
        <v>26</v>
      </c>
      <c r="E310" t="s">
        <v>20</v>
      </c>
      <c r="F310" t="s">
        <v>29</v>
      </c>
      <c r="G310" t="s">
        <v>23</v>
      </c>
      <c r="H310" s="3">
        <v>2.99959508542256E-2</v>
      </c>
      <c r="I310" s="3">
        <v>2.9213246429544398E-2</v>
      </c>
      <c r="J310" s="3">
        <v>2.5668083084139402E-2</v>
      </c>
      <c r="K310" s="3">
        <v>2.6311597705856199E-2</v>
      </c>
      <c r="L310" s="3">
        <v>1.9487429418481299E-2</v>
      </c>
      <c r="M310" s="3">
        <v>1.5577560106134401E-2</v>
      </c>
      <c r="N310" s="3">
        <v>3.3263410248726401E-2</v>
      </c>
      <c r="O310" s="3">
        <v>2.0928645224493201E-2</v>
      </c>
      <c r="P310">
        <f t="shared" si="111"/>
        <v>0</v>
      </c>
      <c r="Q310">
        <f t="shared" si="112"/>
        <v>0</v>
      </c>
      <c r="R310">
        <f t="shared" si="113"/>
        <v>0</v>
      </c>
      <c r="S310">
        <f t="shared" si="114"/>
        <v>0</v>
      </c>
      <c r="T310">
        <f t="shared" si="115"/>
        <v>0</v>
      </c>
      <c r="U310">
        <f t="shared" si="116"/>
        <v>0</v>
      </c>
      <c r="V310">
        <f t="shared" si="117"/>
        <v>0</v>
      </c>
      <c r="W310">
        <f t="shared" si="118"/>
        <v>0</v>
      </c>
      <c r="X310">
        <f t="shared" si="119"/>
        <v>0</v>
      </c>
      <c r="Y310">
        <f t="shared" si="120"/>
        <v>1</v>
      </c>
      <c r="Z310">
        <f t="shared" si="121"/>
        <v>0</v>
      </c>
      <c r="AA310">
        <f t="shared" si="122"/>
        <v>0</v>
      </c>
      <c r="AB310">
        <f t="shared" si="105"/>
        <v>0</v>
      </c>
      <c r="AC310">
        <f t="shared" si="106"/>
        <v>0</v>
      </c>
      <c r="AD310">
        <f t="shared" si="107"/>
        <v>0</v>
      </c>
      <c r="AE310">
        <f t="shared" si="108"/>
        <v>0</v>
      </c>
      <c r="AF310">
        <f t="shared" si="109"/>
        <v>0</v>
      </c>
      <c r="AG310">
        <f t="shared" si="110"/>
        <v>1</v>
      </c>
      <c r="AH310">
        <f t="shared" si="123"/>
        <v>0</v>
      </c>
      <c r="AI310">
        <f t="shared" si="129"/>
        <v>0</v>
      </c>
      <c r="AJ310">
        <f t="shared" si="129"/>
        <v>0</v>
      </c>
      <c r="AK310">
        <f t="shared" si="129"/>
        <v>1</v>
      </c>
      <c r="AL310">
        <f t="shared" si="129"/>
        <v>0</v>
      </c>
      <c r="AM310">
        <f t="shared" si="129"/>
        <v>0</v>
      </c>
      <c r="AN310">
        <f t="shared" si="129"/>
        <v>0</v>
      </c>
      <c r="AO310">
        <f t="shared" si="129"/>
        <v>0</v>
      </c>
      <c r="AP310">
        <f t="shared" si="129"/>
        <v>0</v>
      </c>
      <c r="AQ310">
        <f t="shared" si="129"/>
        <v>0</v>
      </c>
      <c r="AR310">
        <f t="shared" si="129"/>
        <v>0</v>
      </c>
      <c r="AS310">
        <f t="shared" si="129"/>
        <v>0</v>
      </c>
      <c r="AT310">
        <f t="shared" si="129"/>
        <v>0</v>
      </c>
      <c r="AU310">
        <f t="shared" si="129"/>
        <v>0</v>
      </c>
      <c r="AV310">
        <f t="shared" si="129"/>
        <v>0</v>
      </c>
      <c r="AW310">
        <f t="shared" si="129"/>
        <v>0</v>
      </c>
      <c r="AX310">
        <f t="shared" si="124"/>
        <v>0</v>
      </c>
      <c r="AY310">
        <f t="shared" si="124"/>
        <v>1</v>
      </c>
      <c r="AZ310">
        <f t="shared" si="124"/>
        <v>0</v>
      </c>
      <c r="BA310">
        <f t="shared" si="125"/>
        <v>1</v>
      </c>
      <c r="BB310">
        <f t="shared" si="126"/>
        <v>1</v>
      </c>
    </row>
    <row r="311" spans="1:54">
      <c r="A311">
        <v>308</v>
      </c>
      <c r="B311" t="s">
        <v>20</v>
      </c>
      <c r="C311" t="s">
        <v>28</v>
      </c>
      <c r="D311" t="s">
        <v>26</v>
      </c>
      <c r="E311" t="s">
        <v>20</v>
      </c>
      <c r="F311" t="s">
        <v>29</v>
      </c>
      <c r="G311" t="s">
        <v>24</v>
      </c>
      <c r="H311" s="3">
        <v>0.60868327701737901</v>
      </c>
      <c r="I311" s="3">
        <v>0.560527465052575</v>
      </c>
      <c r="J311" s="3">
        <v>0.51675480625290804</v>
      </c>
      <c r="K311" s="3">
        <v>0.47604854093471399</v>
      </c>
      <c r="L311" s="3">
        <v>0.35401877407499699</v>
      </c>
      <c r="M311" s="3">
        <v>0.25867708462554401</v>
      </c>
      <c r="N311" s="3">
        <v>0.67185113830446497</v>
      </c>
      <c r="O311" s="3">
        <v>0.38963509830927401</v>
      </c>
      <c r="P311">
        <f t="shared" si="111"/>
        <v>0</v>
      </c>
      <c r="Q311">
        <f t="shared" si="112"/>
        <v>0</v>
      </c>
      <c r="R311">
        <f t="shared" si="113"/>
        <v>0</v>
      </c>
      <c r="S311">
        <f t="shared" si="114"/>
        <v>0</v>
      </c>
      <c r="T311">
        <f t="shared" si="115"/>
        <v>0</v>
      </c>
      <c r="U311">
        <f t="shared" si="116"/>
        <v>0</v>
      </c>
      <c r="V311">
        <f t="shared" si="117"/>
        <v>0</v>
      </c>
      <c r="W311">
        <f t="shared" si="118"/>
        <v>0</v>
      </c>
      <c r="X311">
        <f t="shared" si="119"/>
        <v>0</v>
      </c>
      <c r="Y311">
        <f t="shared" si="120"/>
        <v>0</v>
      </c>
      <c r="Z311">
        <f t="shared" si="121"/>
        <v>0</v>
      </c>
      <c r="AA311">
        <f t="shared" si="122"/>
        <v>1</v>
      </c>
      <c r="AB311">
        <f t="shared" si="105"/>
        <v>0</v>
      </c>
      <c r="AC311">
        <f t="shared" si="106"/>
        <v>0</v>
      </c>
      <c r="AD311">
        <f t="shared" si="107"/>
        <v>0</v>
      </c>
      <c r="AE311">
        <f t="shared" si="108"/>
        <v>0</v>
      </c>
      <c r="AF311">
        <f t="shared" si="109"/>
        <v>0</v>
      </c>
      <c r="AG311">
        <f t="shared" si="110"/>
        <v>1</v>
      </c>
      <c r="AH311">
        <f t="shared" si="123"/>
        <v>0</v>
      </c>
      <c r="AI311">
        <f t="shared" si="129"/>
        <v>0</v>
      </c>
      <c r="AJ311">
        <f t="shared" si="129"/>
        <v>0</v>
      </c>
      <c r="AK311">
        <f t="shared" si="129"/>
        <v>0</v>
      </c>
      <c r="AL311">
        <f t="shared" si="129"/>
        <v>1</v>
      </c>
      <c r="AM311">
        <f t="shared" si="129"/>
        <v>0</v>
      </c>
      <c r="AN311">
        <f t="shared" si="129"/>
        <v>0</v>
      </c>
      <c r="AO311">
        <f t="shared" si="129"/>
        <v>0</v>
      </c>
      <c r="AP311">
        <f t="shared" si="129"/>
        <v>0</v>
      </c>
      <c r="AQ311">
        <f t="shared" si="129"/>
        <v>0</v>
      </c>
      <c r="AR311">
        <f t="shared" si="129"/>
        <v>0</v>
      </c>
      <c r="AS311">
        <f t="shared" si="129"/>
        <v>0</v>
      </c>
      <c r="AT311">
        <f t="shared" si="129"/>
        <v>0</v>
      </c>
      <c r="AU311">
        <f t="shared" si="129"/>
        <v>0</v>
      </c>
      <c r="AV311">
        <f t="shared" si="129"/>
        <v>0</v>
      </c>
      <c r="AW311">
        <f t="shared" si="129"/>
        <v>0</v>
      </c>
      <c r="AX311">
        <f t="shared" si="124"/>
        <v>0</v>
      </c>
      <c r="AY311">
        <f t="shared" si="124"/>
        <v>1</v>
      </c>
      <c r="AZ311">
        <f t="shared" si="124"/>
        <v>0</v>
      </c>
      <c r="BA311">
        <f t="shared" si="125"/>
        <v>1</v>
      </c>
      <c r="BB311">
        <f t="shared" si="126"/>
        <v>1</v>
      </c>
    </row>
    <row r="312" spans="1:54">
      <c r="A312">
        <v>309</v>
      </c>
      <c r="B312" t="s">
        <v>20</v>
      </c>
      <c r="C312" t="s">
        <v>28</v>
      </c>
      <c r="D312" t="s">
        <v>26</v>
      </c>
      <c r="E312" t="s">
        <v>20</v>
      </c>
      <c r="F312" t="s">
        <v>29</v>
      </c>
      <c r="G312" t="s">
        <v>31</v>
      </c>
      <c r="H312" s="3">
        <v>3.58339741306321E-2</v>
      </c>
      <c r="I312" s="3">
        <v>3.4615584758679603E-2</v>
      </c>
      <c r="J312" s="3">
        <v>3.01253506379985E-2</v>
      </c>
      <c r="K312" s="3">
        <v>3.0934294726900499E-2</v>
      </c>
      <c r="L312" s="3">
        <v>2.3788619588952599E-2</v>
      </c>
      <c r="M312" s="3">
        <v>1.8878132593607301E-2</v>
      </c>
      <c r="N312" s="3">
        <v>4.0155828588552503E-2</v>
      </c>
      <c r="O312" s="3">
        <v>2.4043455900505099E-2</v>
      </c>
      <c r="P312">
        <f t="shared" si="111"/>
        <v>0</v>
      </c>
      <c r="Q312">
        <f t="shared" si="112"/>
        <v>0</v>
      </c>
      <c r="R312">
        <f t="shared" si="113"/>
        <v>0</v>
      </c>
      <c r="S312">
        <f t="shared" si="114"/>
        <v>0</v>
      </c>
      <c r="T312">
        <f t="shared" si="115"/>
        <v>0</v>
      </c>
      <c r="U312">
        <f t="shared" si="116"/>
        <v>0</v>
      </c>
      <c r="V312">
        <f t="shared" si="117"/>
        <v>0</v>
      </c>
      <c r="W312">
        <f t="shared" si="118"/>
        <v>0</v>
      </c>
      <c r="X312">
        <f t="shared" si="119"/>
        <v>0</v>
      </c>
      <c r="Y312">
        <f t="shared" si="120"/>
        <v>0</v>
      </c>
      <c r="Z312">
        <f t="shared" si="121"/>
        <v>1</v>
      </c>
      <c r="AA312">
        <f t="shared" si="122"/>
        <v>0</v>
      </c>
      <c r="AB312">
        <f t="shared" si="105"/>
        <v>0</v>
      </c>
      <c r="AC312">
        <f t="shared" si="106"/>
        <v>0</v>
      </c>
      <c r="AD312">
        <f t="shared" si="107"/>
        <v>0</v>
      </c>
      <c r="AE312">
        <f t="shared" si="108"/>
        <v>0</v>
      </c>
      <c r="AF312">
        <f t="shared" si="109"/>
        <v>0</v>
      </c>
      <c r="AG312">
        <f t="shared" si="110"/>
        <v>1</v>
      </c>
      <c r="AH312">
        <f t="shared" si="123"/>
        <v>0</v>
      </c>
      <c r="AI312">
        <f t="shared" si="129"/>
        <v>0</v>
      </c>
      <c r="AJ312">
        <f t="shared" si="129"/>
        <v>0</v>
      </c>
      <c r="AK312">
        <f t="shared" si="129"/>
        <v>0</v>
      </c>
      <c r="AL312">
        <f t="shared" si="129"/>
        <v>0</v>
      </c>
      <c r="AM312">
        <f t="shared" si="129"/>
        <v>0</v>
      </c>
      <c r="AN312">
        <f t="shared" si="129"/>
        <v>0</v>
      </c>
      <c r="AO312">
        <f t="shared" si="129"/>
        <v>0</v>
      </c>
      <c r="AP312">
        <f t="shared" si="129"/>
        <v>0</v>
      </c>
      <c r="AQ312">
        <f t="shared" si="129"/>
        <v>0</v>
      </c>
      <c r="AR312">
        <f t="shared" si="129"/>
        <v>0</v>
      </c>
      <c r="AS312">
        <f t="shared" si="129"/>
        <v>0</v>
      </c>
      <c r="AT312">
        <f t="shared" si="129"/>
        <v>0</v>
      </c>
      <c r="AU312">
        <f t="shared" si="129"/>
        <v>0</v>
      </c>
      <c r="AV312">
        <f t="shared" si="129"/>
        <v>0</v>
      </c>
      <c r="AW312">
        <f t="shared" si="129"/>
        <v>0</v>
      </c>
      <c r="AX312">
        <f t="shared" si="124"/>
        <v>0</v>
      </c>
      <c r="AY312">
        <f t="shared" si="124"/>
        <v>1</v>
      </c>
      <c r="AZ312">
        <f t="shared" si="124"/>
        <v>0</v>
      </c>
      <c r="BA312">
        <f t="shared" si="125"/>
        <v>0</v>
      </c>
      <c r="BB312">
        <f t="shared" si="126"/>
        <v>1</v>
      </c>
    </row>
    <row r="313" spans="1:54">
      <c r="A313">
        <v>310</v>
      </c>
      <c r="B313" t="s">
        <v>20</v>
      </c>
      <c r="C313" t="s">
        <v>28</v>
      </c>
      <c r="D313" t="s">
        <v>26</v>
      </c>
      <c r="E313" t="s">
        <v>20</v>
      </c>
      <c r="F313" t="s">
        <v>29</v>
      </c>
      <c r="G313" t="s">
        <v>25</v>
      </c>
      <c r="H313" s="3">
        <v>0.13159388481394499</v>
      </c>
      <c r="I313" s="3">
        <v>0.12241866934819</v>
      </c>
      <c r="J313" s="3">
        <v>0.111121985227396</v>
      </c>
      <c r="K313" s="3">
        <v>0.106440047267661</v>
      </c>
      <c r="L313" s="3">
        <v>8.4697638871612899E-2</v>
      </c>
      <c r="M313" s="3">
        <v>6.8232140518717802E-2</v>
      </c>
      <c r="N313" s="3">
        <v>0.146571792506698</v>
      </c>
      <c r="O313" s="3">
        <v>8.5931576498709403E-2</v>
      </c>
      <c r="P313">
        <f t="shared" si="111"/>
        <v>0</v>
      </c>
      <c r="Q313">
        <f t="shared" si="112"/>
        <v>0</v>
      </c>
      <c r="R313">
        <f t="shared" si="113"/>
        <v>0</v>
      </c>
      <c r="S313">
        <f t="shared" si="114"/>
        <v>0</v>
      </c>
      <c r="T313">
        <f t="shared" si="115"/>
        <v>0</v>
      </c>
      <c r="U313">
        <f t="shared" si="116"/>
        <v>0</v>
      </c>
      <c r="V313">
        <f t="shared" si="117"/>
        <v>0</v>
      </c>
      <c r="W313">
        <f t="shared" si="118"/>
        <v>0</v>
      </c>
      <c r="X313">
        <f t="shared" si="119"/>
        <v>0</v>
      </c>
      <c r="Y313">
        <f t="shared" si="120"/>
        <v>0</v>
      </c>
      <c r="Z313">
        <f t="shared" si="121"/>
        <v>0</v>
      </c>
      <c r="AA313">
        <f t="shared" si="122"/>
        <v>0</v>
      </c>
      <c r="AB313">
        <f t="shared" si="105"/>
        <v>0</v>
      </c>
      <c r="AC313">
        <f t="shared" si="106"/>
        <v>0</v>
      </c>
      <c r="AD313">
        <f t="shared" si="107"/>
        <v>0</v>
      </c>
      <c r="AE313">
        <f t="shared" si="108"/>
        <v>1</v>
      </c>
      <c r="AF313">
        <f t="shared" si="109"/>
        <v>0</v>
      </c>
      <c r="AG313">
        <f t="shared" si="110"/>
        <v>1</v>
      </c>
      <c r="AH313">
        <f t="shared" si="123"/>
        <v>1</v>
      </c>
      <c r="AI313">
        <f t="shared" si="129"/>
        <v>1</v>
      </c>
      <c r="AJ313">
        <f t="shared" si="129"/>
        <v>0</v>
      </c>
      <c r="AK313">
        <f t="shared" si="129"/>
        <v>0</v>
      </c>
      <c r="AL313">
        <f t="shared" si="129"/>
        <v>0</v>
      </c>
      <c r="AM313">
        <f t="shared" si="129"/>
        <v>0</v>
      </c>
      <c r="AN313">
        <f t="shared" si="129"/>
        <v>0</v>
      </c>
      <c r="AO313">
        <f t="shared" si="129"/>
        <v>0</v>
      </c>
      <c r="AP313">
        <f t="shared" si="129"/>
        <v>0</v>
      </c>
      <c r="AQ313">
        <f t="shared" si="129"/>
        <v>0</v>
      </c>
      <c r="AR313">
        <f t="shared" si="129"/>
        <v>0</v>
      </c>
      <c r="AS313">
        <f t="shared" si="129"/>
        <v>0</v>
      </c>
      <c r="AT313">
        <f t="shared" si="129"/>
        <v>0</v>
      </c>
      <c r="AU313">
        <f t="shared" si="129"/>
        <v>0</v>
      </c>
      <c r="AV313">
        <f t="shared" si="129"/>
        <v>0</v>
      </c>
      <c r="AW313">
        <f t="shared" si="129"/>
        <v>0</v>
      </c>
      <c r="AX313">
        <f t="shared" si="124"/>
        <v>0</v>
      </c>
      <c r="AY313">
        <f t="shared" si="124"/>
        <v>1</v>
      </c>
      <c r="AZ313">
        <f t="shared" si="124"/>
        <v>0</v>
      </c>
      <c r="BA313">
        <f t="shared" si="125"/>
        <v>1</v>
      </c>
      <c r="BB313">
        <f t="shared" si="126"/>
        <v>1</v>
      </c>
    </row>
    <row r="314" spans="1:54">
      <c r="A314">
        <v>311</v>
      </c>
      <c r="B314" t="s">
        <v>20</v>
      </c>
      <c r="C314" t="s">
        <v>28</v>
      </c>
      <c r="D314" t="s">
        <v>26</v>
      </c>
      <c r="E314" t="s">
        <v>20</v>
      </c>
      <c r="F314" t="s">
        <v>29</v>
      </c>
      <c r="G314" t="s">
        <v>26</v>
      </c>
      <c r="H314" s="3">
        <v>0.134779979249775</v>
      </c>
      <c r="I314" s="3">
        <v>0.12520201370548201</v>
      </c>
      <c r="J314" s="3">
        <v>0.113873286604144</v>
      </c>
      <c r="K314" s="3">
        <v>0.108778209101993</v>
      </c>
      <c r="L314" s="3">
        <v>8.6829981185126498E-2</v>
      </c>
      <c r="M314" s="3">
        <v>6.9929565536102301E-2</v>
      </c>
      <c r="N314" s="3">
        <v>0.150098956459157</v>
      </c>
      <c r="O314" s="3">
        <v>8.8076287626010094E-2</v>
      </c>
      <c r="P314">
        <f t="shared" si="111"/>
        <v>0</v>
      </c>
      <c r="Q314">
        <f t="shared" si="112"/>
        <v>0</v>
      </c>
      <c r="R314">
        <f t="shared" si="113"/>
        <v>0</v>
      </c>
      <c r="S314">
        <f t="shared" si="114"/>
        <v>0</v>
      </c>
      <c r="T314">
        <f t="shared" si="115"/>
        <v>0</v>
      </c>
      <c r="U314">
        <f t="shared" si="116"/>
        <v>0</v>
      </c>
      <c r="V314">
        <f t="shared" si="117"/>
        <v>0</v>
      </c>
      <c r="W314">
        <f t="shared" si="118"/>
        <v>0</v>
      </c>
      <c r="X314">
        <f t="shared" si="119"/>
        <v>0</v>
      </c>
      <c r="Y314">
        <f t="shared" si="120"/>
        <v>0</v>
      </c>
      <c r="Z314">
        <f t="shared" si="121"/>
        <v>0</v>
      </c>
      <c r="AA314">
        <f t="shared" si="122"/>
        <v>0</v>
      </c>
      <c r="AB314">
        <f t="shared" si="105"/>
        <v>0</v>
      </c>
      <c r="AC314">
        <f t="shared" si="106"/>
        <v>0</v>
      </c>
      <c r="AD314">
        <f t="shared" si="107"/>
        <v>0</v>
      </c>
      <c r="AE314">
        <f t="shared" si="108"/>
        <v>1</v>
      </c>
      <c r="AF314">
        <f t="shared" si="109"/>
        <v>0</v>
      </c>
      <c r="AG314">
        <f t="shared" si="110"/>
        <v>1</v>
      </c>
      <c r="AH314">
        <f t="shared" si="123"/>
        <v>1</v>
      </c>
      <c r="AI314">
        <f t="shared" si="129"/>
        <v>0</v>
      </c>
      <c r="AJ314">
        <f t="shared" si="129"/>
        <v>0</v>
      </c>
      <c r="AK314">
        <f t="shared" si="129"/>
        <v>0</v>
      </c>
      <c r="AL314">
        <f t="shared" si="129"/>
        <v>0</v>
      </c>
      <c r="AM314">
        <f t="shared" si="129"/>
        <v>0</v>
      </c>
      <c r="AN314">
        <f t="shared" si="129"/>
        <v>0</v>
      </c>
      <c r="AO314">
        <f t="shared" si="129"/>
        <v>0</v>
      </c>
      <c r="AP314">
        <f t="shared" si="129"/>
        <v>0</v>
      </c>
      <c r="AQ314">
        <f t="shared" si="129"/>
        <v>0</v>
      </c>
      <c r="AR314">
        <f t="shared" si="129"/>
        <v>0</v>
      </c>
      <c r="AS314">
        <f t="shared" si="129"/>
        <v>0</v>
      </c>
      <c r="AT314">
        <f t="shared" si="129"/>
        <v>0</v>
      </c>
      <c r="AU314">
        <f t="shared" si="129"/>
        <v>0</v>
      </c>
      <c r="AV314">
        <f t="shared" si="129"/>
        <v>0</v>
      </c>
      <c r="AW314">
        <f t="shared" si="129"/>
        <v>0</v>
      </c>
      <c r="AX314">
        <f t="shared" si="124"/>
        <v>0</v>
      </c>
      <c r="AY314">
        <f t="shared" si="124"/>
        <v>1</v>
      </c>
      <c r="AZ314">
        <f t="shared" si="124"/>
        <v>0</v>
      </c>
      <c r="BA314">
        <f t="shared" si="125"/>
        <v>0</v>
      </c>
      <c r="BB314">
        <f t="shared" si="126"/>
        <v>1</v>
      </c>
    </row>
    <row r="315" spans="1:54">
      <c r="A315">
        <v>312</v>
      </c>
      <c r="B315" t="s">
        <v>20</v>
      </c>
      <c r="C315" t="s">
        <v>28</v>
      </c>
      <c r="D315" t="s">
        <v>26</v>
      </c>
      <c r="E315" t="s">
        <v>30</v>
      </c>
      <c r="F315" t="s">
        <v>21</v>
      </c>
      <c r="G315" t="s">
        <v>22</v>
      </c>
      <c r="H315" s="3">
        <v>1.7760337507088001E-2</v>
      </c>
      <c r="I315" s="3">
        <v>1.7379477902435402E-2</v>
      </c>
      <c r="J315" s="3">
        <v>1.50997916765261E-2</v>
      </c>
      <c r="K315" s="3">
        <v>1.6020809242446799E-2</v>
      </c>
      <c r="L315" s="3">
        <v>1.16370224974492E-2</v>
      </c>
      <c r="M315" s="3">
        <v>9.2183269006490091E-3</v>
      </c>
      <c r="N315" s="3">
        <v>1.9178903206472801E-2</v>
      </c>
      <c r="O315" s="3">
        <v>1.2388640256566399E-2</v>
      </c>
      <c r="P315">
        <f t="shared" si="111"/>
        <v>0</v>
      </c>
      <c r="Q315">
        <f t="shared" si="112"/>
        <v>0</v>
      </c>
      <c r="R315">
        <f t="shared" si="113"/>
        <v>0</v>
      </c>
      <c r="S315">
        <f t="shared" si="114"/>
        <v>0</v>
      </c>
      <c r="T315">
        <f t="shared" si="115"/>
        <v>1</v>
      </c>
      <c r="U315">
        <f t="shared" si="116"/>
        <v>0</v>
      </c>
      <c r="V315">
        <f t="shared" si="117"/>
        <v>0</v>
      </c>
      <c r="W315">
        <f t="shared" si="118"/>
        <v>0</v>
      </c>
      <c r="X315">
        <f t="shared" si="119"/>
        <v>0</v>
      </c>
      <c r="Y315">
        <f t="shared" si="120"/>
        <v>0</v>
      </c>
      <c r="Z315">
        <f t="shared" si="121"/>
        <v>0</v>
      </c>
      <c r="AA315">
        <f t="shared" si="122"/>
        <v>0</v>
      </c>
      <c r="AB315">
        <f t="shared" si="105"/>
        <v>0</v>
      </c>
      <c r="AC315">
        <f t="shared" si="106"/>
        <v>0</v>
      </c>
      <c r="AD315">
        <f t="shared" si="107"/>
        <v>0</v>
      </c>
      <c r="AE315">
        <f t="shared" si="108"/>
        <v>0</v>
      </c>
      <c r="AF315">
        <f t="shared" si="109"/>
        <v>0</v>
      </c>
      <c r="AG315">
        <f t="shared" si="110"/>
        <v>0</v>
      </c>
      <c r="AH315">
        <f t="shared" si="123"/>
        <v>0</v>
      </c>
      <c r="AI315">
        <f t="shared" si="129"/>
        <v>0</v>
      </c>
      <c r="AJ315">
        <f t="shared" si="129"/>
        <v>1</v>
      </c>
      <c r="AK315">
        <f t="shared" si="129"/>
        <v>0</v>
      </c>
      <c r="AL315">
        <f t="shared" si="129"/>
        <v>0</v>
      </c>
      <c r="AM315">
        <f t="shared" si="129"/>
        <v>0</v>
      </c>
      <c r="AN315">
        <f t="shared" si="129"/>
        <v>0</v>
      </c>
      <c r="AO315">
        <f t="shared" si="129"/>
        <v>0</v>
      </c>
      <c r="AP315">
        <f t="shared" si="129"/>
        <v>0</v>
      </c>
      <c r="AQ315">
        <f t="shared" si="129"/>
        <v>0</v>
      </c>
      <c r="AR315">
        <f t="shared" si="129"/>
        <v>0</v>
      </c>
      <c r="AS315">
        <f t="shared" si="129"/>
        <v>0</v>
      </c>
      <c r="AT315">
        <f t="shared" si="129"/>
        <v>0</v>
      </c>
      <c r="AU315">
        <f t="shared" si="129"/>
        <v>0</v>
      </c>
      <c r="AV315">
        <f t="shared" si="129"/>
        <v>0</v>
      </c>
      <c r="AW315">
        <f t="shared" si="129"/>
        <v>0</v>
      </c>
      <c r="AX315">
        <f t="shared" si="124"/>
        <v>1</v>
      </c>
      <c r="AY315">
        <f t="shared" si="124"/>
        <v>0</v>
      </c>
      <c r="AZ315">
        <f t="shared" si="124"/>
        <v>0</v>
      </c>
      <c r="BA315">
        <f t="shared" si="125"/>
        <v>1</v>
      </c>
      <c r="BB315">
        <f t="shared" si="126"/>
        <v>0</v>
      </c>
    </row>
    <row r="316" spans="1:54">
      <c r="A316">
        <v>313</v>
      </c>
      <c r="B316" t="s">
        <v>20</v>
      </c>
      <c r="C316" t="s">
        <v>28</v>
      </c>
      <c r="D316" t="s">
        <v>26</v>
      </c>
      <c r="E316" t="s">
        <v>30</v>
      </c>
      <c r="F316" t="s">
        <v>21</v>
      </c>
      <c r="G316" t="s">
        <v>23</v>
      </c>
      <c r="H316" s="3">
        <v>1.9068586416197599E-2</v>
      </c>
      <c r="I316" s="3">
        <v>1.81993936946791E-2</v>
      </c>
      <c r="J316" s="3">
        <v>1.59865678952462E-2</v>
      </c>
      <c r="K316" s="3">
        <v>1.63794659042001E-2</v>
      </c>
      <c r="L316" s="3">
        <v>1.1710876539960301E-2</v>
      </c>
      <c r="M316" s="3">
        <v>9.0085607908887699E-3</v>
      </c>
      <c r="N316" s="3">
        <v>2.0677255019478501E-2</v>
      </c>
      <c r="O316" s="3">
        <v>1.25829640621555E-2</v>
      </c>
      <c r="P316">
        <f t="shared" si="111"/>
        <v>0</v>
      </c>
      <c r="Q316">
        <f t="shared" si="112"/>
        <v>0</v>
      </c>
      <c r="R316">
        <f t="shared" si="113"/>
        <v>0</v>
      </c>
      <c r="S316">
        <f t="shared" si="114"/>
        <v>0</v>
      </c>
      <c r="T316">
        <f t="shared" si="115"/>
        <v>0</v>
      </c>
      <c r="U316">
        <f t="shared" si="116"/>
        <v>1</v>
      </c>
      <c r="V316">
        <f t="shared" si="117"/>
        <v>0</v>
      </c>
      <c r="W316">
        <f t="shared" si="118"/>
        <v>0</v>
      </c>
      <c r="X316">
        <f t="shared" si="119"/>
        <v>0</v>
      </c>
      <c r="Y316">
        <f t="shared" si="120"/>
        <v>0</v>
      </c>
      <c r="Z316">
        <f t="shared" si="121"/>
        <v>0</v>
      </c>
      <c r="AA316">
        <f t="shared" si="122"/>
        <v>0</v>
      </c>
      <c r="AB316">
        <f t="shared" si="105"/>
        <v>0</v>
      </c>
      <c r="AC316">
        <f t="shared" si="106"/>
        <v>0</v>
      </c>
      <c r="AD316">
        <f t="shared" si="107"/>
        <v>0</v>
      </c>
      <c r="AE316">
        <f t="shared" si="108"/>
        <v>0</v>
      </c>
      <c r="AF316">
        <f t="shared" si="109"/>
        <v>0</v>
      </c>
      <c r="AG316">
        <f t="shared" si="110"/>
        <v>0</v>
      </c>
      <c r="AH316">
        <f t="shared" si="123"/>
        <v>0</v>
      </c>
      <c r="AI316">
        <f t="shared" si="129"/>
        <v>0</v>
      </c>
      <c r="AJ316">
        <f t="shared" si="129"/>
        <v>0</v>
      </c>
      <c r="AK316">
        <f t="shared" si="129"/>
        <v>1</v>
      </c>
      <c r="AL316">
        <f t="shared" si="129"/>
        <v>0</v>
      </c>
      <c r="AM316">
        <f t="shared" si="129"/>
        <v>0</v>
      </c>
      <c r="AN316">
        <f t="shared" si="129"/>
        <v>0</v>
      </c>
      <c r="AO316">
        <f t="shared" si="129"/>
        <v>0</v>
      </c>
      <c r="AP316">
        <f t="shared" si="129"/>
        <v>0</v>
      </c>
      <c r="AQ316">
        <f t="shared" si="129"/>
        <v>0</v>
      </c>
      <c r="AR316">
        <f t="shared" si="129"/>
        <v>0</v>
      </c>
      <c r="AS316">
        <f t="shared" si="129"/>
        <v>0</v>
      </c>
      <c r="AT316">
        <f t="shared" si="129"/>
        <v>0</v>
      </c>
      <c r="AU316">
        <f t="shared" si="129"/>
        <v>0</v>
      </c>
      <c r="AV316">
        <f t="shared" si="129"/>
        <v>0</v>
      </c>
      <c r="AW316">
        <f t="shared" si="129"/>
        <v>0</v>
      </c>
      <c r="AX316">
        <f t="shared" si="124"/>
        <v>1</v>
      </c>
      <c r="AY316">
        <f t="shared" si="124"/>
        <v>0</v>
      </c>
      <c r="AZ316">
        <f t="shared" si="124"/>
        <v>0</v>
      </c>
      <c r="BA316">
        <f t="shared" si="125"/>
        <v>1</v>
      </c>
      <c r="BB316">
        <f t="shared" si="126"/>
        <v>0</v>
      </c>
    </row>
    <row r="317" spans="1:54">
      <c r="A317">
        <v>314</v>
      </c>
      <c r="B317" t="s">
        <v>20</v>
      </c>
      <c r="C317" t="s">
        <v>28</v>
      </c>
      <c r="D317" t="s">
        <v>26</v>
      </c>
      <c r="E317" t="s">
        <v>30</v>
      </c>
      <c r="F317" t="s">
        <v>21</v>
      </c>
      <c r="G317" t="s">
        <v>24</v>
      </c>
      <c r="H317" s="3">
        <v>0.59696601174586095</v>
      </c>
      <c r="I317" s="3">
        <v>0.60325823466083695</v>
      </c>
      <c r="J317" s="3">
        <v>0.47206030958081502</v>
      </c>
      <c r="K317" s="3">
        <v>0.51242112316746302</v>
      </c>
      <c r="L317" s="3">
        <v>0.33091263343715899</v>
      </c>
      <c r="M317" s="3">
        <v>0.23826637371665799</v>
      </c>
      <c r="N317" s="3">
        <v>0.73266869333567997</v>
      </c>
      <c r="O317" s="3">
        <v>0.34873082257699201</v>
      </c>
      <c r="P317">
        <f t="shared" si="111"/>
        <v>0</v>
      </c>
      <c r="Q317">
        <f t="shared" si="112"/>
        <v>0</v>
      </c>
      <c r="R317">
        <f t="shared" si="113"/>
        <v>0</v>
      </c>
      <c r="S317">
        <f t="shared" si="114"/>
        <v>0</v>
      </c>
      <c r="T317">
        <f t="shared" si="115"/>
        <v>0</v>
      </c>
      <c r="U317">
        <f t="shared" si="116"/>
        <v>0</v>
      </c>
      <c r="V317">
        <f t="shared" si="117"/>
        <v>1</v>
      </c>
      <c r="W317">
        <f t="shared" si="118"/>
        <v>0</v>
      </c>
      <c r="X317">
        <f t="shared" si="119"/>
        <v>0</v>
      </c>
      <c r="Y317">
        <f t="shared" si="120"/>
        <v>0</v>
      </c>
      <c r="Z317">
        <f t="shared" si="121"/>
        <v>0</v>
      </c>
      <c r="AA317">
        <f t="shared" si="122"/>
        <v>0</v>
      </c>
      <c r="AB317">
        <f t="shared" si="105"/>
        <v>0</v>
      </c>
      <c r="AC317">
        <f t="shared" si="106"/>
        <v>0</v>
      </c>
      <c r="AD317">
        <f t="shared" si="107"/>
        <v>0</v>
      </c>
      <c r="AE317">
        <f t="shared" si="108"/>
        <v>0</v>
      </c>
      <c r="AF317">
        <f t="shared" si="109"/>
        <v>0</v>
      </c>
      <c r="AG317">
        <f t="shared" si="110"/>
        <v>0</v>
      </c>
      <c r="AH317">
        <f t="shared" si="123"/>
        <v>0</v>
      </c>
      <c r="AI317">
        <f t="shared" si="129"/>
        <v>0</v>
      </c>
      <c r="AJ317">
        <f t="shared" si="129"/>
        <v>0</v>
      </c>
      <c r="AK317">
        <f t="shared" si="129"/>
        <v>0</v>
      </c>
      <c r="AL317">
        <f t="shared" si="129"/>
        <v>1</v>
      </c>
      <c r="AM317">
        <f t="shared" si="129"/>
        <v>0</v>
      </c>
      <c r="AN317">
        <f t="shared" si="129"/>
        <v>0</v>
      </c>
      <c r="AO317">
        <f t="shared" si="129"/>
        <v>0</v>
      </c>
      <c r="AP317">
        <f t="shared" si="129"/>
        <v>0</v>
      </c>
      <c r="AQ317">
        <f t="shared" si="129"/>
        <v>0</v>
      </c>
      <c r="AR317">
        <f t="shared" si="129"/>
        <v>0</v>
      </c>
      <c r="AS317">
        <f t="shared" si="129"/>
        <v>0</v>
      </c>
      <c r="AT317">
        <f t="shared" si="129"/>
        <v>0</v>
      </c>
      <c r="AU317">
        <f t="shared" si="129"/>
        <v>0</v>
      </c>
      <c r="AV317">
        <f t="shared" si="129"/>
        <v>0</v>
      </c>
      <c r="AW317">
        <f t="shared" si="129"/>
        <v>0</v>
      </c>
      <c r="AX317">
        <f t="shared" si="124"/>
        <v>1</v>
      </c>
      <c r="AY317">
        <f t="shared" si="124"/>
        <v>0</v>
      </c>
      <c r="AZ317">
        <f t="shared" si="124"/>
        <v>0</v>
      </c>
      <c r="BA317">
        <f t="shared" si="125"/>
        <v>1</v>
      </c>
      <c r="BB317">
        <f t="shared" si="126"/>
        <v>0</v>
      </c>
    </row>
    <row r="318" spans="1:54">
      <c r="A318">
        <v>315</v>
      </c>
      <c r="B318" t="s">
        <v>20</v>
      </c>
      <c r="C318" t="s">
        <v>28</v>
      </c>
      <c r="D318" t="s">
        <v>26</v>
      </c>
      <c r="E318" t="s">
        <v>30</v>
      </c>
      <c r="F318" t="s">
        <v>21</v>
      </c>
      <c r="G318" t="s">
        <v>25</v>
      </c>
      <c r="H318" s="3">
        <v>0.80785920867760797</v>
      </c>
      <c r="I318" s="3">
        <v>0.82758236904487903</v>
      </c>
      <c r="J318" s="3">
        <v>0.67503990544843195</v>
      </c>
      <c r="K318" s="3">
        <v>0.72731911740639998</v>
      </c>
      <c r="L318" s="3">
        <v>0.60170096488900404</v>
      </c>
      <c r="M318" s="3">
        <v>0.47608824775504599</v>
      </c>
      <c r="N318" s="3">
        <v>0.97273135142624301</v>
      </c>
      <c r="O318" s="3">
        <v>0.57163248615215301</v>
      </c>
      <c r="P318">
        <f t="shared" si="111"/>
        <v>0</v>
      </c>
      <c r="Q318">
        <f t="shared" si="112"/>
        <v>0</v>
      </c>
      <c r="R318">
        <f t="shared" si="113"/>
        <v>0</v>
      </c>
      <c r="S318">
        <f t="shared" si="114"/>
        <v>0</v>
      </c>
      <c r="T318">
        <f t="shared" si="115"/>
        <v>0</v>
      </c>
      <c r="U318">
        <f t="shared" si="116"/>
        <v>0</v>
      </c>
      <c r="V318">
        <f t="shared" si="117"/>
        <v>0</v>
      </c>
      <c r="W318">
        <f t="shared" si="118"/>
        <v>0</v>
      </c>
      <c r="X318">
        <f t="shared" si="119"/>
        <v>0</v>
      </c>
      <c r="Y318">
        <f t="shared" si="120"/>
        <v>0</v>
      </c>
      <c r="Z318">
        <f t="shared" si="121"/>
        <v>0</v>
      </c>
      <c r="AA318">
        <f t="shared" si="122"/>
        <v>0</v>
      </c>
      <c r="AB318">
        <f t="shared" si="105"/>
        <v>0</v>
      </c>
      <c r="AC318">
        <f t="shared" si="106"/>
        <v>0</v>
      </c>
      <c r="AD318">
        <f t="shared" si="107"/>
        <v>0</v>
      </c>
      <c r="AE318">
        <f t="shared" si="108"/>
        <v>1</v>
      </c>
      <c r="AF318">
        <f t="shared" si="109"/>
        <v>0</v>
      </c>
      <c r="AG318">
        <f t="shared" si="110"/>
        <v>0</v>
      </c>
      <c r="AH318">
        <f t="shared" si="123"/>
        <v>1</v>
      </c>
      <c r="AI318">
        <f t="shared" si="129"/>
        <v>1</v>
      </c>
      <c r="AJ318">
        <f t="shared" si="129"/>
        <v>0</v>
      </c>
      <c r="AK318">
        <f t="shared" si="129"/>
        <v>0</v>
      </c>
      <c r="AL318">
        <f t="shared" si="129"/>
        <v>0</v>
      </c>
      <c r="AM318">
        <f t="shared" si="129"/>
        <v>0</v>
      </c>
      <c r="AN318">
        <f t="shared" si="129"/>
        <v>0</v>
      </c>
      <c r="AO318">
        <f t="shared" si="129"/>
        <v>0</v>
      </c>
      <c r="AP318">
        <f t="shared" si="129"/>
        <v>0</v>
      </c>
      <c r="AQ318">
        <f t="shared" si="129"/>
        <v>0</v>
      </c>
      <c r="AR318">
        <f t="shared" si="129"/>
        <v>0</v>
      </c>
      <c r="AS318">
        <f t="shared" si="129"/>
        <v>0</v>
      </c>
      <c r="AT318">
        <f t="shared" si="129"/>
        <v>0</v>
      </c>
      <c r="AU318">
        <f t="shared" si="129"/>
        <v>0</v>
      </c>
      <c r="AV318">
        <f t="shared" si="129"/>
        <v>0</v>
      </c>
      <c r="AW318">
        <f t="shared" si="129"/>
        <v>0</v>
      </c>
      <c r="AX318">
        <f t="shared" si="124"/>
        <v>1</v>
      </c>
      <c r="AY318">
        <f t="shared" si="124"/>
        <v>0</v>
      </c>
      <c r="AZ318">
        <f t="shared" si="124"/>
        <v>0</v>
      </c>
      <c r="BA318">
        <f t="shared" si="125"/>
        <v>1</v>
      </c>
      <c r="BB318">
        <f t="shared" si="126"/>
        <v>0</v>
      </c>
    </row>
    <row r="319" spans="1:54">
      <c r="A319">
        <v>316</v>
      </c>
      <c r="B319" t="s">
        <v>20</v>
      </c>
      <c r="C319" t="s">
        <v>28</v>
      </c>
      <c r="D319" t="s">
        <v>26</v>
      </c>
      <c r="E319" t="s">
        <v>30</v>
      </c>
      <c r="F319" t="s">
        <v>21</v>
      </c>
      <c r="G319" t="s">
        <v>26</v>
      </c>
      <c r="H319" s="3">
        <v>0.80048845153882298</v>
      </c>
      <c r="I319" s="3">
        <v>0.81813264319816403</v>
      </c>
      <c r="J319" s="3">
        <v>0.66975084344679803</v>
      </c>
      <c r="K319" s="3">
        <v>0.71938174140102795</v>
      </c>
      <c r="L319" s="3">
        <v>0.59905544397786403</v>
      </c>
      <c r="M319" s="3">
        <v>0.47428383123045098</v>
      </c>
      <c r="N319" s="3">
        <v>0.96192529322790499</v>
      </c>
      <c r="O319" s="3">
        <v>0.56814793000077202</v>
      </c>
      <c r="P319">
        <f t="shared" si="111"/>
        <v>0</v>
      </c>
      <c r="Q319">
        <f t="shared" si="112"/>
        <v>0</v>
      </c>
      <c r="R319">
        <f t="shared" si="113"/>
        <v>0</v>
      </c>
      <c r="S319">
        <f t="shared" si="114"/>
        <v>0</v>
      </c>
      <c r="T319">
        <f t="shared" si="115"/>
        <v>0</v>
      </c>
      <c r="U319">
        <f t="shared" si="116"/>
        <v>0</v>
      </c>
      <c r="V319">
        <f t="shared" si="117"/>
        <v>0</v>
      </c>
      <c r="W319">
        <f t="shared" si="118"/>
        <v>0</v>
      </c>
      <c r="X319">
        <f t="shared" si="119"/>
        <v>0</v>
      </c>
      <c r="Y319">
        <f t="shared" si="120"/>
        <v>0</v>
      </c>
      <c r="Z319">
        <f t="shared" si="121"/>
        <v>0</v>
      </c>
      <c r="AA319">
        <f t="shared" si="122"/>
        <v>0</v>
      </c>
      <c r="AB319">
        <f t="shared" si="105"/>
        <v>0</v>
      </c>
      <c r="AC319">
        <f t="shared" si="106"/>
        <v>0</v>
      </c>
      <c r="AD319">
        <f t="shared" si="107"/>
        <v>0</v>
      </c>
      <c r="AE319">
        <f t="shared" si="108"/>
        <v>1</v>
      </c>
      <c r="AF319">
        <f t="shared" si="109"/>
        <v>0</v>
      </c>
      <c r="AG319">
        <f t="shared" si="110"/>
        <v>0</v>
      </c>
      <c r="AH319">
        <f t="shared" si="123"/>
        <v>1</v>
      </c>
      <c r="AI319">
        <f t="shared" si="129"/>
        <v>0</v>
      </c>
      <c r="AJ319">
        <f t="shared" si="129"/>
        <v>0</v>
      </c>
      <c r="AK319">
        <f t="shared" si="129"/>
        <v>0</v>
      </c>
      <c r="AL319">
        <f t="shared" si="129"/>
        <v>0</v>
      </c>
      <c r="AM319">
        <f t="shared" si="129"/>
        <v>0</v>
      </c>
      <c r="AN319">
        <f t="shared" si="129"/>
        <v>0</v>
      </c>
      <c r="AO319">
        <f t="shared" si="129"/>
        <v>0</v>
      </c>
      <c r="AP319">
        <f t="shared" si="129"/>
        <v>0</v>
      </c>
      <c r="AQ319">
        <f t="shared" si="129"/>
        <v>0</v>
      </c>
      <c r="AR319">
        <f t="shared" si="129"/>
        <v>0</v>
      </c>
      <c r="AS319">
        <f t="shared" si="129"/>
        <v>0</v>
      </c>
      <c r="AT319">
        <f t="shared" si="129"/>
        <v>0</v>
      </c>
      <c r="AU319">
        <f t="shared" si="129"/>
        <v>0</v>
      </c>
      <c r="AV319">
        <f t="shared" si="129"/>
        <v>0</v>
      </c>
      <c r="AW319">
        <f t="shared" si="129"/>
        <v>0</v>
      </c>
      <c r="AX319">
        <f t="shared" si="124"/>
        <v>1</v>
      </c>
      <c r="AY319">
        <f t="shared" si="124"/>
        <v>0</v>
      </c>
      <c r="AZ319">
        <f t="shared" si="124"/>
        <v>0</v>
      </c>
      <c r="BA319">
        <f t="shared" si="125"/>
        <v>0</v>
      </c>
      <c r="BB319">
        <f t="shared" si="126"/>
        <v>0</v>
      </c>
    </row>
    <row r="320" spans="1:54">
      <c r="A320">
        <v>317</v>
      </c>
      <c r="B320" t="s">
        <v>20</v>
      </c>
      <c r="C320" t="s">
        <v>28</v>
      </c>
      <c r="D320" t="s">
        <v>26</v>
      </c>
      <c r="E320" t="s">
        <v>30</v>
      </c>
      <c r="F320" t="s">
        <v>21</v>
      </c>
      <c r="G320" t="s">
        <v>27</v>
      </c>
      <c r="H320" s="3">
        <v>0.20654448645921999</v>
      </c>
      <c r="I320" s="3">
        <v>0.19811286777612</v>
      </c>
      <c r="J320" s="3">
        <v>0.17304631518672201</v>
      </c>
      <c r="K320" s="3">
        <v>0.16444499697154799</v>
      </c>
      <c r="L320" s="3">
        <v>0.137292754349123</v>
      </c>
      <c r="M320" s="3">
        <v>0.102893904851926</v>
      </c>
      <c r="N320" s="3">
        <v>0.29637398861252601</v>
      </c>
      <c r="O320" s="3">
        <v>0.12752494027077099</v>
      </c>
      <c r="P320">
        <f t="shared" si="111"/>
        <v>0</v>
      </c>
      <c r="Q320">
        <f t="shared" si="112"/>
        <v>0</v>
      </c>
      <c r="R320">
        <f t="shared" si="113"/>
        <v>0</v>
      </c>
      <c r="S320">
        <f t="shared" si="114"/>
        <v>0</v>
      </c>
      <c r="T320">
        <f t="shared" si="115"/>
        <v>0</v>
      </c>
      <c r="U320">
        <f t="shared" si="116"/>
        <v>0</v>
      </c>
      <c r="V320">
        <f t="shared" si="117"/>
        <v>0</v>
      </c>
      <c r="W320">
        <f t="shared" si="118"/>
        <v>1</v>
      </c>
      <c r="X320">
        <f t="shared" si="119"/>
        <v>0</v>
      </c>
      <c r="Y320">
        <f t="shared" si="120"/>
        <v>0</v>
      </c>
      <c r="Z320">
        <f t="shared" si="121"/>
        <v>0</v>
      </c>
      <c r="AA320">
        <f t="shared" si="122"/>
        <v>0</v>
      </c>
      <c r="AB320">
        <f t="shared" si="105"/>
        <v>0</v>
      </c>
      <c r="AC320">
        <f t="shared" si="106"/>
        <v>0</v>
      </c>
      <c r="AD320">
        <f t="shared" si="107"/>
        <v>0</v>
      </c>
      <c r="AE320">
        <f t="shared" si="108"/>
        <v>0</v>
      </c>
      <c r="AF320">
        <f t="shared" si="109"/>
        <v>0</v>
      </c>
      <c r="AG320">
        <f t="shared" si="110"/>
        <v>0</v>
      </c>
      <c r="AH320">
        <f t="shared" si="123"/>
        <v>0</v>
      </c>
      <c r="AI320">
        <f t="shared" si="129"/>
        <v>0</v>
      </c>
      <c r="AJ320">
        <f t="shared" si="129"/>
        <v>0</v>
      </c>
      <c r="AK320">
        <f t="shared" si="129"/>
        <v>0</v>
      </c>
      <c r="AL320">
        <f t="shared" si="129"/>
        <v>0</v>
      </c>
      <c r="AM320">
        <f t="shared" si="129"/>
        <v>1</v>
      </c>
      <c r="AN320">
        <f t="shared" si="129"/>
        <v>0</v>
      </c>
      <c r="AO320">
        <f t="shared" si="129"/>
        <v>0</v>
      </c>
      <c r="AP320">
        <f t="shared" si="129"/>
        <v>0</v>
      </c>
      <c r="AQ320">
        <f t="shared" si="129"/>
        <v>0</v>
      </c>
      <c r="AR320">
        <f t="shared" si="129"/>
        <v>0</v>
      </c>
      <c r="AS320">
        <f t="shared" si="129"/>
        <v>0</v>
      </c>
      <c r="AT320">
        <f t="shared" si="129"/>
        <v>0</v>
      </c>
      <c r="AU320">
        <f t="shared" si="129"/>
        <v>0</v>
      </c>
      <c r="AV320">
        <f t="shared" si="129"/>
        <v>0</v>
      </c>
      <c r="AW320">
        <f t="shared" si="129"/>
        <v>0</v>
      </c>
      <c r="AX320">
        <f t="shared" si="124"/>
        <v>1</v>
      </c>
      <c r="AY320">
        <f t="shared" si="124"/>
        <v>0</v>
      </c>
      <c r="AZ320">
        <f t="shared" si="124"/>
        <v>0</v>
      </c>
      <c r="BA320">
        <f t="shared" si="125"/>
        <v>1</v>
      </c>
      <c r="BB320">
        <f t="shared" si="126"/>
        <v>0</v>
      </c>
    </row>
    <row r="321" spans="1:54">
      <c r="A321">
        <v>318</v>
      </c>
      <c r="B321" t="s">
        <v>20</v>
      </c>
      <c r="C321" t="s">
        <v>28</v>
      </c>
      <c r="D321" t="s">
        <v>26</v>
      </c>
      <c r="E321" t="s">
        <v>30</v>
      </c>
      <c r="F321" t="s">
        <v>28</v>
      </c>
      <c r="G321" t="s">
        <v>22</v>
      </c>
      <c r="H321" s="3">
        <v>1.9242510118486499E-2</v>
      </c>
      <c r="I321" s="3">
        <v>1.8968985713952401E-2</v>
      </c>
      <c r="J321" s="3">
        <v>1.6490328700405101E-2</v>
      </c>
      <c r="K321" s="3">
        <v>1.7506801577508498E-2</v>
      </c>
      <c r="L321" s="3">
        <v>1.2985327902528701E-2</v>
      </c>
      <c r="M321" s="3">
        <v>1.0608128016752099E-2</v>
      </c>
      <c r="N321" s="3">
        <v>2.0976925382079702E-2</v>
      </c>
      <c r="O321" s="3">
        <v>1.37563872200205E-2</v>
      </c>
      <c r="P321">
        <f t="shared" si="111"/>
        <v>1</v>
      </c>
      <c r="Q321">
        <f t="shared" si="112"/>
        <v>0</v>
      </c>
      <c r="R321">
        <f t="shared" si="113"/>
        <v>0</v>
      </c>
      <c r="S321">
        <f t="shared" si="114"/>
        <v>0</v>
      </c>
      <c r="T321">
        <f t="shared" si="115"/>
        <v>0</v>
      </c>
      <c r="U321">
        <f t="shared" si="116"/>
        <v>0</v>
      </c>
      <c r="V321">
        <f t="shared" si="117"/>
        <v>0</v>
      </c>
      <c r="W321">
        <f t="shared" si="118"/>
        <v>0</v>
      </c>
      <c r="X321">
        <f t="shared" si="119"/>
        <v>0</v>
      </c>
      <c r="Y321">
        <f t="shared" si="120"/>
        <v>0</v>
      </c>
      <c r="Z321">
        <f t="shared" si="121"/>
        <v>0</v>
      </c>
      <c r="AA321">
        <f t="shared" si="122"/>
        <v>0</v>
      </c>
      <c r="AB321">
        <f t="shared" si="105"/>
        <v>0</v>
      </c>
      <c r="AC321">
        <f t="shared" si="106"/>
        <v>0</v>
      </c>
      <c r="AD321">
        <f t="shared" si="107"/>
        <v>0</v>
      </c>
      <c r="AE321">
        <f t="shared" si="108"/>
        <v>0</v>
      </c>
      <c r="AF321">
        <f t="shared" si="109"/>
        <v>1</v>
      </c>
      <c r="AG321">
        <f t="shared" si="110"/>
        <v>0</v>
      </c>
      <c r="AH321">
        <f t="shared" si="123"/>
        <v>0</v>
      </c>
      <c r="AI321">
        <f t="shared" si="129"/>
        <v>0</v>
      </c>
      <c r="AJ321">
        <f t="shared" si="129"/>
        <v>1</v>
      </c>
      <c r="AK321">
        <f t="shared" si="129"/>
        <v>0</v>
      </c>
      <c r="AL321">
        <f t="shared" si="129"/>
        <v>0</v>
      </c>
      <c r="AM321">
        <f t="shared" si="129"/>
        <v>0</v>
      </c>
      <c r="AN321">
        <f t="shared" si="129"/>
        <v>0</v>
      </c>
      <c r="AO321">
        <f t="shared" si="129"/>
        <v>0</v>
      </c>
      <c r="AP321">
        <f t="shared" si="129"/>
        <v>0</v>
      </c>
      <c r="AQ321">
        <f t="shared" si="129"/>
        <v>0</v>
      </c>
      <c r="AR321">
        <f t="shared" si="129"/>
        <v>0</v>
      </c>
      <c r="AS321">
        <f t="shared" si="129"/>
        <v>0</v>
      </c>
      <c r="AT321">
        <f t="shared" si="129"/>
        <v>0</v>
      </c>
      <c r="AU321">
        <f t="shared" si="129"/>
        <v>0</v>
      </c>
      <c r="AV321">
        <f t="shared" si="129"/>
        <v>0</v>
      </c>
      <c r="AW321">
        <f t="shared" si="129"/>
        <v>0</v>
      </c>
      <c r="AX321">
        <f t="shared" si="124"/>
        <v>0</v>
      </c>
      <c r="AY321">
        <f t="shared" si="124"/>
        <v>0</v>
      </c>
      <c r="AZ321">
        <f t="shared" si="124"/>
        <v>0</v>
      </c>
      <c r="BA321">
        <f t="shared" si="125"/>
        <v>1</v>
      </c>
      <c r="BB321">
        <f t="shared" si="126"/>
        <v>0</v>
      </c>
    </row>
    <row r="322" spans="1:54">
      <c r="A322">
        <v>319</v>
      </c>
      <c r="B322" t="s">
        <v>20</v>
      </c>
      <c r="C322" t="s">
        <v>28</v>
      </c>
      <c r="D322" t="s">
        <v>26</v>
      </c>
      <c r="E322" t="s">
        <v>30</v>
      </c>
      <c r="F322" t="s">
        <v>28</v>
      </c>
      <c r="G322" t="s">
        <v>23</v>
      </c>
      <c r="H322" s="3">
        <v>2.2456611214338899E-2</v>
      </c>
      <c r="I322" s="3">
        <v>2.1621396658748598E-2</v>
      </c>
      <c r="J322" s="3">
        <v>1.90258479845399E-2</v>
      </c>
      <c r="K322" s="3">
        <v>1.93552147935338E-2</v>
      </c>
      <c r="L322" s="3">
        <v>1.4595115996295699E-2</v>
      </c>
      <c r="M322" s="3">
        <v>1.17894887562984E-2</v>
      </c>
      <c r="N322" s="3">
        <v>2.4872640095894499E-2</v>
      </c>
      <c r="O322" s="3">
        <v>1.51923369947406E-2</v>
      </c>
      <c r="P322">
        <f t="shared" si="111"/>
        <v>0</v>
      </c>
      <c r="Q322">
        <f t="shared" si="112"/>
        <v>1</v>
      </c>
      <c r="R322">
        <f t="shared" si="113"/>
        <v>0</v>
      </c>
      <c r="S322">
        <f t="shared" si="114"/>
        <v>0</v>
      </c>
      <c r="T322">
        <f t="shared" si="115"/>
        <v>0</v>
      </c>
      <c r="U322">
        <f t="shared" si="116"/>
        <v>0</v>
      </c>
      <c r="V322">
        <f t="shared" si="117"/>
        <v>0</v>
      </c>
      <c r="W322">
        <f t="shared" si="118"/>
        <v>0</v>
      </c>
      <c r="X322">
        <f t="shared" si="119"/>
        <v>0</v>
      </c>
      <c r="Y322">
        <f t="shared" si="120"/>
        <v>0</v>
      </c>
      <c r="Z322">
        <f t="shared" si="121"/>
        <v>0</v>
      </c>
      <c r="AA322">
        <f t="shared" si="122"/>
        <v>0</v>
      </c>
      <c r="AB322">
        <f t="shared" si="105"/>
        <v>0</v>
      </c>
      <c r="AC322">
        <f t="shared" si="106"/>
        <v>0</v>
      </c>
      <c r="AD322">
        <f t="shared" si="107"/>
        <v>0</v>
      </c>
      <c r="AE322">
        <f t="shared" si="108"/>
        <v>0</v>
      </c>
      <c r="AF322">
        <f t="shared" si="109"/>
        <v>1</v>
      </c>
      <c r="AG322">
        <f t="shared" si="110"/>
        <v>0</v>
      </c>
      <c r="AH322">
        <f t="shared" si="123"/>
        <v>0</v>
      </c>
      <c r="AI322">
        <f t="shared" si="129"/>
        <v>0</v>
      </c>
      <c r="AJ322">
        <f t="shared" si="129"/>
        <v>0</v>
      </c>
      <c r="AK322">
        <f t="shared" si="129"/>
        <v>1</v>
      </c>
      <c r="AL322">
        <f t="shared" si="129"/>
        <v>0</v>
      </c>
      <c r="AM322">
        <f t="shared" si="129"/>
        <v>0</v>
      </c>
      <c r="AN322">
        <f t="shared" si="129"/>
        <v>0</v>
      </c>
      <c r="AO322">
        <f t="shared" si="129"/>
        <v>0</v>
      </c>
      <c r="AP322">
        <f t="shared" si="129"/>
        <v>0</v>
      </c>
      <c r="AQ322">
        <f t="shared" si="129"/>
        <v>0</v>
      </c>
      <c r="AR322">
        <f t="shared" si="129"/>
        <v>0</v>
      </c>
      <c r="AS322">
        <f t="shared" si="129"/>
        <v>0</v>
      </c>
      <c r="AT322">
        <f t="shared" si="129"/>
        <v>0</v>
      </c>
      <c r="AU322">
        <f t="shared" si="129"/>
        <v>0</v>
      </c>
      <c r="AV322">
        <f t="shared" si="129"/>
        <v>0</v>
      </c>
      <c r="AW322">
        <f t="shared" si="129"/>
        <v>0</v>
      </c>
      <c r="AX322">
        <f t="shared" si="124"/>
        <v>0</v>
      </c>
      <c r="AY322">
        <f t="shared" si="124"/>
        <v>0</v>
      </c>
      <c r="AZ322">
        <f t="shared" si="124"/>
        <v>0</v>
      </c>
      <c r="BA322">
        <f t="shared" si="125"/>
        <v>1</v>
      </c>
      <c r="BB322">
        <f t="shared" si="126"/>
        <v>0</v>
      </c>
    </row>
    <row r="323" spans="1:54">
      <c r="A323">
        <v>320</v>
      </c>
      <c r="B323" t="s">
        <v>20</v>
      </c>
      <c r="C323" t="s">
        <v>28</v>
      </c>
      <c r="D323" t="s">
        <v>26</v>
      </c>
      <c r="E323" t="s">
        <v>30</v>
      </c>
      <c r="F323" t="s">
        <v>28</v>
      </c>
      <c r="G323" t="s">
        <v>24</v>
      </c>
      <c r="H323" s="3">
        <v>0.59394104980765094</v>
      </c>
      <c r="I323" s="3">
        <v>0.61510947476803701</v>
      </c>
      <c r="J323" s="3">
        <v>0.470351245534955</v>
      </c>
      <c r="K323" s="3">
        <v>0.52597372349915394</v>
      </c>
      <c r="L323" s="3">
        <v>0.32778988022539102</v>
      </c>
      <c r="M323" s="3">
        <v>0.237882574097383</v>
      </c>
      <c r="N323" s="3">
        <v>0.72884296183199604</v>
      </c>
      <c r="O323" s="3">
        <v>0.35077521503686299</v>
      </c>
      <c r="P323">
        <f t="shared" si="111"/>
        <v>0</v>
      </c>
      <c r="Q323">
        <f t="shared" si="112"/>
        <v>0</v>
      </c>
      <c r="R323">
        <f t="shared" si="113"/>
        <v>1</v>
      </c>
      <c r="S323">
        <f t="shared" si="114"/>
        <v>0</v>
      </c>
      <c r="T323">
        <f t="shared" si="115"/>
        <v>0</v>
      </c>
      <c r="U323">
        <f t="shared" si="116"/>
        <v>0</v>
      </c>
      <c r="V323">
        <f t="shared" si="117"/>
        <v>0</v>
      </c>
      <c r="W323">
        <f t="shared" si="118"/>
        <v>0</v>
      </c>
      <c r="X323">
        <f t="shared" si="119"/>
        <v>0</v>
      </c>
      <c r="Y323">
        <f t="shared" si="120"/>
        <v>0</v>
      </c>
      <c r="Z323">
        <f t="shared" si="121"/>
        <v>0</v>
      </c>
      <c r="AA323">
        <f t="shared" si="122"/>
        <v>0</v>
      </c>
      <c r="AB323">
        <f t="shared" ref="AB323:AB386" si="130">IF(AND(AND(C323="windows",D323="clang"),AND(F323="windows",G323="clang")),1,0)</f>
        <v>0</v>
      </c>
      <c r="AC323">
        <f t="shared" ref="AC323:AC386" si="131">IF(AND(OR(D323="clang",D323="gcc",D323="msvc"),OR(G323="gcc",G323="clang",G323="msvc")),1,0)</f>
        <v>0</v>
      </c>
      <c r="AD323">
        <f t="shared" ref="AD323:AD386" si="132">IF(AND(OR(D323="go",D323="tgo"),OR(G323="go",G323="tgo")),1,0)</f>
        <v>0</v>
      </c>
      <c r="AE323">
        <f t="shared" ref="AE323:AE386" si="133">IF(AND(OR(D323="rs-pure",D323="rs-sys"),OR(G323="rs-pure",G323="rs-sys")),1,0)</f>
        <v>0</v>
      </c>
      <c r="AF323">
        <f t="shared" ref="AF323:AF386" si="134">IF(C323=F323,1,0)</f>
        <v>1</v>
      </c>
      <c r="AG323">
        <f t="shared" ref="AG323:AG386" si="135">IF(B323=E323,1,0)</f>
        <v>0</v>
      </c>
      <c r="AH323">
        <f t="shared" si="123"/>
        <v>0</v>
      </c>
      <c r="AI323">
        <f t="shared" si="129"/>
        <v>0</v>
      </c>
      <c r="AJ323">
        <f t="shared" si="129"/>
        <v>0</v>
      </c>
      <c r="AK323">
        <f t="shared" si="129"/>
        <v>0</v>
      </c>
      <c r="AL323">
        <f t="shared" si="129"/>
        <v>1</v>
      </c>
      <c r="AM323">
        <f t="shared" si="129"/>
        <v>0</v>
      </c>
      <c r="AN323">
        <f t="shared" si="129"/>
        <v>0</v>
      </c>
      <c r="AO323">
        <f t="shared" si="129"/>
        <v>0</v>
      </c>
      <c r="AP323">
        <f t="shared" si="129"/>
        <v>0</v>
      </c>
      <c r="AQ323">
        <f t="shared" si="129"/>
        <v>0</v>
      </c>
      <c r="AR323">
        <f t="shared" si="129"/>
        <v>0</v>
      </c>
      <c r="AS323">
        <f t="shared" si="129"/>
        <v>0</v>
      </c>
      <c r="AT323">
        <f t="shared" si="129"/>
        <v>0</v>
      </c>
      <c r="AU323">
        <f t="shared" si="129"/>
        <v>0</v>
      </c>
      <c r="AV323">
        <f t="shared" si="129"/>
        <v>0</v>
      </c>
      <c r="AW323">
        <f t="shared" si="129"/>
        <v>0</v>
      </c>
      <c r="AX323">
        <f t="shared" si="124"/>
        <v>0</v>
      </c>
      <c r="AY323">
        <f t="shared" si="124"/>
        <v>0</v>
      </c>
      <c r="AZ323">
        <f t="shared" si="124"/>
        <v>0</v>
      </c>
      <c r="BA323">
        <f t="shared" si="125"/>
        <v>1</v>
      </c>
      <c r="BB323">
        <f t="shared" si="126"/>
        <v>0</v>
      </c>
    </row>
    <row r="324" spans="1:54">
      <c r="A324">
        <v>321</v>
      </c>
      <c r="B324" t="s">
        <v>20</v>
      </c>
      <c r="C324" t="s">
        <v>28</v>
      </c>
      <c r="D324" t="s">
        <v>26</v>
      </c>
      <c r="E324" t="s">
        <v>30</v>
      </c>
      <c r="F324" t="s">
        <v>28</v>
      </c>
      <c r="G324" t="s">
        <v>25</v>
      </c>
      <c r="H324" s="3">
        <v>0.79686853311047301</v>
      </c>
      <c r="I324" s="3">
        <v>0.81251035458644805</v>
      </c>
      <c r="J324" s="3">
        <v>0.66946431533863304</v>
      </c>
      <c r="K324" s="3">
        <v>0.71044086033168996</v>
      </c>
      <c r="L324" s="3">
        <v>0.58622082777634199</v>
      </c>
      <c r="M324" s="3">
        <v>0.45692893848316302</v>
      </c>
      <c r="N324" s="3">
        <v>0.959333429395543</v>
      </c>
      <c r="O324" s="3">
        <v>0.56437041716922998</v>
      </c>
      <c r="P324">
        <f t="shared" ref="P324:P387" si="136">IF(OR(AND($C324="linux",$D324="clang"),AND($F324="linux",$G324="clang")),1,0)</f>
        <v>0</v>
      </c>
      <c r="Q324">
        <f t="shared" ref="Q324:Q387" si="137">IF(OR(AND($C324="linux",$D324="gcc"),AND($F324="linux",$G324="gcc")),1,0)</f>
        <v>0</v>
      </c>
      <c r="R324">
        <f t="shared" ref="R324:R387" si="138">IF(OR(AND($C324="linux",$D324="go"),AND($F324="linux",$G324="go")),1,0)</f>
        <v>0</v>
      </c>
      <c r="S324">
        <f t="shared" ref="S324:S387" si="139">IF(OR(AND($C324="linux",$D324="tgo"),AND($F324="linux",$G324="tgo")),1,0)</f>
        <v>0</v>
      </c>
      <c r="T324">
        <f t="shared" ref="T324:T387" si="140">IF(OR(AND($C324="darwin",$D324="clang"),AND($F324="darwin",$G324="clang")),1,0)</f>
        <v>0</v>
      </c>
      <c r="U324">
        <f t="shared" ref="U324:U387" si="141">IF(OR(AND($C324="darwin",$D324="gcc"),AND($F324="darwin",$G324="gcc")),1,0)</f>
        <v>0</v>
      </c>
      <c r="V324">
        <f t="shared" ref="V324:V387" si="142">IF(OR(AND($C324="darwin",$D324="go"),AND($F324="darwin",$G324="go")),1,0)</f>
        <v>0</v>
      </c>
      <c r="W324">
        <f t="shared" ref="W324:W387" si="143">IF(OR(AND($C324="darwin",$D324="tgo"),AND($F324="darwin",$G324="tgo")),1,0)</f>
        <v>0</v>
      </c>
      <c r="X324">
        <f t="shared" ref="X324:X387" si="144">IF(OR(AND($C324="windows",$D324="clang"),AND($F324="windows",$G324="clang")),1,0)</f>
        <v>0</v>
      </c>
      <c r="Y324">
        <f t="shared" ref="Y324:Y387" si="145">IF(OR(AND($C324="windows",$D324="gcc"),AND($F324="windows",$G324="gcc")),1,0)</f>
        <v>0</v>
      </c>
      <c r="Z324">
        <f t="shared" ref="Z324:Z387" si="146">IF(OR(AND($C324="windows",$D324="msvc"),AND($F324="windows",$G324="msvc")),1,0)</f>
        <v>0</v>
      </c>
      <c r="AA324">
        <f t="shared" ref="AA324:AA387" si="147">IF(OR(AND($C324="windows",$D324="go"),AND($F324="windows",$G324="go")),1,0)</f>
        <v>0</v>
      </c>
      <c r="AB324">
        <f t="shared" si="130"/>
        <v>0</v>
      </c>
      <c r="AC324">
        <f t="shared" si="131"/>
        <v>0</v>
      </c>
      <c r="AD324">
        <f t="shared" si="132"/>
        <v>0</v>
      </c>
      <c r="AE324">
        <f t="shared" si="133"/>
        <v>1</v>
      </c>
      <c r="AF324">
        <f t="shared" si="134"/>
        <v>1</v>
      </c>
      <c r="AG324">
        <f t="shared" si="135"/>
        <v>0</v>
      </c>
      <c r="AH324">
        <f t="shared" ref="AH324:AH387" si="148">IF(SUM(AC324:AE324)=1,1,0)</f>
        <v>1</v>
      </c>
      <c r="AI324">
        <f t="shared" ref="AI324:AW340" si="149">IF(OR(AND($D324=AI$1,$G324=AI$2),AND($D324=AI$2,$G324=AI$1)),1,0)</f>
        <v>1</v>
      </c>
      <c r="AJ324">
        <f t="shared" si="149"/>
        <v>0</v>
      </c>
      <c r="AK324">
        <f t="shared" si="149"/>
        <v>0</v>
      </c>
      <c r="AL324">
        <f t="shared" si="149"/>
        <v>0</v>
      </c>
      <c r="AM324">
        <f t="shared" si="149"/>
        <v>0</v>
      </c>
      <c r="AN324">
        <f t="shared" si="149"/>
        <v>0</v>
      </c>
      <c r="AO324">
        <f t="shared" si="149"/>
        <v>0</v>
      </c>
      <c r="AP324">
        <f t="shared" si="149"/>
        <v>0</v>
      </c>
      <c r="AQ324">
        <f t="shared" si="149"/>
        <v>0</v>
      </c>
      <c r="AR324">
        <f t="shared" si="149"/>
        <v>0</v>
      </c>
      <c r="AS324">
        <f t="shared" si="149"/>
        <v>0</v>
      </c>
      <c r="AT324">
        <f t="shared" si="149"/>
        <v>0</v>
      </c>
      <c r="AU324">
        <f t="shared" si="149"/>
        <v>0</v>
      </c>
      <c r="AV324">
        <f t="shared" si="149"/>
        <v>0</v>
      </c>
      <c r="AW324">
        <f t="shared" si="149"/>
        <v>0</v>
      </c>
      <c r="AX324">
        <f t="shared" ref="AX324:AZ387" si="150">IF(OR(AND($C324=AX$1,$F324=AX$2),AND($C324=AX$2,$F324=AX$1)),1,0)</f>
        <v>0</v>
      </c>
      <c r="AY324">
        <f t="shared" si="150"/>
        <v>0</v>
      </c>
      <c r="AZ324">
        <f t="shared" si="150"/>
        <v>0</v>
      </c>
      <c r="BA324">
        <f t="shared" ref="BA324:BA387" si="151">IF(SUM(AI324:AQ324)=1,1,0)</f>
        <v>1</v>
      </c>
      <c r="BB324">
        <f t="shared" ref="BB324:BB387" si="152">IF(OR(C324="windows",F324="windows"),1,0)</f>
        <v>0</v>
      </c>
    </row>
    <row r="325" spans="1:54">
      <c r="A325">
        <v>322</v>
      </c>
      <c r="B325" t="s">
        <v>20</v>
      </c>
      <c r="C325" t="s">
        <v>28</v>
      </c>
      <c r="D325" t="s">
        <v>26</v>
      </c>
      <c r="E325" t="s">
        <v>30</v>
      </c>
      <c r="F325" t="s">
        <v>28</v>
      </c>
      <c r="G325" t="s">
        <v>26</v>
      </c>
      <c r="H325" s="3">
        <v>0.79890171405337396</v>
      </c>
      <c r="I325" s="3">
        <v>0.81363199372221096</v>
      </c>
      <c r="J325" s="3">
        <v>0.67179766248055495</v>
      </c>
      <c r="K325" s="3">
        <v>0.71102196941388296</v>
      </c>
      <c r="L325" s="3">
        <v>0.59075738320710103</v>
      </c>
      <c r="M325" s="3">
        <v>0.46069510255493901</v>
      </c>
      <c r="N325" s="3">
        <v>0.97050927500534101</v>
      </c>
      <c r="O325" s="3">
        <v>0.56738966423660597</v>
      </c>
      <c r="P325">
        <f t="shared" si="136"/>
        <v>0</v>
      </c>
      <c r="Q325">
        <f t="shared" si="137"/>
        <v>0</v>
      </c>
      <c r="R325">
        <f t="shared" si="138"/>
        <v>0</v>
      </c>
      <c r="S325">
        <f t="shared" si="139"/>
        <v>0</v>
      </c>
      <c r="T325">
        <f t="shared" si="140"/>
        <v>0</v>
      </c>
      <c r="U325">
        <f t="shared" si="141"/>
        <v>0</v>
      </c>
      <c r="V325">
        <f t="shared" si="142"/>
        <v>0</v>
      </c>
      <c r="W325">
        <f t="shared" si="143"/>
        <v>0</v>
      </c>
      <c r="X325">
        <f t="shared" si="144"/>
        <v>0</v>
      </c>
      <c r="Y325">
        <f t="shared" si="145"/>
        <v>0</v>
      </c>
      <c r="Z325">
        <f t="shared" si="146"/>
        <v>0</v>
      </c>
      <c r="AA325">
        <f t="shared" si="147"/>
        <v>0</v>
      </c>
      <c r="AB325">
        <f t="shared" si="130"/>
        <v>0</v>
      </c>
      <c r="AC325">
        <f t="shared" si="131"/>
        <v>0</v>
      </c>
      <c r="AD325">
        <f t="shared" si="132"/>
        <v>0</v>
      </c>
      <c r="AE325">
        <f t="shared" si="133"/>
        <v>1</v>
      </c>
      <c r="AF325">
        <f t="shared" si="134"/>
        <v>1</v>
      </c>
      <c r="AG325">
        <f t="shared" si="135"/>
        <v>0</v>
      </c>
      <c r="AH325">
        <f t="shared" si="148"/>
        <v>1</v>
      </c>
      <c r="AI325">
        <f t="shared" si="149"/>
        <v>0</v>
      </c>
      <c r="AJ325">
        <f t="shared" si="149"/>
        <v>0</v>
      </c>
      <c r="AK325">
        <f t="shared" si="149"/>
        <v>0</v>
      </c>
      <c r="AL325">
        <f t="shared" si="149"/>
        <v>0</v>
      </c>
      <c r="AM325">
        <f t="shared" si="149"/>
        <v>0</v>
      </c>
      <c r="AN325">
        <f t="shared" si="149"/>
        <v>0</v>
      </c>
      <c r="AO325">
        <f t="shared" si="149"/>
        <v>0</v>
      </c>
      <c r="AP325">
        <f t="shared" si="149"/>
        <v>0</v>
      </c>
      <c r="AQ325">
        <f t="shared" si="149"/>
        <v>0</v>
      </c>
      <c r="AR325">
        <f t="shared" si="149"/>
        <v>0</v>
      </c>
      <c r="AS325">
        <f t="shared" si="149"/>
        <v>0</v>
      </c>
      <c r="AT325">
        <f t="shared" si="149"/>
        <v>0</v>
      </c>
      <c r="AU325">
        <f t="shared" si="149"/>
        <v>0</v>
      </c>
      <c r="AV325">
        <f t="shared" si="149"/>
        <v>0</v>
      </c>
      <c r="AW325">
        <f t="shared" si="149"/>
        <v>0</v>
      </c>
      <c r="AX325">
        <f t="shared" si="150"/>
        <v>0</v>
      </c>
      <c r="AY325">
        <f t="shared" si="150"/>
        <v>0</v>
      </c>
      <c r="AZ325">
        <f t="shared" si="150"/>
        <v>0</v>
      </c>
      <c r="BA325">
        <f t="shared" si="151"/>
        <v>0</v>
      </c>
      <c r="BB325">
        <f t="shared" si="152"/>
        <v>0</v>
      </c>
    </row>
    <row r="326" spans="1:54">
      <c r="A326">
        <v>323</v>
      </c>
      <c r="B326" t="s">
        <v>20</v>
      </c>
      <c r="C326" t="s">
        <v>28</v>
      </c>
      <c r="D326" t="s">
        <v>26</v>
      </c>
      <c r="E326" t="s">
        <v>30</v>
      </c>
      <c r="F326" t="s">
        <v>28</v>
      </c>
      <c r="G326" t="s">
        <v>27</v>
      </c>
      <c r="H326" s="3">
        <v>0.25769158505962497</v>
      </c>
      <c r="I326" s="3">
        <v>0.24275097483208399</v>
      </c>
      <c r="J326" s="3">
        <v>0.210671362455424</v>
      </c>
      <c r="K326" s="3">
        <v>0.19968212241553099</v>
      </c>
      <c r="L326" s="3">
        <v>0.166277713697665</v>
      </c>
      <c r="M326" s="3">
        <v>0.12349789837758</v>
      </c>
      <c r="N326" s="3">
        <v>0.36350014983518097</v>
      </c>
      <c r="O326" s="3">
        <v>0.15381579095504899</v>
      </c>
      <c r="P326">
        <f t="shared" si="136"/>
        <v>0</v>
      </c>
      <c r="Q326">
        <f t="shared" si="137"/>
        <v>0</v>
      </c>
      <c r="R326">
        <f t="shared" si="138"/>
        <v>0</v>
      </c>
      <c r="S326">
        <f t="shared" si="139"/>
        <v>1</v>
      </c>
      <c r="T326">
        <f t="shared" si="140"/>
        <v>0</v>
      </c>
      <c r="U326">
        <f t="shared" si="141"/>
        <v>0</v>
      </c>
      <c r="V326">
        <f t="shared" si="142"/>
        <v>0</v>
      </c>
      <c r="W326">
        <f t="shared" si="143"/>
        <v>0</v>
      </c>
      <c r="X326">
        <f t="shared" si="144"/>
        <v>0</v>
      </c>
      <c r="Y326">
        <f t="shared" si="145"/>
        <v>0</v>
      </c>
      <c r="Z326">
        <f t="shared" si="146"/>
        <v>0</v>
      </c>
      <c r="AA326">
        <f t="shared" si="147"/>
        <v>0</v>
      </c>
      <c r="AB326">
        <f t="shared" si="130"/>
        <v>0</v>
      </c>
      <c r="AC326">
        <f t="shared" si="131"/>
        <v>0</v>
      </c>
      <c r="AD326">
        <f t="shared" si="132"/>
        <v>0</v>
      </c>
      <c r="AE326">
        <f t="shared" si="133"/>
        <v>0</v>
      </c>
      <c r="AF326">
        <f t="shared" si="134"/>
        <v>1</v>
      </c>
      <c r="AG326">
        <f t="shared" si="135"/>
        <v>0</v>
      </c>
      <c r="AH326">
        <f t="shared" si="148"/>
        <v>0</v>
      </c>
      <c r="AI326">
        <f t="shared" si="149"/>
        <v>0</v>
      </c>
      <c r="AJ326">
        <f t="shared" si="149"/>
        <v>0</v>
      </c>
      <c r="AK326">
        <f t="shared" si="149"/>
        <v>0</v>
      </c>
      <c r="AL326">
        <f t="shared" si="149"/>
        <v>0</v>
      </c>
      <c r="AM326">
        <f t="shared" si="149"/>
        <v>1</v>
      </c>
      <c r="AN326">
        <f t="shared" si="149"/>
        <v>0</v>
      </c>
      <c r="AO326">
        <f t="shared" si="149"/>
        <v>0</v>
      </c>
      <c r="AP326">
        <f t="shared" si="149"/>
        <v>0</v>
      </c>
      <c r="AQ326">
        <f t="shared" si="149"/>
        <v>0</v>
      </c>
      <c r="AR326">
        <f t="shared" si="149"/>
        <v>0</v>
      </c>
      <c r="AS326">
        <f t="shared" si="149"/>
        <v>0</v>
      </c>
      <c r="AT326">
        <f t="shared" si="149"/>
        <v>0</v>
      </c>
      <c r="AU326">
        <f t="shared" si="149"/>
        <v>0</v>
      </c>
      <c r="AV326">
        <f t="shared" si="149"/>
        <v>0</v>
      </c>
      <c r="AW326">
        <f t="shared" si="149"/>
        <v>0</v>
      </c>
      <c r="AX326">
        <f t="shared" si="150"/>
        <v>0</v>
      </c>
      <c r="AY326">
        <f t="shared" si="150"/>
        <v>0</v>
      </c>
      <c r="AZ326">
        <f t="shared" si="150"/>
        <v>0</v>
      </c>
      <c r="BA326">
        <f t="shared" si="151"/>
        <v>1</v>
      </c>
      <c r="BB326">
        <f t="shared" si="152"/>
        <v>0</v>
      </c>
    </row>
    <row r="327" spans="1:54">
      <c r="A327">
        <v>324</v>
      </c>
      <c r="B327" t="s">
        <v>20</v>
      </c>
      <c r="C327" t="s">
        <v>28</v>
      </c>
      <c r="D327" t="s">
        <v>26</v>
      </c>
      <c r="E327" t="s">
        <v>30</v>
      </c>
      <c r="F327" t="s">
        <v>29</v>
      </c>
      <c r="G327" t="s">
        <v>22</v>
      </c>
      <c r="H327" s="3">
        <v>0.62590190780032195</v>
      </c>
      <c r="I327" s="3">
        <v>0.60020383553235901</v>
      </c>
      <c r="J327" s="3">
        <v>0.51485214803635604</v>
      </c>
      <c r="K327" s="3">
        <v>0.502833706913141</v>
      </c>
      <c r="L327" s="3">
        <v>0.38496980415346099</v>
      </c>
      <c r="M327" s="3">
        <v>0.28406551175606698</v>
      </c>
      <c r="N327" s="3">
        <v>0.76344012448642196</v>
      </c>
      <c r="O327" s="3">
        <v>0.38182761613245297</v>
      </c>
      <c r="P327">
        <f t="shared" si="136"/>
        <v>0</v>
      </c>
      <c r="Q327">
        <f t="shared" si="137"/>
        <v>0</v>
      </c>
      <c r="R327">
        <f t="shared" si="138"/>
        <v>0</v>
      </c>
      <c r="S327">
        <f t="shared" si="139"/>
        <v>0</v>
      </c>
      <c r="T327">
        <f t="shared" si="140"/>
        <v>0</v>
      </c>
      <c r="U327">
        <f t="shared" si="141"/>
        <v>0</v>
      </c>
      <c r="V327">
        <f t="shared" si="142"/>
        <v>0</v>
      </c>
      <c r="W327">
        <f t="shared" si="143"/>
        <v>0</v>
      </c>
      <c r="X327">
        <f t="shared" si="144"/>
        <v>1</v>
      </c>
      <c r="Y327">
        <f t="shared" si="145"/>
        <v>0</v>
      </c>
      <c r="Z327">
        <f t="shared" si="146"/>
        <v>0</v>
      </c>
      <c r="AA327">
        <f t="shared" si="147"/>
        <v>0</v>
      </c>
      <c r="AB327">
        <f t="shared" si="130"/>
        <v>0</v>
      </c>
      <c r="AC327">
        <f t="shared" si="131"/>
        <v>0</v>
      </c>
      <c r="AD327">
        <f t="shared" si="132"/>
        <v>0</v>
      </c>
      <c r="AE327">
        <f t="shared" si="133"/>
        <v>0</v>
      </c>
      <c r="AF327">
        <f t="shared" si="134"/>
        <v>0</v>
      </c>
      <c r="AG327">
        <f t="shared" si="135"/>
        <v>0</v>
      </c>
      <c r="AH327">
        <f t="shared" si="148"/>
        <v>0</v>
      </c>
      <c r="AI327">
        <f t="shared" si="149"/>
        <v>0</v>
      </c>
      <c r="AJ327">
        <f t="shared" si="149"/>
        <v>1</v>
      </c>
      <c r="AK327">
        <f t="shared" si="149"/>
        <v>0</v>
      </c>
      <c r="AL327">
        <f t="shared" si="149"/>
        <v>0</v>
      </c>
      <c r="AM327">
        <f t="shared" si="149"/>
        <v>0</v>
      </c>
      <c r="AN327">
        <f t="shared" si="149"/>
        <v>0</v>
      </c>
      <c r="AO327">
        <f t="shared" si="149"/>
        <v>0</v>
      </c>
      <c r="AP327">
        <f t="shared" si="149"/>
        <v>0</v>
      </c>
      <c r="AQ327">
        <f t="shared" si="149"/>
        <v>0</v>
      </c>
      <c r="AR327">
        <f t="shared" si="149"/>
        <v>0</v>
      </c>
      <c r="AS327">
        <f t="shared" si="149"/>
        <v>0</v>
      </c>
      <c r="AT327">
        <f t="shared" si="149"/>
        <v>0</v>
      </c>
      <c r="AU327">
        <f t="shared" si="149"/>
        <v>0</v>
      </c>
      <c r="AV327">
        <f t="shared" si="149"/>
        <v>0</v>
      </c>
      <c r="AW327">
        <f t="shared" si="149"/>
        <v>0</v>
      </c>
      <c r="AX327">
        <f t="shared" si="150"/>
        <v>0</v>
      </c>
      <c r="AY327">
        <f t="shared" si="150"/>
        <v>1</v>
      </c>
      <c r="AZ327">
        <f t="shared" si="150"/>
        <v>0</v>
      </c>
      <c r="BA327">
        <f t="shared" si="151"/>
        <v>1</v>
      </c>
      <c r="BB327">
        <f t="shared" si="152"/>
        <v>1</v>
      </c>
    </row>
    <row r="328" spans="1:54">
      <c r="A328">
        <v>325</v>
      </c>
      <c r="B328" t="s">
        <v>20</v>
      </c>
      <c r="C328" t="s">
        <v>28</v>
      </c>
      <c r="D328" t="s">
        <v>26</v>
      </c>
      <c r="E328" t="s">
        <v>30</v>
      </c>
      <c r="F328" t="s">
        <v>29</v>
      </c>
      <c r="G328" t="s">
        <v>23</v>
      </c>
      <c r="H328" s="3">
        <v>2.90064344363491E-2</v>
      </c>
      <c r="I328" s="3">
        <v>2.80833060262855E-2</v>
      </c>
      <c r="J328" s="3">
        <v>2.4643992955510299E-2</v>
      </c>
      <c r="K328" s="3">
        <v>2.5223652783777799E-2</v>
      </c>
      <c r="L328" s="3">
        <v>1.8573383913149898E-2</v>
      </c>
      <c r="M328" s="3">
        <v>1.4658184974451399E-2</v>
      </c>
      <c r="N328" s="3">
        <v>3.2064728798321798E-2</v>
      </c>
      <c r="O328" s="3">
        <v>1.98044175066239E-2</v>
      </c>
      <c r="P328">
        <f t="shared" si="136"/>
        <v>0</v>
      </c>
      <c r="Q328">
        <f t="shared" si="137"/>
        <v>0</v>
      </c>
      <c r="R328">
        <f t="shared" si="138"/>
        <v>0</v>
      </c>
      <c r="S328">
        <f t="shared" si="139"/>
        <v>0</v>
      </c>
      <c r="T328">
        <f t="shared" si="140"/>
        <v>0</v>
      </c>
      <c r="U328">
        <f t="shared" si="141"/>
        <v>0</v>
      </c>
      <c r="V328">
        <f t="shared" si="142"/>
        <v>0</v>
      </c>
      <c r="W328">
        <f t="shared" si="143"/>
        <v>0</v>
      </c>
      <c r="X328">
        <f t="shared" si="144"/>
        <v>0</v>
      </c>
      <c r="Y328">
        <f t="shared" si="145"/>
        <v>1</v>
      </c>
      <c r="Z328">
        <f t="shared" si="146"/>
        <v>0</v>
      </c>
      <c r="AA328">
        <f t="shared" si="147"/>
        <v>0</v>
      </c>
      <c r="AB328">
        <f t="shared" si="130"/>
        <v>0</v>
      </c>
      <c r="AC328">
        <f t="shared" si="131"/>
        <v>0</v>
      </c>
      <c r="AD328">
        <f t="shared" si="132"/>
        <v>0</v>
      </c>
      <c r="AE328">
        <f t="shared" si="133"/>
        <v>0</v>
      </c>
      <c r="AF328">
        <f t="shared" si="134"/>
        <v>0</v>
      </c>
      <c r="AG328">
        <f t="shared" si="135"/>
        <v>0</v>
      </c>
      <c r="AH328">
        <f t="shared" si="148"/>
        <v>0</v>
      </c>
      <c r="AI328">
        <f t="shared" si="149"/>
        <v>0</v>
      </c>
      <c r="AJ328">
        <f t="shared" si="149"/>
        <v>0</v>
      </c>
      <c r="AK328">
        <f t="shared" si="149"/>
        <v>1</v>
      </c>
      <c r="AL328">
        <f t="shared" si="149"/>
        <v>0</v>
      </c>
      <c r="AM328">
        <f t="shared" si="149"/>
        <v>0</v>
      </c>
      <c r="AN328">
        <f t="shared" si="149"/>
        <v>0</v>
      </c>
      <c r="AO328">
        <f t="shared" si="149"/>
        <v>0</v>
      </c>
      <c r="AP328">
        <f t="shared" si="149"/>
        <v>0</v>
      </c>
      <c r="AQ328">
        <f t="shared" si="149"/>
        <v>0</v>
      </c>
      <c r="AR328">
        <f t="shared" si="149"/>
        <v>0</v>
      </c>
      <c r="AS328">
        <f t="shared" si="149"/>
        <v>0</v>
      </c>
      <c r="AT328">
        <f t="shared" si="149"/>
        <v>0</v>
      </c>
      <c r="AU328">
        <f t="shared" si="149"/>
        <v>0</v>
      </c>
      <c r="AV328">
        <f t="shared" si="149"/>
        <v>0</v>
      </c>
      <c r="AW328">
        <f t="shared" si="149"/>
        <v>0</v>
      </c>
      <c r="AX328">
        <f t="shared" si="150"/>
        <v>0</v>
      </c>
      <c r="AY328">
        <f t="shared" si="150"/>
        <v>1</v>
      </c>
      <c r="AZ328">
        <f t="shared" si="150"/>
        <v>0</v>
      </c>
      <c r="BA328">
        <f t="shared" si="151"/>
        <v>1</v>
      </c>
      <c r="BB328">
        <f t="shared" si="152"/>
        <v>1</v>
      </c>
    </row>
    <row r="329" spans="1:54">
      <c r="A329">
        <v>326</v>
      </c>
      <c r="B329" t="s">
        <v>20</v>
      </c>
      <c r="C329" t="s">
        <v>28</v>
      </c>
      <c r="D329" t="s">
        <v>26</v>
      </c>
      <c r="E329" t="s">
        <v>30</v>
      </c>
      <c r="F329" t="s">
        <v>29</v>
      </c>
      <c r="G329" t="s">
        <v>24</v>
      </c>
      <c r="H329" s="3">
        <v>0.47093853387978801</v>
      </c>
      <c r="I329" s="3">
        <v>0.440218711798396</v>
      </c>
      <c r="J329" s="3">
        <v>0.39380716335218902</v>
      </c>
      <c r="K329" s="3">
        <v>0.38394594651609198</v>
      </c>
      <c r="L329" s="3">
        <v>0.26025376573612002</v>
      </c>
      <c r="M329" s="3">
        <v>0.19023551919057999</v>
      </c>
      <c r="N329" s="3">
        <v>0.51231502689392105</v>
      </c>
      <c r="O329" s="3">
        <v>0.30174569447764199</v>
      </c>
      <c r="P329">
        <f t="shared" si="136"/>
        <v>0</v>
      </c>
      <c r="Q329">
        <f t="shared" si="137"/>
        <v>0</v>
      </c>
      <c r="R329">
        <f t="shared" si="138"/>
        <v>0</v>
      </c>
      <c r="S329">
        <f t="shared" si="139"/>
        <v>0</v>
      </c>
      <c r="T329">
        <f t="shared" si="140"/>
        <v>0</v>
      </c>
      <c r="U329">
        <f t="shared" si="141"/>
        <v>0</v>
      </c>
      <c r="V329">
        <f t="shared" si="142"/>
        <v>0</v>
      </c>
      <c r="W329">
        <f t="shared" si="143"/>
        <v>0</v>
      </c>
      <c r="X329">
        <f t="shared" si="144"/>
        <v>0</v>
      </c>
      <c r="Y329">
        <f t="shared" si="145"/>
        <v>0</v>
      </c>
      <c r="Z329">
        <f t="shared" si="146"/>
        <v>0</v>
      </c>
      <c r="AA329">
        <f t="shared" si="147"/>
        <v>1</v>
      </c>
      <c r="AB329">
        <f t="shared" si="130"/>
        <v>0</v>
      </c>
      <c r="AC329">
        <f t="shared" si="131"/>
        <v>0</v>
      </c>
      <c r="AD329">
        <f t="shared" si="132"/>
        <v>0</v>
      </c>
      <c r="AE329">
        <f t="shared" si="133"/>
        <v>0</v>
      </c>
      <c r="AF329">
        <f t="shared" si="134"/>
        <v>0</v>
      </c>
      <c r="AG329">
        <f t="shared" si="135"/>
        <v>0</v>
      </c>
      <c r="AH329">
        <f t="shared" si="148"/>
        <v>0</v>
      </c>
      <c r="AI329">
        <f t="shared" si="149"/>
        <v>0</v>
      </c>
      <c r="AJ329">
        <f t="shared" si="149"/>
        <v>0</v>
      </c>
      <c r="AK329">
        <f t="shared" si="149"/>
        <v>0</v>
      </c>
      <c r="AL329">
        <f t="shared" si="149"/>
        <v>1</v>
      </c>
      <c r="AM329">
        <f t="shared" si="149"/>
        <v>0</v>
      </c>
      <c r="AN329">
        <f t="shared" si="149"/>
        <v>0</v>
      </c>
      <c r="AO329">
        <f t="shared" si="149"/>
        <v>0</v>
      </c>
      <c r="AP329">
        <f t="shared" si="149"/>
        <v>0</v>
      </c>
      <c r="AQ329">
        <f t="shared" si="149"/>
        <v>0</v>
      </c>
      <c r="AR329">
        <f t="shared" si="149"/>
        <v>0</v>
      </c>
      <c r="AS329">
        <f t="shared" si="149"/>
        <v>0</v>
      </c>
      <c r="AT329">
        <f t="shared" si="149"/>
        <v>0</v>
      </c>
      <c r="AU329">
        <f t="shared" si="149"/>
        <v>0</v>
      </c>
      <c r="AV329">
        <f t="shared" si="149"/>
        <v>0</v>
      </c>
      <c r="AW329">
        <f t="shared" si="149"/>
        <v>0</v>
      </c>
      <c r="AX329">
        <f t="shared" si="150"/>
        <v>0</v>
      </c>
      <c r="AY329">
        <f t="shared" si="150"/>
        <v>1</v>
      </c>
      <c r="AZ329">
        <f t="shared" si="150"/>
        <v>0</v>
      </c>
      <c r="BA329">
        <f t="shared" si="151"/>
        <v>1</v>
      </c>
      <c r="BB329">
        <f t="shared" si="152"/>
        <v>1</v>
      </c>
    </row>
    <row r="330" spans="1:54">
      <c r="A330">
        <v>327</v>
      </c>
      <c r="B330" t="s">
        <v>20</v>
      </c>
      <c r="C330" t="s">
        <v>28</v>
      </c>
      <c r="D330" t="s">
        <v>26</v>
      </c>
      <c r="E330" t="s">
        <v>30</v>
      </c>
      <c r="F330" t="s">
        <v>29</v>
      </c>
      <c r="G330" t="s">
        <v>31</v>
      </c>
      <c r="H330" s="3">
        <v>3.5929618701242297E-2</v>
      </c>
      <c r="I330" s="3">
        <v>3.4153930264834001E-2</v>
      </c>
      <c r="J330" s="3">
        <v>3.08635618278232E-2</v>
      </c>
      <c r="K330" s="3">
        <v>3.0860223610087101E-2</v>
      </c>
      <c r="L330" s="3">
        <v>2.4505677191930898E-2</v>
      </c>
      <c r="M330" s="3">
        <v>1.96589968307808E-2</v>
      </c>
      <c r="N330" s="3">
        <v>3.8957147138147998E-2</v>
      </c>
      <c r="O330" s="3">
        <v>2.5301742645101301E-2</v>
      </c>
      <c r="P330">
        <f t="shared" si="136"/>
        <v>0</v>
      </c>
      <c r="Q330">
        <f t="shared" si="137"/>
        <v>0</v>
      </c>
      <c r="R330">
        <f t="shared" si="138"/>
        <v>0</v>
      </c>
      <c r="S330">
        <f t="shared" si="139"/>
        <v>0</v>
      </c>
      <c r="T330">
        <f t="shared" si="140"/>
        <v>0</v>
      </c>
      <c r="U330">
        <f t="shared" si="141"/>
        <v>0</v>
      </c>
      <c r="V330">
        <f t="shared" si="142"/>
        <v>0</v>
      </c>
      <c r="W330">
        <f t="shared" si="143"/>
        <v>0</v>
      </c>
      <c r="X330">
        <f t="shared" si="144"/>
        <v>0</v>
      </c>
      <c r="Y330">
        <f t="shared" si="145"/>
        <v>0</v>
      </c>
      <c r="Z330">
        <f t="shared" si="146"/>
        <v>1</v>
      </c>
      <c r="AA330">
        <f t="shared" si="147"/>
        <v>0</v>
      </c>
      <c r="AB330">
        <f t="shared" si="130"/>
        <v>0</v>
      </c>
      <c r="AC330">
        <f t="shared" si="131"/>
        <v>0</v>
      </c>
      <c r="AD330">
        <f t="shared" si="132"/>
        <v>0</v>
      </c>
      <c r="AE330">
        <f t="shared" si="133"/>
        <v>0</v>
      </c>
      <c r="AF330">
        <f t="shared" si="134"/>
        <v>0</v>
      </c>
      <c r="AG330">
        <f t="shared" si="135"/>
        <v>0</v>
      </c>
      <c r="AH330">
        <f t="shared" si="148"/>
        <v>0</v>
      </c>
      <c r="AI330">
        <f t="shared" si="149"/>
        <v>0</v>
      </c>
      <c r="AJ330">
        <f t="shared" si="149"/>
        <v>0</v>
      </c>
      <c r="AK330">
        <f t="shared" si="149"/>
        <v>0</v>
      </c>
      <c r="AL330">
        <f t="shared" si="149"/>
        <v>0</v>
      </c>
      <c r="AM330">
        <f t="shared" si="149"/>
        <v>0</v>
      </c>
      <c r="AN330">
        <f t="shared" si="149"/>
        <v>0</v>
      </c>
      <c r="AO330">
        <f t="shared" si="149"/>
        <v>0</v>
      </c>
      <c r="AP330">
        <f t="shared" si="149"/>
        <v>0</v>
      </c>
      <c r="AQ330">
        <f t="shared" si="149"/>
        <v>0</v>
      </c>
      <c r="AR330">
        <f t="shared" si="149"/>
        <v>0</v>
      </c>
      <c r="AS330">
        <f t="shared" si="149"/>
        <v>0</v>
      </c>
      <c r="AT330">
        <f t="shared" si="149"/>
        <v>0</v>
      </c>
      <c r="AU330">
        <f t="shared" si="149"/>
        <v>0</v>
      </c>
      <c r="AV330">
        <f t="shared" si="149"/>
        <v>0</v>
      </c>
      <c r="AW330">
        <f t="shared" si="149"/>
        <v>0</v>
      </c>
      <c r="AX330">
        <f t="shared" si="150"/>
        <v>0</v>
      </c>
      <c r="AY330">
        <f t="shared" si="150"/>
        <v>1</v>
      </c>
      <c r="AZ330">
        <f t="shared" si="150"/>
        <v>0</v>
      </c>
      <c r="BA330">
        <f t="shared" si="151"/>
        <v>0</v>
      </c>
      <c r="BB330">
        <f t="shared" si="152"/>
        <v>1</v>
      </c>
    </row>
    <row r="331" spans="1:54">
      <c r="A331">
        <v>328</v>
      </c>
      <c r="B331" t="s">
        <v>20</v>
      </c>
      <c r="C331" t="s">
        <v>28</v>
      </c>
      <c r="D331" t="s">
        <v>26</v>
      </c>
      <c r="E331" t="s">
        <v>30</v>
      </c>
      <c r="F331" t="s">
        <v>29</v>
      </c>
      <c r="G331" t="s">
        <v>25</v>
      </c>
      <c r="H331" s="3">
        <v>0.148951631039698</v>
      </c>
      <c r="I331" s="3">
        <v>0.13775087964493901</v>
      </c>
      <c r="J331" s="3">
        <v>0.12543454084307601</v>
      </c>
      <c r="K331" s="3">
        <v>0.118525907749786</v>
      </c>
      <c r="L331" s="3">
        <v>9.4476193398857697E-2</v>
      </c>
      <c r="M331" s="3">
        <v>7.4689253975261799E-2</v>
      </c>
      <c r="N331" s="3">
        <v>0.167511671100848</v>
      </c>
      <c r="O331" s="3">
        <v>9.5496956201689395E-2</v>
      </c>
      <c r="P331">
        <f t="shared" si="136"/>
        <v>0</v>
      </c>
      <c r="Q331">
        <f t="shared" si="137"/>
        <v>0</v>
      </c>
      <c r="R331">
        <f t="shared" si="138"/>
        <v>0</v>
      </c>
      <c r="S331">
        <f t="shared" si="139"/>
        <v>0</v>
      </c>
      <c r="T331">
        <f t="shared" si="140"/>
        <v>0</v>
      </c>
      <c r="U331">
        <f t="shared" si="141"/>
        <v>0</v>
      </c>
      <c r="V331">
        <f t="shared" si="142"/>
        <v>0</v>
      </c>
      <c r="W331">
        <f t="shared" si="143"/>
        <v>0</v>
      </c>
      <c r="X331">
        <f t="shared" si="144"/>
        <v>0</v>
      </c>
      <c r="Y331">
        <f t="shared" si="145"/>
        <v>0</v>
      </c>
      <c r="Z331">
        <f t="shared" si="146"/>
        <v>0</v>
      </c>
      <c r="AA331">
        <f t="shared" si="147"/>
        <v>0</v>
      </c>
      <c r="AB331">
        <f t="shared" si="130"/>
        <v>0</v>
      </c>
      <c r="AC331">
        <f t="shared" si="131"/>
        <v>0</v>
      </c>
      <c r="AD331">
        <f t="shared" si="132"/>
        <v>0</v>
      </c>
      <c r="AE331">
        <f t="shared" si="133"/>
        <v>1</v>
      </c>
      <c r="AF331">
        <f t="shared" si="134"/>
        <v>0</v>
      </c>
      <c r="AG331">
        <f t="shared" si="135"/>
        <v>0</v>
      </c>
      <c r="AH331">
        <f t="shared" si="148"/>
        <v>1</v>
      </c>
      <c r="AI331">
        <f t="shared" si="149"/>
        <v>1</v>
      </c>
      <c r="AJ331">
        <f t="shared" si="149"/>
        <v>0</v>
      </c>
      <c r="AK331">
        <f t="shared" si="149"/>
        <v>0</v>
      </c>
      <c r="AL331">
        <f t="shared" si="149"/>
        <v>0</v>
      </c>
      <c r="AM331">
        <f t="shared" si="149"/>
        <v>0</v>
      </c>
      <c r="AN331">
        <f t="shared" si="149"/>
        <v>0</v>
      </c>
      <c r="AO331">
        <f t="shared" si="149"/>
        <v>0</v>
      </c>
      <c r="AP331">
        <f t="shared" si="149"/>
        <v>0</v>
      </c>
      <c r="AQ331">
        <f t="shared" si="149"/>
        <v>0</v>
      </c>
      <c r="AR331">
        <f t="shared" si="149"/>
        <v>0</v>
      </c>
      <c r="AS331">
        <f t="shared" si="149"/>
        <v>0</v>
      </c>
      <c r="AT331">
        <f t="shared" si="149"/>
        <v>0</v>
      </c>
      <c r="AU331">
        <f t="shared" si="149"/>
        <v>0</v>
      </c>
      <c r="AV331">
        <f t="shared" si="149"/>
        <v>0</v>
      </c>
      <c r="AW331">
        <f t="shared" si="149"/>
        <v>0</v>
      </c>
      <c r="AX331">
        <f t="shared" si="150"/>
        <v>0</v>
      </c>
      <c r="AY331">
        <f t="shared" si="150"/>
        <v>1</v>
      </c>
      <c r="AZ331">
        <f t="shared" si="150"/>
        <v>0</v>
      </c>
      <c r="BA331">
        <f t="shared" si="151"/>
        <v>1</v>
      </c>
      <c r="BB331">
        <f t="shared" si="152"/>
        <v>1</v>
      </c>
    </row>
    <row r="332" spans="1:54">
      <c r="A332">
        <v>329</v>
      </c>
      <c r="B332" t="s">
        <v>20</v>
      </c>
      <c r="C332" t="s">
        <v>28</v>
      </c>
      <c r="D332" t="s">
        <v>26</v>
      </c>
      <c r="E332" t="s">
        <v>30</v>
      </c>
      <c r="F332" t="s">
        <v>29</v>
      </c>
      <c r="G332" t="s">
        <v>26</v>
      </c>
      <c r="H332" s="3">
        <v>0.15227664239059099</v>
      </c>
      <c r="I332" s="3">
        <v>0.14054452294521699</v>
      </c>
      <c r="J332" s="3">
        <v>0.128193531689203</v>
      </c>
      <c r="K332" s="3">
        <v>0.12076308136792301</v>
      </c>
      <c r="L332" s="3">
        <v>9.6635103222180593E-2</v>
      </c>
      <c r="M332" s="3">
        <v>7.6386385165104695E-2</v>
      </c>
      <c r="N332" s="3">
        <v>0.17130390143737101</v>
      </c>
      <c r="O332" s="3">
        <v>9.7583524872057403E-2</v>
      </c>
      <c r="P332">
        <f t="shared" si="136"/>
        <v>0</v>
      </c>
      <c r="Q332">
        <f t="shared" si="137"/>
        <v>0</v>
      </c>
      <c r="R332">
        <f t="shared" si="138"/>
        <v>0</v>
      </c>
      <c r="S332">
        <f t="shared" si="139"/>
        <v>0</v>
      </c>
      <c r="T332">
        <f t="shared" si="140"/>
        <v>0</v>
      </c>
      <c r="U332">
        <f t="shared" si="141"/>
        <v>0</v>
      </c>
      <c r="V332">
        <f t="shared" si="142"/>
        <v>0</v>
      </c>
      <c r="W332">
        <f t="shared" si="143"/>
        <v>0</v>
      </c>
      <c r="X332">
        <f t="shared" si="144"/>
        <v>0</v>
      </c>
      <c r="Y332">
        <f t="shared" si="145"/>
        <v>0</v>
      </c>
      <c r="Z332">
        <f t="shared" si="146"/>
        <v>0</v>
      </c>
      <c r="AA332">
        <f t="shared" si="147"/>
        <v>0</v>
      </c>
      <c r="AB332">
        <f t="shared" si="130"/>
        <v>0</v>
      </c>
      <c r="AC332">
        <f t="shared" si="131"/>
        <v>0</v>
      </c>
      <c r="AD332">
        <f t="shared" si="132"/>
        <v>0</v>
      </c>
      <c r="AE332">
        <f t="shared" si="133"/>
        <v>1</v>
      </c>
      <c r="AF332">
        <f t="shared" si="134"/>
        <v>0</v>
      </c>
      <c r="AG332">
        <f t="shared" si="135"/>
        <v>0</v>
      </c>
      <c r="AH332">
        <f t="shared" si="148"/>
        <v>1</v>
      </c>
      <c r="AI332">
        <f t="shared" si="149"/>
        <v>0</v>
      </c>
      <c r="AJ332">
        <f t="shared" si="149"/>
        <v>0</v>
      </c>
      <c r="AK332">
        <f t="shared" si="149"/>
        <v>0</v>
      </c>
      <c r="AL332">
        <f t="shared" si="149"/>
        <v>0</v>
      </c>
      <c r="AM332">
        <f t="shared" si="149"/>
        <v>0</v>
      </c>
      <c r="AN332">
        <f t="shared" si="149"/>
        <v>0</v>
      </c>
      <c r="AO332">
        <f t="shared" si="149"/>
        <v>0</v>
      </c>
      <c r="AP332">
        <f t="shared" si="149"/>
        <v>0</v>
      </c>
      <c r="AQ332">
        <f t="shared" si="149"/>
        <v>0</v>
      </c>
      <c r="AR332">
        <f t="shared" si="149"/>
        <v>0</v>
      </c>
      <c r="AS332">
        <f t="shared" si="149"/>
        <v>0</v>
      </c>
      <c r="AT332">
        <f t="shared" si="149"/>
        <v>0</v>
      </c>
      <c r="AU332">
        <f t="shared" si="149"/>
        <v>0</v>
      </c>
      <c r="AV332">
        <f t="shared" si="149"/>
        <v>0</v>
      </c>
      <c r="AW332">
        <f t="shared" si="149"/>
        <v>0</v>
      </c>
      <c r="AX332">
        <f t="shared" si="150"/>
        <v>0</v>
      </c>
      <c r="AY332">
        <f t="shared" si="150"/>
        <v>1</v>
      </c>
      <c r="AZ332">
        <f t="shared" si="150"/>
        <v>0</v>
      </c>
      <c r="BA332">
        <f t="shared" si="151"/>
        <v>0</v>
      </c>
      <c r="BB332">
        <f t="shared" si="152"/>
        <v>1</v>
      </c>
    </row>
    <row r="333" spans="1:54">
      <c r="A333">
        <v>330</v>
      </c>
      <c r="B333" t="s">
        <v>20</v>
      </c>
      <c r="C333" t="s">
        <v>28</v>
      </c>
      <c r="D333" t="s">
        <v>27</v>
      </c>
      <c r="E333" t="s">
        <v>20</v>
      </c>
      <c r="F333" t="s">
        <v>29</v>
      </c>
      <c r="G333" t="s">
        <v>22</v>
      </c>
      <c r="H333" s="3">
        <v>0.29343194035790598</v>
      </c>
      <c r="I333" s="3">
        <v>0.29150575933296102</v>
      </c>
      <c r="J333" s="3">
        <v>0.24572870271382299</v>
      </c>
      <c r="K333" s="3">
        <v>0.26130208175720698</v>
      </c>
      <c r="L333" s="3">
        <v>0.18756084192310599</v>
      </c>
      <c r="M333" s="3">
        <v>0.14438255314673801</v>
      </c>
      <c r="N333" s="3">
        <v>0.334127740705433</v>
      </c>
      <c r="O333" s="3">
        <v>0.198494425319859</v>
      </c>
      <c r="P333">
        <f t="shared" si="136"/>
        <v>0</v>
      </c>
      <c r="Q333">
        <f t="shared" si="137"/>
        <v>0</v>
      </c>
      <c r="R333">
        <f t="shared" si="138"/>
        <v>0</v>
      </c>
      <c r="S333">
        <f t="shared" si="139"/>
        <v>1</v>
      </c>
      <c r="T333">
        <f t="shared" si="140"/>
        <v>0</v>
      </c>
      <c r="U333">
        <f t="shared" si="141"/>
        <v>0</v>
      </c>
      <c r="V333">
        <f t="shared" si="142"/>
        <v>0</v>
      </c>
      <c r="W333">
        <f t="shared" si="143"/>
        <v>0</v>
      </c>
      <c r="X333">
        <f t="shared" si="144"/>
        <v>1</v>
      </c>
      <c r="Y333">
        <f t="shared" si="145"/>
        <v>0</v>
      </c>
      <c r="Z333">
        <f t="shared" si="146"/>
        <v>0</v>
      </c>
      <c r="AA333">
        <f t="shared" si="147"/>
        <v>0</v>
      </c>
      <c r="AB333">
        <f t="shared" si="130"/>
        <v>0</v>
      </c>
      <c r="AC333">
        <f t="shared" si="131"/>
        <v>0</v>
      </c>
      <c r="AD333">
        <f t="shared" si="132"/>
        <v>0</v>
      </c>
      <c r="AE333">
        <f t="shared" si="133"/>
        <v>0</v>
      </c>
      <c r="AF333">
        <f t="shared" si="134"/>
        <v>0</v>
      </c>
      <c r="AG333">
        <f t="shared" si="135"/>
        <v>1</v>
      </c>
      <c r="AH333">
        <f t="shared" si="148"/>
        <v>0</v>
      </c>
      <c r="AI333">
        <f t="shared" si="149"/>
        <v>0</v>
      </c>
      <c r="AJ333">
        <f t="shared" si="149"/>
        <v>0</v>
      </c>
      <c r="AK333">
        <f t="shared" si="149"/>
        <v>0</v>
      </c>
      <c r="AL333">
        <f t="shared" si="149"/>
        <v>0</v>
      </c>
      <c r="AM333">
        <f t="shared" si="149"/>
        <v>0</v>
      </c>
      <c r="AN333">
        <f t="shared" si="149"/>
        <v>0</v>
      </c>
      <c r="AO333">
        <f t="shared" si="149"/>
        <v>0</v>
      </c>
      <c r="AP333">
        <f t="shared" si="149"/>
        <v>0</v>
      </c>
      <c r="AQ333">
        <f t="shared" si="149"/>
        <v>0</v>
      </c>
      <c r="AR333">
        <f t="shared" si="149"/>
        <v>0</v>
      </c>
      <c r="AS333">
        <f t="shared" si="149"/>
        <v>0</v>
      </c>
      <c r="AT333">
        <f t="shared" si="149"/>
        <v>1</v>
      </c>
      <c r="AU333">
        <f t="shared" si="149"/>
        <v>0</v>
      </c>
      <c r="AV333">
        <f t="shared" si="149"/>
        <v>0</v>
      </c>
      <c r="AW333">
        <f t="shared" si="149"/>
        <v>0</v>
      </c>
      <c r="AX333">
        <f t="shared" si="150"/>
        <v>0</v>
      </c>
      <c r="AY333">
        <f t="shared" si="150"/>
        <v>1</v>
      </c>
      <c r="AZ333">
        <f t="shared" si="150"/>
        <v>0</v>
      </c>
      <c r="BA333">
        <f t="shared" si="151"/>
        <v>0</v>
      </c>
      <c r="BB333">
        <f t="shared" si="152"/>
        <v>1</v>
      </c>
    </row>
    <row r="334" spans="1:54">
      <c r="A334">
        <v>331</v>
      </c>
      <c r="B334" t="s">
        <v>20</v>
      </c>
      <c r="C334" t="s">
        <v>28</v>
      </c>
      <c r="D334" t="s">
        <v>27</v>
      </c>
      <c r="E334" t="s">
        <v>20</v>
      </c>
      <c r="F334" t="s">
        <v>29</v>
      </c>
      <c r="G334" t="s">
        <v>23</v>
      </c>
      <c r="H334" s="3">
        <v>0.14424299803665</v>
      </c>
      <c r="I334" s="3">
        <v>0.13927185063526201</v>
      </c>
      <c r="J334" s="3">
        <v>0.121212966197374</v>
      </c>
      <c r="K334" s="3">
        <v>0.12552331696925401</v>
      </c>
      <c r="L334" s="3">
        <v>9.16751576358278E-2</v>
      </c>
      <c r="M334" s="3">
        <v>7.2536824724711499E-2</v>
      </c>
      <c r="N334" s="3">
        <v>0.158345221112696</v>
      </c>
      <c r="O334" s="3">
        <v>9.7028798782503797E-2</v>
      </c>
      <c r="P334">
        <f t="shared" si="136"/>
        <v>0</v>
      </c>
      <c r="Q334">
        <f t="shared" si="137"/>
        <v>0</v>
      </c>
      <c r="R334">
        <f t="shared" si="138"/>
        <v>0</v>
      </c>
      <c r="S334">
        <f t="shared" si="139"/>
        <v>1</v>
      </c>
      <c r="T334">
        <f t="shared" si="140"/>
        <v>0</v>
      </c>
      <c r="U334">
        <f t="shared" si="141"/>
        <v>0</v>
      </c>
      <c r="V334">
        <f t="shared" si="142"/>
        <v>0</v>
      </c>
      <c r="W334">
        <f t="shared" si="143"/>
        <v>0</v>
      </c>
      <c r="X334">
        <f t="shared" si="144"/>
        <v>0</v>
      </c>
      <c r="Y334">
        <f t="shared" si="145"/>
        <v>1</v>
      </c>
      <c r="Z334">
        <f t="shared" si="146"/>
        <v>0</v>
      </c>
      <c r="AA334">
        <f t="shared" si="147"/>
        <v>0</v>
      </c>
      <c r="AB334">
        <f t="shared" si="130"/>
        <v>0</v>
      </c>
      <c r="AC334">
        <f t="shared" si="131"/>
        <v>0</v>
      </c>
      <c r="AD334">
        <f t="shared" si="132"/>
        <v>0</v>
      </c>
      <c r="AE334">
        <f t="shared" si="133"/>
        <v>0</v>
      </c>
      <c r="AF334">
        <f t="shared" si="134"/>
        <v>0</v>
      </c>
      <c r="AG334">
        <f t="shared" si="135"/>
        <v>1</v>
      </c>
      <c r="AH334">
        <f t="shared" si="148"/>
        <v>0</v>
      </c>
      <c r="AI334">
        <f t="shared" si="149"/>
        <v>0</v>
      </c>
      <c r="AJ334">
        <f t="shared" si="149"/>
        <v>0</v>
      </c>
      <c r="AK334">
        <f t="shared" si="149"/>
        <v>0</v>
      </c>
      <c r="AL334">
        <f t="shared" si="149"/>
        <v>0</v>
      </c>
      <c r="AM334">
        <f t="shared" si="149"/>
        <v>0</v>
      </c>
      <c r="AN334">
        <f t="shared" si="149"/>
        <v>0</v>
      </c>
      <c r="AO334">
        <f t="shared" si="149"/>
        <v>0</v>
      </c>
      <c r="AP334">
        <f t="shared" si="149"/>
        <v>0</v>
      </c>
      <c r="AQ334">
        <f t="shared" si="149"/>
        <v>0</v>
      </c>
      <c r="AR334">
        <f t="shared" si="149"/>
        <v>0</v>
      </c>
      <c r="AS334">
        <f t="shared" si="149"/>
        <v>0</v>
      </c>
      <c r="AT334">
        <f t="shared" si="149"/>
        <v>0</v>
      </c>
      <c r="AU334">
        <f t="shared" si="149"/>
        <v>0</v>
      </c>
      <c r="AV334">
        <f t="shared" si="149"/>
        <v>1</v>
      </c>
      <c r="AW334">
        <f t="shared" si="149"/>
        <v>0</v>
      </c>
      <c r="AX334">
        <f t="shared" si="150"/>
        <v>0</v>
      </c>
      <c r="AY334">
        <f t="shared" si="150"/>
        <v>1</v>
      </c>
      <c r="AZ334">
        <f t="shared" si="150"/>
        <v>0</v>
      </c>
      <c r="BA334">
        <f t="shared" si="151"/>
        <v>0</v>
      </c>
      <c r="BB334">
        <f t="shared" si="152"/>
        <v>1</v>
      </c>
    </row>
    <row r="335" spans="1:54">
      <c r="A335">
        <v>332</v>
      </c>
      <c r="B335" t="s">
        <v>20</v>
      </c>
      <c r="C335" t="s">
        <v>28</v>
      </c>
      <c r="D335" t="s">
        <v>27</v>
      </c>
      <c r="E335" t="s">
        <v>20</v>
      </c>
      <c r="F335" t="s">
        <v>29</v>
      </c>
      <c r="G335" t="s">
        <v>24</v>
      </c>
      <c r="H335" s="3">
        <v>0.26162236742234501</v>
      </c>
      <c r="I335" s="3">
        <v>0.25327771193390203</v>
      </c>
      <c r="J335" s="3">
        <v>0.21795931084760201</v>
      </c>
      <c r="K335" s="3">
        <v>0.222819489381092</v>
      </c>
      <c r="L335" s="3">
        <v>0.16093291486188399</v>
      </c>
      <c r="M335" s="3">
        <v>0.121967455923774</v>
      </c>
      <c r="N335" s="3">
        <v>0.30137575236457398</v>
      </c>
      <c r="O335" s="3">
        <v>0.17124069893621299</v>
      </c>
      <c r="P335">
        <f t="shared" si="136"/>
        <v>0</v>
      </c>
      <c r="Q335">
        <f t="shared" si="137"/>
        <v>0</v>
      </c>
      <c r="R335">
        <f t="shared" si="138"/>
        <v>0</v>
      </c>
      <c r="S335">
        <f t="shared" si="139"/>
        <v>1</v>
      </c>
      <c r="T335">
        <f t="shared" si="140"/>
        <v>0</v>
      </c>
      <c r="U335">
        <f t="shared" si="141"/>
        <v>0</v>
      </c>
      <c r="V335">
        <f t="shared" si="142"/>
        <v>0</v>
      </c>
      <c r="W335">
        <f t="shared" si="143"/>
        <v>0</v>
      </c>
      <c r="X335">
        <f t="shared" si="144"/>
        <v>0</v>
      </c>
      <c r="Y335">
        <f t="shared" si="145"/>
        <v>0</v>
      </c>
      <c r="Z335">
        <f t="shared" si="146"/>
        <v>0</v>
      </c>
      <c r="AA335">
        <f t="shared" si="147"/>
        <v>1</v>
      </c>
      <c r="AB335">
        <f t="shared" si="130"/>
        <v>0</v>
      </c>
      <c r="AC335">
        <f t="shared" si="131"/>
        <v>0</v>
      </c>
      <c r="AD335">
        <f t="shared" si="132"/>
        <v>1</v>
      </c>
      <c r="AE335">
        <f t="shared" si="133"/>
        <v>0</v>
      </c>
      <c r="AF335">
        <f t="shared" si="134"/>
        <v>0</v>
      </c>
      <c r="AG335">
        <f t="shared" si="135"/>
        <v>1</v>
      </c>
      <c r="AH335">
        <f t="shared" si="148"/>
        <v>1</v>
      </c>
      <c r="AI335">
        <f t="shared" si="149"/>
        <v>0</v>
      </c>
      <c r="AJ335">
        <f t="shared" si="149"/>
        <v>0</v>
      </c>
      <c r="AK335">
        <f t="shared" si="149"/>
        <v>0</v>
      </c>
      <c r="AL335">
        <f t="shared" si="149"/>
        <v>0</v>
      </c>
      <c r="AM335">
        <f t="shared" si="149"/>
        <v>0</v>
      </c>
      <c r="AN335">
        <f t="shared" si="149"/>
        <v>0</v>
      </c>
      <c r="AO335">
        <f t="shared" si="149"/>
        <v>0</v>
      </c>
      <c r="AP335">
        <f t="shared" si="149"/>
        <v>0</v>
      </c>
      <c r="AQ335">
        <f t="shared" si="149"/>
        <v>0</v>
      </c>
      <c r="AR335">
        <f t="shared" si="149"/>
        <v>0</v>
      </c>
      <c r="AS335">
        <f t="shared" si="149"/>
        <v>0</v>
      </c>
      <c r="AT335">
        <f t="shared" si="149"/>
        <v>0</v>
      </c>
      <c r="AU335">
        <f t="shared" si="149"/>
        <v>0</v>
      </c>
      <c r="AV335">
        <f t="shared" si="149"/>
        <v>0</v>
      </c>
      <c r="AW335">
        <f t="shared" si="149"/>
        <v>1</v>
      </c>
      <c r="AX335">
        <f t="shared" si="150"/>
        <v>0</v>
      </c>
      <c r="AY335">
        <f t="shared" si="150"/>
        <v>1</v>
      </c>
      <c r="AZ335">
        <f t="shared" si="150"/>
        <v>0</v>
      </c>
      <c r="BA335">
        <f t="shared" si="151"/>
        <v>0</v>
      </c>
      <c r="BB335">
        <f t="shared" si="152"/>
        <v>1</v>
      </c>
    </row>
    <row r="336" spans="1:54">
      <c r="A336">
        <v>333</v>
      </c>
      <c r="B336" t="s">
        <v>20</v>
      </c>
      <c r="C336" t="s">
        <v>28</v>
      </c>
      <c r="D336" t="s">
        <v>27</v>
      </c>
      <c r="E336" t="s">
        <v>20</v>
      </c>
      <c r="F336" t="s">
        <v>29</v>
      </c>
      <c r="G336" t="s">
        <v>31</v>
      </c>
      <c r="H336" s="3">
        <v>0.17117565662209</v>
      </c>
      <c r="I336" s="3">
        <v>0.16558264850790499</v>
      </c>
      <c r="J336" s="3">
        <v>0.14265957495932899</v>
      </c>
      <c r="K336" s="3">
        <v>0.14767007052228301</v>
      </c>
      <c r="L336" s="3">
        <v>0.110576690938891</v>
      </c>
      <c r="M336" s="3">
        <v>8.6468173704540893E-2</v>
      </c>
      <c r="N336" s="3">
        <v>0.19115549215406499</v>
      </c>
      <c r="O336" s="3">
        <v>0.11428924298245299</v>
      </c>
      <c r="P336">
        <f t="shared" si="136"/>
        <v>0</v>
      </c>
      <c r="Q336">
        <f t="shared" si="137"/>
        <v>0</v>
      </c>
      <c r="R336">
        <f t="shared" si="138"/>
        <v>0</v>
      </c>
      <c r="S336">
        <f t="shared" si="139"/>
        <v>1</v>
      </c>
      <c r="T336">
        <f t="shared" si="140"/>
        <v>0</v>
      </c>
      <c r="U336">
        <f t="shared" si="141"/>
        <v>0</v>
      </c>
      <c r="V336">
        <f t="shared" si="142"/>
        <v>0</v>
      </c>
      <c r="W336">
        <f t="shared" si="143"/>
        <v>0</v>
      </c>
      <c r="X336">
        <f t="shared" si="144"/>
        <v>0</v>
      </c>
      <c r="Y336">
        <f t="shared" si="145"/>
        <v>0</v>
      </c>
      <c r="Z336">
        <f t="shared" si="146"/>
        <v>1</v>
      </c>
      <c r="AA336">
        <f t="shared" si="147"/>
        <v>0</v>
      </c>
      <c r="AB336">
        <f t="shared" si="130"/>
        <v>0</v>
      </c>
      <c r="AC336">
        <f t="shared" si="131"/>
        <v>0</v>
      </c>
      <c r="AD336">
        <f t="shared" si="132"/>
        <v>0</v>
      </c>
      <c r="AE336">
        <f t="shared" si="133"/>
        <v>0</v>
      </c>
      <c r="AF336">
        <f t="shared" si="134"/>
        <v>0</v>
      </c>
      <c r="AG336">
        <f t="shared" si="135"/>
        <v>1</v>
      </c>
      <c r="AH336">
        <f t="shared" si="148"/>
        <v>0</v>
      </c>
      <c r="AI336">
        <f t="shared" si="149"/>
        <v>0</v>
      </c>
      <c r="AJ336">
        <f t="shared" si="149"/>
        <v>0</v>
      </c>
      <c r="AK336">
        <f t="shared" si="149"/>
        <v>0</v>
      </c>
      <c r="AL336">
        <f t="shared" si="149"/>
        <v>0</v>
      </c>
      <c r="AM336">
        <f t="shared" si="149"/>
        <v>0</v>
      </c>
      <c r="AN336">
        <f t="shared" si="149"/>
        <v>0</v>
      </c>
      <c r="AO336">
        <f t="shared" si="149"/>
        <v>0</v>
      </c>
      <c r="AP336">
        <f t="shared" si="149"/>
        <v>0</v>
      </c>
      <c r="AQ336">
        <f t="shared" si="149"/>
        <v>0</v>
      </c>
      <c r="AR336">
        <f t="shared" si="149"/>
        <v>0</v>
      </c>
      <c r="AS336">
        <f t="shared" si="149"/>
        <v>0</v>
      </c>
      <c r="AT336">
        <f t="shared" si="149"/>
        <v>0</v>
      </c>
      <c r="AU336">
        <f t="shared" si="149"/>
        <v>0</v>
      </c>
      <c r="AV336">
        <f t="shared" si="149"/>
        <v>0</v>
      </c>
      <c r="AW336">
        <f t="shared" si="149"/>
        <v>0</v>
      </c>
      <c r="AX336">
        <f t="shared" si="150"/>
        <v>0</v>
      </c>
      <c r="AY336">
        <f t="shared" si="150"/>
        <v>1</v>
      </c>
      <c r="AZ336">
        <f t="shared" si="150"/>
        <v>0</v>
      </c>
      <c r="BA336">
        <f t="shared" si="151"/>
        <v>0</v>
      </c>
      <c r="BB336">
        <f t="shared" si="152"/>
        <v>1</v>
      </c>
    </row>
    <row r="337" spans="1:54">
      <c r="A337">
        <v>334</v>
      </c>
      <c r="B337" t="s">
        <v>20</v>
      </c>
      <c r="C337" t="s">
        <v>28</v>
      </c>
      <c r="D337" t="s">
        <v>27</v>
      </c>
      <c r="E337" t="s">
        <v>20</v>
      </c>
      <c r="F337" t="s">
        <v>29</v>
      </c>
      <c r="G337" t="s">
        <v>25</v>
      </c>
      <c r="H337" s="3">
        <v>2.75851351550838E-2</v>
      </c>
      <c r="I337" s="3">
        <v>2.7446428630667302E-2</v>
      </c>
      <c r="J337" s="3">
        <v>2.32480213994136E-2</v>
      </c>
      <c r="K337" s="3">
        <v>2.4972460601236899E-2</v>
      </c>
      <c r="L337" s="3">
        <v>1.7926830528238999E-2</v>
      </c>
      <c r="M337" s="3">
        <v>1.41131246443523E-2</v>
      </c>
      <c r="N337" s="3">
        <v>3.07901787675143E-2</v>
      </c>
      <c r="O337" s="3">
        <v>1.9072692644128201E-2</v>
      </c>
      <c r="P337">
        <f t="shared" si="136"/>
        <v>0</v>
      </c>
      <c r="Q337">
        <f t="shared" si="137"/>
        <v>0</v>
      </c>
      <c r="R337">
        <f t="shared" si="138"/>
        <v>0</v>
      </c>
      <c r="S337">
        <f t="shared" si="139"/>
        <v>1</v>
      </c>
      <c r="T337">
        <f t="shared" si="140"/>
        <v>0</v>
      </c>
      <c r="U337">
        <f t="shared" si="141"/>
        <v>0</v>
      </c>
      <c r="V337">
        <f t="shared" si="142"/>
        <v>0</v>
      </c>
      <c r="W337">
        <f t="shared" si="143"/>
        <v>0</v>
      </c>
      <c r="X337">
        <f t="shared" si="144"/>
        <v>0</v>
      </c>
      <c r="Y337">
        <f t="shared" si="145"/>
        <v>0</v>
      </c>
      <c r="Z337">
        <f t="shared" si="146"/>
        <v>0</v>
      </c>
      <c r="AA337">
        <f t="shared" si="147"/>
        <v>0</v>
      </c>
      <c r="AB337">
        <f t="shared" si="130"/>
        <v>0</v>
      </c>
      <c r="AC337">
        <f t="shared" si="131"/>
        <v>0</v>
      </c>
      <c r="AD337">
        <f t="shared" si="132"/>
        <v>0</v>
      </c>
      <c r="AE337">
        <f t="shared" si="133"/>
        <v>0</v>
      </c>
      <c r="AF337">
        <f t="shared" si="134"/>
        <v>0</v>
      </c>
      <c r="AG337">
        <f t="shared" si="135"/>
        <v>1</v>
      </c>
      <c r="AH337">
        <f t="shared" si="148"/>
        <v>0</v>
      </c>
      <c r="AI337">
        <f t="shared" si="149"/>
        <v>0</v>
      </c>
      <c r="AJ337">
        <f t="shared" si="149"/>
        <v>0</v>
      </c>
      <c r="AK337">
        <f t="shared" si="149"/>
        <v>0</v>
      </c>
      <c r="AL337">
        <f t="shared" si="149"/>
        <v>0</v>
      </c>
      <c r="AM337">
        <f t="shared" si="149"/>
        <v>0</v>
      </c>
      <c r="AN337">
        <f t="shared" si="149"/>
        <v>0</v>
      </c>
      <c r="AO337">
        <f t="shared" si="149"/>
        <v>0</v>
      </c>
      <c r="AP337">
        <f t="shared" si="149"/>
        <v>0</v>
      </c>
      <c r="AQ337">
        <f t="shared" si="149"/>
        <v>1</v>
      </c>
      <c r="AR337">
        <f t="shared" si="149"/>
        <v>0</v>
      </c>
      <c r="AS337">
        <f t="shared" si="149"/>
        <v>0</v>
      </c>
      <c r="AT337">
        <f t="shared" si="149"/>
        <v>0</v>
      </c>
      <c r="AU337">
        <f t="shared" si="149"/>
        <v>0</v>
      </c>
      <c r="AV337">
        <f t="shared" si="149"/>
        <v>0</v>
      </c>
      <c r="AW337">
        <f t="shared" si="149"/>
        <v>0</v>
      </c>
      <c r="AX337">
        <f t="shared" si="150"/>
        <v>0</v>
      </c>
      <c r="AY337">
        <f t="shared" si="150"/>
        <v>1</v>
      </c>
      <c r="AZ337">
        <f t="shared" si="150"/>
        <v>0</v>
      </c>
      <c r="BA337">
        <f t="shared" si="151"/>
        <v>1</v>
      </c>
      <c r="BB337">
        <f t="shared" si="152"/>
        <v>1</v>
      </c>
    </row>
    <row r="338" spans="1:54">
      <c r="A338">
        <v>335</v>
      </c>
      <c r="B338" t="s">
        <v>20</v>
      </c>
      <c r="C338" t="s">
        <v>28</v>
      </c>
      <c r="D338" t="s">
        <v>27</v>
      </c>
      <c r="E338" t="s">
        <v>20</v>
      </c>
      <c r="F338" t="s">
        <v>29</v>
      </c>
      <c r="G338" t="s">
        <v>26</v>
      </c>
      <c r="H338" s="3">
        <v>2.8250722712551898E-2</v>
      </c>
      <c r="I338" s="3">
        <v>2.8091206066461E-2</v>
      </c>
      <c r="J338" s="3">
        <v>2.3822858094279298E-2</v>
      </c>
      <c r="K338" s="3">
        <v>2.55481104566633E-2</v>
      </c>
      <c r="L338" s="3">
        <v>1.8376388856144801E-2</v>
      </c>
      <c r="M338" s="3">
        <v>1.44783059050206E-2</v>
      </c>
      <c r="N338" s="3">
        <v>3.1531126304425998E-2</v>
      </c>
      <c r="O338" s="3">
        <v>1.9536698630877501E-2</v>
      </c>
      <c r="P338">
        <f t="shared" si="136"/>
        <v>0</v>
      </c>
      <c r="Q338">
        <f t="shared" si="137"/>
        <v>0</v>
      </c>
      <c r="R338">
        <f t="shared" si="138"/>
        <v>0</v>
      </c>
      <c r="S338">
        <f t="shared" si="139"/>
        <v>1</v>
      </c>
      <c r="T338">
        <f t="shared" si="140"/>
        <v>0</v>
      </c>
      <c r="U338">
        <f t="shared" si="141"/>
        <v>0</v>
      </c>
      <c r="V338">
        <f t="shared" si="142"/>
        <v>0</v>
      </c>
      <c r="W338">
        <f t="shared" si="143"/>
        <v>0</v>
      </c>
      <c r="X338">
        <f t="shared" si="144"/>
        <v>0</v>
      </c>
      <c r="Y338">
        <f t="shared" si="145"/>
        <v>0</v>
      </c>
      <c r="Z338">
        <f t="shared" si="146"/>
        <v>0</v>
      </c>
      <c r="AA338">
        <f t="shared" si="147"/>
        <v>0</v>
      </c>
      <c r="AB338">
        <f t="shared" si="130"/>
        <v>0</v>
      </c>
      <c r="AC338">
        <f t="shared" si="131"/>
        <v>0</v>
      </c>
      <c r="AD338">
        <f t="shared" si="132"/>
        <v>0</v>
      </c>
      <c r="AE338">
        <f t="shared" si="133"/>
        <v>0</v>
      </c>
      <c r="AF338">
        <f t="shared" si="134"/>
        <v>0</v>
      </c>
      <c r="AG338">
        <f t="shared" si="135"/>
        <v>1</v>
      </c>
      <c r="AH338">
        <f t="shared" si="148"/>
        <v>0</v>
      </c>
      <c r="AI338">
        <f t="shared" si="149"/>
        <v>0</v>
      </c>
      <c r="AJ338">
        <f t="shared" si="149"/>
        <v>0</v>
      </c>
      <c r="AK338">
        <f t="shared" si="149"/>
        <v>0</v>
      </c>
      <c r="AL338">
        <f t="shared" si="149"/>
        <v>0</v>
      </c>
      <c r="AM338">
        <f t="shared" si="149"/>
        <v>1</v>
      </c>
      <c r="AN338">
        <f t="shared" si="149"/>
        <v>0</v>
      </c>
      <c r="AO338">
        <f t="shared" si="149"/>
        <v>0</v>
      </c>
      <c r="AP338">
        <f t="shared" si="149"/>
        <v>0</v>
      </c>
      <c r="AQ338">
        <f t="shared" si="149"/>
        <v>0</v>
      </c>
      <c r="AR338">
        <f t="shared" si="149"/>
        <v>0</v>
      </c>
      <c r="AS338">
        <f t="shared" si="149"/>
        <v>0</v>
      </c>
      <c r="AT338">
        <f t="shared" si="149"/>
        <v>0</v>
      </c>
      <c r="AU338">
        <f t="shared" si="149"/>
        <v>0</v>
      </c>
      <c r="AV338">
        <f t="shared" si="149"/>
        <v>0</v>
      </c>
      <c r="AW338">
        <f t="shared" si="149"/>
        <v>0</v>
      </c>
      <c r="AX338">
        <f t="shared" si="150"/>
        <v>0</v>
      </c>
      <c r="AY338">
        <f t="shared" si="150"/>
        <v>1</v>
      </c>
      <c r="AZ338">
        <f t="shared" si="150"/>
        <v>0</v>
      </c>
      <c r="BA338">
        <f t="shared" si="151"/>
        <v>1</v>
      </c>
      <c r="BB338">
        <f t="shared" si="152"/>
        <v>1</v>
      </c>
    </row>
    <row r="339" spans="1:54">
      <c r="A339">
        <v>336</v>
      </c>
      <c r="B339" t="s">
        <v>20</v>
      </c>
      <c r="C339" t="s">
        <v>28</v>
      </c>
      <c r="D339" t="s">
        <v>27</v>
      </c>
      <c r="E339" t="s">
        <v>30</v>
      </c>
      <c r="F339" t="s">
        <v>21</v>
      </c>
      <c r="G339" t="s">
        <v>22</v>
      </c>
      <c r="H339" s="3">
        <v>8.3958007893061404E-2</v>
      </c>
      <c r="I339" s="3">
        <v>8.0726979695619705E-2</v>
      </c>
      <c r="J339" s="3">
        <v>6.93659581312525E-2</v>
      </c>
      <c r="K339" s="3">
        <v>7.2920715584407103E-2</v>
      </c>
      <c r="L339" s="3">
        <v>5.2148712972629498E-2</v>
      </c>
      <c r="M339" s="3">
        <v>4.1017011819665501E-2</v>
      </c>
      <c r="N339" s="3">
        <v>9.1298145506419404E-2</v>
      </c>
      <c r="O339" s="3">
        <v>5.59169342086537E-2</v>
      </c>
      <c r="P339">
        <f t="shared" si="136"/>
        <v>0</v>
      </c>
      <c r="Q339">
        <f t="shared" si="137"/>
        <v>0</v>
      </c>
      <c r="R339">
        <f t="shared" si="138"/>
        <v>0</v>
      </c>
      <c r="S339">
        <f t="shared" si="139"/>
        <v>1</v>
      </c>
      <c r="T339">
        <f t="shared" si="140"/>
        <v>1</v>
      </c>
      <c r="U339">
        <f t="shared" si="141"/>
        <v>0</v>
      </c>
      <c r="V339">
        <f t="shared" si="142"/>
        <v>0</v>
      </c>
      <c r="W339">
        <f t="shared" si="143"/>
        <v>0</v>
      </c>
      <c r="X339">
        <f t="shared" si="144"/>
        <v>0</v>
      </c>
      <c r="Y339">
        <f t="shared" si="145"/>
        <v>0</v>
      </c>
      <c r="Z339">
        <f t="shared" si="146"/>
        <v>0</v>
      </c>
      <c r="AA339">
        <f t="shared" si="147"/>
        <v>0</v>
      </c>
      <c r="AB339">
        <f t="shared" si="130"/>
        <v>0</v>
      </c>
      <c r="AC339">
        <f t="shared" si="131"/>
        <v>0</v>
      </c>
      <c r="AD339">
        <f t="shared" si="132"/>
        <v>0</v>
      </c>
      <c r="AE339">
        <f t="shared" si="133"/>
        <v>0</v>
      </c>
      <c r="AF339">
        <f t="shared" si="134"/>
        <v>0</v>
      </c>
      <c r="AG339">
        <f t="shared" si="135"/>
        <v>0</v>
      </c>
      <c r="AH339">
        <f t="shared" si="148"/>
        <v>0</v>
      </c>
      <c r="AI339">
        <f t="shared" si="149"/>
        <v>0</v>
      </c>
      <c r="AJ339">
        <f t="shared" si="149"/>
        <v>0</v>
      </c>
      <c r="AK339">
        <f t="shared" si="149"/>
        <v>0</v>
      </c>
      <c r="AL339">
        <f t="shared" si="149"/>
        <v>0</v>
      </c>
      <c r="AM339">
        <f t="shared" si="149"/>
        <v>0</v>
      </c>
      <c r="AN339">
        <f t="shared" si="149"/>
        <v>0</v>
      </c>
      <c r="AO339">
        <f t="shared" si="149"/>
        <v>0</v>
      </c>
      <c r="AP339">
        <f t="shared" si="149"/>
        <v>0</v>
      </c>
      <c r="AQ339">
        <f t="shared" si="149"/>
        <v>0</v>
      </c>
      <c r="AR339">
        <f t="shared" si="149"/>
        <v>0</v>
      </c>
      <c r="AS339">
        <f t="shared" si="149"/>
        <v>0</v>
      </c>
      <c r="AT339">
        <f t="shared" si="149"/>
        <v>1</v>
      </c>
      <c r="AU339">
        <f t="shared" si="149"/>
        <v>0</v>
      </c>
      <c r="AV339">
        <f t="shared" si="149"/>
        <v>0</v>
      </c>
      <c r="AW339">
        <f t="shared" si="149"/>
        <v>0</v>
      </c>
      <c r="AX339">
        <f t="shared" si="150"/>
        <v>1</v>
      </c>
      <c r="AY339">
        <f t="shared" si="150"/>
        <v>0</v>
      </c>
      <c r="AZ339">
        <f t="shared" si="150"/>
        <v>0</v>
      </c>
      <c r="BA339">
        <f t="shared" si="151"/>
        <v>0</v>
      </c>
      <c r="BB339">
        <f t="shared" si="152"/>
        <v>0</v>
      </c>
    </row>
    <row r="340" spans="1:54">
      <c r="A340">
        <v>337</v>
      </c>
      <c r="B340" t="s">
        <v>20</v>
      </c>
      <c r="C340" t="s">
        <v>28</v>
      </c>
      <c r="D340" t="s">
        <v>27</v>
      </c>
      <c r="E340" t="s">
        <v>30</v>
      </c>
      <c r="F340" t="s">
        <v>21</v>
      </c>
      <c r="G340" t="s">
        <v>23</v>
      </c>
      <c r="H340" s="3">
        <v>8.9801768996185097E-2</v>
      </c>
      <c r="I340" s="3">
        <v>8.5652998036891095E-2</v>
      </c>
      <c r="J340" s="3">
        <v>7.3985252840989599E-2</v>
      </c>
      <c r="K340" s="3">
        <v>7.6310726930887599E-2</v>
      </c>
      <c r="L340" s="3">
        <v>5.3274468235284603E-2</v>
      </c>
      <c r="M340" s="3">
        <v>4.0452879390163003E-2</v>
      </c>
      <c r="N340" s="3">
        <v>9.8430813124108396E-2</v>
      </c>
      <c r="O340" s="3">
        <v>5.7605361444282299E-2</v>
      </c>
      <c r="P340">
        <f t="shared" si="136"/>
        <v>0</v>
      </c>
      <c r="Q340">
        <f t="shared" si="137"/>
        <v>0</v>
      </c>
      <c r="R340">
        <f t="shared" si="138"/>
        <v>0</v>
      </c>
      <c r="S340">
        <f t="shared" si="139"/>
        <v>1</v>
      </c>
      <c r="T340">
        <f t="shared" si="140"/>
        <v>0</v>
      </c>
      <c r="U340">
        <f t="shared" si="141"/>
        <v>1</v>
      </c>
      <c r="V340">
        <f t="shared" si="142"/>
        <v>0</v>
      </c>
      <c r="W340">
        <f t="shared" si="143"/>
        <v>0</v>
      </c>
      <c r="X340">
        <f t="shared" si="144"/>
        <v>0</v>
      </c>
      <c r="Y340">
        <f t="shared" si="145"/>
        <v>0</v>
      </c>
      <c r="Z340">
        <f t="shared" si="146"/>
        <v>0</v>
      </c>
      <c r="AA340">
        <f t="shared" si="147"/>
        <v>0</v>
      </c>
      <c r="AB340">
        <f t="shared" si="130"/>
        <v>0</v>
      </c>
      <c r="AC340">
        <f t="shared" si="131"/>
        <v>0</v>
      </c>
      <c r="AD340">
        <f t="shared" si="132"/>
        <v>0</v>
      </c>
      <c r="AE340">
        <f t="shared" si="133"/>
        <v>0</v>
      </c>
      <c r="AF340">
        <f t="shared" si="134"/>
        <v>0</v>
      </c>
      <c r="AG340">
        <f t="shared" si="135"/>
        <v>0</v>
      </c>
      <c r="AH340">
        <f t="shared" si="148"/>
        <v>0</v>
      </c>
      <c r="AI340">
        <f t="shared" si="149"/>
        <v>0</v>
      </c>
      <c r="AJ340">
        <f t="shared" si="149"/>
        <v>0</v>
      </c>
      <c r="AK340">
        <f t="shared" si="149"/>
        <v>0</v>
      </c>
      <c r="AL340">
        <f t="shared" si="149"/>
        <v>0</v>
      </c>
      <c r="AM340">
        <f t="shared" si="149"/>
        <v>0</v>
      </c>
      <c r="AN340">
        <f t="shared" si="149"/>
        <v>0</v>
      </c>
      <c r="AO340">
        <f t="shared" si="149"/>
        <v>0</v>
      </c>
      <c r="AP340">
        <f t="shared" si="149"/>
        <v>0</v>
      </c>
      <c r="AQ340">
        <f t="shared" si="149"/>
        <v>0</v>
      </c>
      <c r="AR340">
        <f t="shared" si="149"/>
        <v>0</v>
      </c>
      <c r="AS340">
        <f t="shared" si="149"/>
        <v>0</v>
      </c>
      <c r="AT340">
        <f t="shared" si="149"/>
        <v>0</v>
      </c>
      <c r="AU340">
        <f t="shared" si="149"/>
        <v>0</v>
      </c>
      <c r="AV340">
        <f t="shared" si="149"/>
        <v>1</v>
      </c>
      <c r="AW340">
        <f t="shared" si="149"/>
        <v>0</v>
      </c>
      <c r="AX340">
        <f t="shared" si="150"/>
        <v>1</v>
      </c>
      <c r="AY340">
        <f t="shared" si="150"/>
        <v>0</v>
      </c>
      <c r="AZ340">
        <f t="shared" si="150"/>
        <v>0</v>
      </c>
      <c r="BA340">
        <f t="shared" si="151"/>
        <v>0</v>
      </c>
      <c r="BB340">
        <f t="shared" si="152"/>
        <v>0</v>
      </c>
    </row>
    <row r="341" spans="1:54">
      <c r="A341">
        <v>338</v>
      </c>
      <c r="B341" t="s">
        <v>20</v>
      </c>
      <c r="C341" t="s">
        <v>28</v>
      </c>
      <c r="D341" t="s">
        <v>27</v>
      </c>
      <c r="E341" t="s">
        <v>30</v>
      </c>
      <c r="F341" t="s">
        <v>21</v>
      </c>
      <c r="G341" t="s">
        <v>24</v>
      </c>
      <c r="H341" s="3">
        <v>0.23867825573773799</v>
      </c>
      <c r="I341" s="3">
        <v>0.23698456393099199</v>
      </c>
      <c r="J341" s="3">
        <v>0.19410616402130701</v>
      </c>
      <c r="K341" s="3">
        <v>0.20962809774705701</v>
      </c>
      <c r="L341" s="3">
        <v>0.142097096490858</v>
      </c>
      <c r="M341" s="3">
        <v>0.107266114855449</v>
      </c>
      <c r="N341" s="3">
        <v>0.27839555202541699</v>
      </c>
      <c r="O341" s="3">
        <v>0.14832342874896201</v>
      </c>
      <c r="P341">
        <f t="shared" si="136"/>
        <v>0</v>
      </c>
      <c r="Q341">
        <f t="shared" si="137"/>
        <v>0</v>
      </c>
      <c r="R341">
        <f t="shared" si="138"/>
        <v>0</v>
      </c>
      <c r="S341">
        <f t="shared" si="139"/>
        <v>1</v>
      </c>
      <c r="T341">
        <f t="shared" si="140"/>
        <v>0</v>
      </c>
      <c r="U341">
        <f t="shared" si="141"/>
        <v>0</v>
      </c>
      <c r="V341">
        <f t="shared" si="142"/>
        <v>1</v>
      </c>
      <c r="W341">
        <f t="shared" si="143"/>
        <v>0</v>
      </c>
      <c r="X341">
        <f t="shared" si="144"/>
        <v>0</v>
      </c>
      <c r="Y341">
        <f t="shared" si="145"/>
        <v>0</v>
      </c>
      <c r="Z341">
        <f t="shared" si="146"/>
        <v>0</v>
      </c>
      <c r="AA341">
        <f t="shared" si="147"/>
        <v>0</v>
      </c>
      <c r="AB341">
        <f t="shared" si="130"/>
        <v>0</v>
      </c>
      <c r="AC341">
        <f t="shared" si="131"/>
        <v>0</v>
      </c>
      <c r="AD341">
        <f t="shared" si="132"/>
        <v>1</v>
      </c>
      <c r="AE341">
        <f t="shared" si="133"/>
        <v>0</v>
      </c>
      <c r="AF341">
        <f t="shared" si="134"/>
        <v>0</v>
      </c>
      <c r="AG341">
        <f t="shared" si="135"/>
        <v>0</v>
      </c>
      <c r="AH341">
        <f t="shared" si="148"/>
        <v>1</v>
      </c>
      <c r="AI341">
        <f t="shared" ref="AI341:AW357" si="153">IF(OR(AND($D341=AI$1,$G341=AI$2),AND($D341=AI$2,$G341=AI$1)),1,0)</f>
        <v>0</v>
      </c>
      <c r="AJ341">
        <f t="shared" si="153"/>
        <v>0</v>
      </c>
      <c r="AK341">
        <f t="shared" si="153"/>
        <v>0</v>
      </c>
      <c r="AL341">
        <f t="shared" si="153"/>
        <v>0</v>
      </c>
      <c r="AM341">
        <f t="shared" si="153"/>
        <v>0</v>
      </c>
      <c r="AN341">
        <f t="shared" si="153"/>
        <v>0</v>
      </c>
      <c r="AO341">
        <f t="shared" si="153"/>
        <v>0</v>
      </c>
      <c r="AP341">
        <f t="shared" si="153"/>
        <v>0</v>
      </c>
      <c r="AQ341">
        <f t="shared" si="153"/>
        <v>0</v>
      </c>
      <c r="AR341">
        <f t="shared" si="153"/>
        <v>0</v>
      </c>
      <c r="AS341">
        <f t="shared" si="153"/>
        <v>0</v>
      </c>
      <c r="AT341">
        <f t="shared" si="153"/>
        <v>0</v>
      </c>
      <c r="AU341">
        <f t="shared" si="153"/>
        <v>0</v>
      </c>
      <c r="AV341">
        <f t="shared" si="153"/>
        <v>0</v>
      </c>
      <c r="AW341">
        <f t="shared" si="153"/>
        <v>1</v>
      </c>
      <c r="AX341">
        <f t="shared" si="150"/>
        <v>1</v>
      </c>
      <c r="AY341">
        <f t="shared" si="150"/>
        <v>0</v>
      </c>
      <c r="AZ341">
        <f t="shared" si="150"/>
        <v>0</v>
      </c>
      <c r="BA341">
        <f t="shared" si="151"/>
        <v>0</v>
      </c>
      <c r="BB341">
        <f t="shared" si="152"/>
        <v>0</v>
      </c>
    </row>
    <row r="342" spans="1:54">
      <c r="A342">
        <v>339</v>
      </c>
      <c r="B342" t="s">
        <v>20</v>
      </c>
      <c r="C342" t="s">
        <v>28</v>
      </c>
      <c r="D342" t="s">
        <v>27</v>
      </c>
      <c r="E342" t="s">
        <v>30</v>
      </c>
      <c r="F342" t="s">
        <v>21</v>
      </c>
      <c r="G342" t="s">
        <v>25</v>
      </c>
      <c r="H342" s="3">
        <v>0.18542342669304401</v>
      </c>
      <c r="I342" s="3">
        <v>0.184179936802913</v>
      </c>
      <c r="J342" s="3">
        <v>0.155848261575459</v>
      </c>
      <c r="K342" s="3">
        <v>0.165952374396553</v>
      </c>
      <c r="L342" s="3">
        <v>0.118314967271855</v>
      </c>
      <c r="M342" s="3">
        <v>9.1900816773882094E-2</v>
      </c>
      <c r="N342" s="3">
        <v>0.210131894484412</v>
      </c>
      <c r="O342" s="3">
        <v>0.125661520348577</v>
      </c>
      <c r="P342">
        <f t="shared" si="136"/>
        <v>0</v>
      </c>
      <c r="Q342">
        <f t="shared" si="137"/>
        <v>0</v>
      </c>
      <c r="R342">
        <f t="shared" si="138"/>
        <v>0</v>
      </c>
      <c r="S342">
        <f t="shared" si="139"/>
        <v>1</v>
      </c>
      <c r="T342">
        <f t="shared" si="140"/>
        <v>0</v>
      </c>
      <c r="U342">
        <f t="shared" si="141"/>
        <v>0</v>
      </c>
      <c r="V342">
        <f t="shared" si="142"/>
        <v>0</v>
      </c>
      <c r="W342">
        <f t="shared" si="143"/>
        <v>0</v>
      </c>
      <c r="X342">
        <f t="shared" si="144"/>
        <v>0</v>
      </c>
      <c r="Y342">
        <f t="shared" si="145"/>
        <v>0</v>
      </c>
      <c r="Z342">
        <f t="shared" si="146"/>
        <v>0</v>
      </c>
      <c r="AA342">
        <f t="shared" si="147"/>
        <v>0</v>
      </c>
      <c r="AB342">
        <f t="shared" si="130"/>
        <v>0</v>
      </c>
      <c r="AC342">
        <f t="shared" si="131"/>
        <v>0</v>
      </c>
      <c r="AD342">
        <f t="shared" si="132"/>
        <v>0</v>
      </c>
      <c r="AE342">
        <f t="shared" si="133"/>
        <v>0</v>
      </c>
      <c r="AF342">
        <f t="shared" si="134"/>
        <v>0</v>
      </c>
      <c r="AG342">
        <f t="shared" si="135"/>
        <v>0</v>
      </c>
      <c r="AH342">
        <f t="shared" si="148"/>
        <v>0</v>
      </c>
      <c r="AI342">
        <f t="shared" si="153"/>
        <v>0</v>
      </c>
      <c r="AJ342">
        <f t="shared" si="153"/>
        <v>0</v>
      </c>
      <c r="AK342">
        <f t="shared" si="153"/>
        <v>0</v>
      </c>
      <c r="AL342">
        <f t="shared" si="153"/>
        <v>0</v>
      </c>
      <c r="AM342">
        <f t="shared" si="153"/>
        <v>0</v>
      </c>
      <c r="AN342">
        <f t="shared" si="153"/>
        <v>0</v>
      </c>
      <c r="AO342">
        <f t="shared" si="153"/>
        <v>0</v>
      </c>
      <c r="AP342">
        <f t="shared" si="153"/>
        <v>0</v>
      </c>
      <c r="AQ342">
        <f t="shared" si="153"/>
        <v>1</v>
      </c>
      <c r="AR342">
        <f t="shared" si="153"/>
        <v>0</v>
      </c>
      <c r="AS342">
        <f t="shared" si="153"/>
        <v>0</v>
      </c>
      <c r="AT342">
        <f t="shared" si="153"/>
        <v>0</v>
      </c>
      <c r="AU342">
        <f t="shared" si="153"/>
        <v>0</v>
      </c>
      <c r="AV342">
        <f t="shared" si="153"/>
        <v>0</v>
      </c>
      <c r="AW342">
        <f t="shared" si="153"/>
        <v>0</v>
      </c>
      <c r="AX342">
        <f t="shared" si="150"/>
        <v>1</v>
      </c>
      <c r="AY342">
        <f t="shared" si="150"/>
        <v>0</v>
      </c>
      <c r="AZ342">
        <f t="shared" si="150"/>
        <v>0</v>
      </c>
      <c r="BA342">
        <f t="shared" si="151"/>
        <v>1</v>
      </c>
      <c r="BB342">
        <f t="shared" si="152"/>
        <v>0</v>
      </c>
    </row>
    <row r="343" spans="1:54">
      <c r="A343">
        <v>340</v>
      </c>
      <c r="B343" t="s">
        <v>20</v>
      </c>
      <c r="C343" t="s">
        <v>28</v>
      </c>
      <c r="D343" t="s">
        <v>27</v>
      </c>
      <c r="E343" t="s">
        <v>30</v>
      </c>
      <c r="F343" t="s">
        <v>21</v>
      </c>
      <c r="G343" t="s">
        <v>26</v>
      </c>
      <c r="H343" s="3">
        <v>0.18776328248440799</v>
      </c>
      <c r="I343" s="3">
        <v>0.18661228914168199</v>
      </c>
      <c r="J343" s="3">
        <v>0.157842342470563</v>
      </c>
      <c r="K343" s="3">
        <v>0.16820762670026601</v>
      </c>
      <c r="L343" s="3">
        <v>0.11979786834355</v>
      </c>
      <c r="M343" s="3">
        <v>9.3028217642717403E-2</v>
      </c>
      <c r="N343" s="3">
        <v>0.212746585735963</v>
      </c>
      <c r="O343" s="3">
        <v>0.127315617609568</v>
      </c>
      <c r="P343">
        <f t="shared" si="136"/>
        <v>0</v>
      </c>
      <c r="Q343">
        <f t="shared" si="137"/>
        <v>0</v>
      </c>
      <c r="R343">
        <f t="shared" si="138"/>
        <v>0</v>
      </c>
      <c r="S343">
        <f t="shared" si="139"/>
        <v>1</v>
      </c>
      <c r="T343">
        <f t="shared" si="140"/>
        <v>0</v>
      </c>
      <c r="U343">
        <f t="shared" si="141"/>
        <v>0</v>
      </c>
      <c r="V343">
        <f t="shared" si="142"/>
        <v>0</v>
      </c>
      <c r="W343">
        <f t="shared" si="143"/>
        <v>0</v>
      </c>
      <c r="X343">
        <f t="shared" si="144"/>
        <v>0</v>
      </c>
      <c r="Y343">
        <f t="shared" si="145"/>
        <v>0</v>
      </c>
      <c r="Z343">
        <f t="shared" si="146"/>
        <v>0</v>
      </c>
      <c r="AA343">
        <f t="shared" si="147"/>
        <v>0</v>
      </c>
      <c r="AB343">
        <f t="shared" si="130"/>
        <v>0</v>
      </c>
      <c r="AC343">
        <f t="shared" si="131"/>
        <v>0</v>
      </c>
      <c r="AD343">
        <f t="shared" si="132"/>
        <v>0</v>
      </c>
      <c r="AE343">
        <f t="shared" si="133"/>
        <v>0</v>
      </c>
      <c r="AF343">
        <f t="shared" si="134"/>
        <v>0</v>
      </c>
      <c r="AG343">
        <f t="shared" si="135"/>
        <v>0</v>
      </c>
      <c r="AH343">
        <f t="shared" si="148"/>
        <v>0</v>
      </c>
      <c r="AI343">
        <f t="shared" si="153"/>
        <v>0</v>
      </c>
      <c r="AJ343">
        <f t="shared" si="153"/>
        <v>0</v>
      </c>
      <c r="AK343">
        <f t="shared" si="153"/>
        <v>0</v>
      </c>
      <c r="AL343">
        <f t="shared" si="153"/>
        <v>0</v>
      </c>
      <c r="AM343">
        <f t="shared" si="153"/>
        <v>1</v>
      </c>
      <c r="AN343">
        <f t="shared" si="153"/>
        <v>0</v>
      </c>
      <c r="AO343">
        <f t="shared" si="153"/>
        <v>0</v>
      </c>
      <c r="AP343">
        <f t="shared" si="153"/>
        <v>0</v>
      </c>
      <c r="AQ343">
        <f t="shared" si="153"/>
        <v>0</v>
      </c>
      <c r="AR343">
        <f t="shared" si="153"/>
        <v>0</v>
      </c>
      <c r="AS343">
        <f t="shared" si="153"/>
        <v>0</v>
      </c>
      <c r="AT343">
        <f t="shared" si="153"/>
        <v>0</v>
      </c>
      <c r="AU343">
        <f t="shared" si="153"/>
        <v>0</v>
      </c>
      <c r="AV343">
        <f t="shared" si="153"/>
        <v>0</v>
      </c>
      <c r="AW343">
        <f t="shared" si="153"/>
        <v>0</v>
      </c>
      <c r="AX343">
        <f t="shared" si="150"/>
        <v>1</v>
      </c>
      <c r="AY343">
        <f t="shared" si="150"/>
        <v>0</v>
      </c>
      <c r="AZ343">
        <f t="shared" si="150"/>
        <v>0</v>
      </c>
      <c r="BA343">
        <f t="shared" si="151"/>
        <v>1</v>
      </c>
      <c r="BB343">
        <f t="shared" si="152"/>
        <v>0</v>
      </c>
    </row>
    <row r="344" spans="1:54">
      <c r="A344">
        <v>341</v>
      </c>
      <c r="B344" t="s">
        <v>20</v>
      </c>
      <c r="C344" t="s">
        <v>28</v>
      </c>
      <c r="D344" t="s">
        <v>27</v>
      </c>
      <c r="E344" t="s">
        <v>30</v>
      </c>
      <c r="F344" t="s">
        <v>21</v>
      </c>
      <c r="G344" t="s">
        <v>27</v>
      </c>
      <c r="H344" s="3">
        <v>0.58233990017311199</v>
      </c>
      <c r="I344" s="3">
        <v>0.582168310565646</v>
      </c>
      <c r="J344" s="3">
        <v>0.48145911162031002</v>
      </c>
      <c r="K344" s="3">
        <v>0.51708140563840899</v>
      </c>
      <c r="L344" s="3">
        <v>0.43162974355290501</v>
      </c>
      <c r="M344" s="3">
        <v>0.34408736075961699</v>
      </c>
      <c r="N344" s="3">
        <v>0.70879676440849304</v>
      </c>
      <c r="O344" s="3">
        <v>0.41051032319055197</v>
      </c>
      <c r="P344">
        <f t="shared" si="136"/>
        <v>0</v>
      </c>
      <c r="Q344">
        <f t="shared" si="137"/>
        <v>0</v>
      </c>
      <c r="R344">
        <f t="shared" si="138"/>
        <v>0</v>
      </c>
      <c r="S344">
        <f t="shared" si="139"/>
        <v>1</v>
      </c>
      <c r="T344">
        <f t="shared" si="140"/>
        <v>0</v>
      </c>
      <c r="U344">
        <f t="shared" si="141"/>
        <v>0</v>
      </c>
      <c r="V344">
        <f t="shared" si="142"/>
        <v>0</v>
      </c>
      <c r="W344">
        <f t="shared" si="143"/>
        <v>1</v>
      </c>
      <c r="X344">
        <f t="shared" si="144"/>
        <v>0</v>
      </c>
      <c r="Y344">
        <f t="shared" si="145"/>
        <v>0</v>
      </c>
      <c r="Z344">
        <f t="shared" si="146"/>
        <v>0</v>
      </c>
      <c r="AA344">
        <f t="shared" si="147"/>
        <v>0</v>
      </c>
      <c r="AB344">
        <f t="shared" si="130"/>
        <v>0</v>
      </c>
      <c r="AC344">
        <f t="shared" si="131"/>
        <v>0</v>
      </c>
      <c r="AD344">
        <f t="shared" si="132"/>
        <v>1</v>
      </c>
      <c r="AE344">
        <f t="shared" si="133"/>
        <v>0</v>
      </c>
      <c r="AF344">
        <f t="shared" si="134"/>
        <v>0</v>
      </c>
      <c r="AG344">
        <f t="shared" si="135"/>
        <v>0</v>
      </c>
      <c r="AH344">
        <f t="shared" si="148"/>
        <v>1</v>
      </c>
      <c r="AI344">
        <f t="shared" si="153"/>
        <v>0</v>
      </c>
      <c r="AJ344">
        <f t="shared" si="153"/>
        <v>0</v>
      </c>
      <c r="AK344">
        <f t="shared" si="153"/>
        <v>0</v>
      </c>
      <c r="AL344">
        <f t="shared" si="153"/>
        <v>0</v>
      </c>
      <c r="AM344">
        <f t="shared" si="153"/>
        <v>0</v>
      </c>
      <c r="AN344">
        <f t="shared" si="153"/>
        <v>0</v>
      </c>
      <c r="AO344">
        <f t="shared" si="153"/>
        <v>0</v>
      </c>
      <c r="AP344">
        <f t="shared" si="153"/>
        <v>0</v>
      </c>
      <c r="AQ344">
        <f t="shared" si="153"/>
        <v>0</v>
      </c>
      <c r="AR344">
        <f t="shared" si="153"/>
        <v>0</v>
      </c>
      <c r="AS344">
        <f t="shared" si="153"/>
        <v>0</v>
      </c>
      <c r="AT344">
        <f t="shared" si="153"/>
        <v>0</v>
      </c>
      <c r="AU344">
        <f t="shared" si="153"/>
        <v>0</v>
      </c>
      <c r="AV344">
        <f t="shared" si="153"/>
        <v>0</v>
      </c>
      <c r="AW344">
        <f t="shared" si="153"/>
        <v>0</v>
      </c>
      <c r="AX344">
        <f t="shared" si="150"/>
        <v>1</v>
      </c>
      <c r="AY344">
        <f t="shared" si="150"/>
        <v>0</v>
      </c>
      <c r="AZ344">
        <f t="shared" si="150"/>
        <v>0</v>
      </c>
      <c r="BA344">
        <f t="shared" si="151"/>
        <v>0</v>
      </c>
      <c r="BB344">
        <f t="shared" si="152"/>
        <v>0</v>
      </c>
    </row>
    <row r="345" spans="1:54">
      <c r="A345">
        <v>342</v>
      </c>
      <c r="B345" t="s">
        <v>20</v>
      </c>
      <c r="C345" t="s">
        <v>28</v>
      </c>
      <c r="D345" t="s">
        <v>27</v>
      </c>
      <c r="E345" t="s">
        <v>30</v>
      </c>
      <c r="F345" t="s">
        <v>28</v>
      </c>
      <c r="G345" t="s">
        <v>22</v>
      </c>
      <c r="H345" s="3">
        <v>9.1977583652334993E-2</v>
      </c>
      <c r="I345" s="3">
        <v>8.8911689912077096E-2</v>
      </c>
      <c r="J345" s="3">
        <v>7.6698171418260394E-2</v>
      </c>
      <c r="K345" s="3">
        <v>8.0888837831667906E-2</v>
      </c>
      <c r="L345" s="3">
        <v>5.8954009032496799E-2</v>
      </c>
      <c r="M345" s="3">
        <v>4.7490935109260501E-2</v>
      </c>
      <c r="N345" s="3">
        <v>9.98573466476462E-2</v>
      </c>
      <c r="O345" s="3">
        <v>6.24115501423557E-2</v>
      </c>
      <c r="P345">
        <f t="shared" si="136"/>
        <v>1</v>
      </c>
      <c r="Q345">
        <f t="shared" si="137"/>
        <v>0</v>
      </c>
      <c r="R345">
        <f t="shared" si="138"/>
        <v>0</v>
      </c>
      <c r="S345">
        <f t="shared" si="139"/>
        <v>1</v>
      </c>
      <c r="T345">
        <f t="shared" si="140"/>
        <v>0</v>
      </c>
      <c r="U345">
        <f t="shared" si="141"/>
        <v>0</v>
      </c>
      <c r="V345">
        <f t="shared" si="142"/>
        <v>0</v>
      </c>
      <c r="W345">
        <f t="shared" si="143"/>
        <v>0</v>
      </c>
      <c r="X345">
        <f t="shared" si="144"/>
        <v>0</v>
      </c>
      <c r="Y345">
        <f t="shared" si="145"/>
        <v>0</v>
      </c>
      <c r="Z345">
        <f t="shared" si="146"/>
        <v>0</v>
      </c>
      <c r="AA345">
        <f t="shared" si="147"/>
        <v>0</v>
      </c>
      <c r="AB345">
        <f t="shared" si="130"/>
        <v>0</v>
      </c>
      <c r="AC345">
        <f t="shared" si="131"/>
        <v>0</v>
      </c>
      <c r="AD345">
        <f t="shared" si="132"/>
        <v>0</v>
      </c>
      <c r="AE345">
        <f t="shared" si="133"/>
        <v>0</v>
      </c>
      <c r="AF345">
        <f t="shared" si="134"/>
        <v>1</v>
      </c>
      <c r="AG345">
        <f t="shared" si="135"/>
        <v>0</v>
      </c>
      <c r="AH345">
        <f t="shared" si="148"/>
        <v>0</v>
      </c>
      <c r="AI345">
        <f t="shared" si="153"/>
        <v>0</v>
      </c>
      <c r="AJ345">
        <f t="shared" si="153"/>
        <v>0</v>
      </c>
      <c r="AK345">
        <f t="shared" si="153"/>
        <v>0</v>
      </c>
      <c r="AL345">
        <f t="shared" si="153"/>
        <v>0</v>
      </c>
      <c r="AM345">
        <f t="shared" si="153"/>
        <v>0</v>
      </c>
      <c r="AN345">
        <f t="shared" si="153"/>
        <v>0</v>
      </c>
      <c r="AO345">
        <f t="shared" si="153"/>
        <v>0</v>
      </c>
      <c r="AP345">
        <f t="shared" si="153"/>
        <v>0</v>
      </c>
      <c r="AQ345">
        <f t="shared" si="153"/>
        <v>0</v>
      </c>
      <c r="AR345">
        <f t="shared" si="153"/>
        <v>0</v>
      </c>
      <c r="AS345">
        <f t="shared" si="153"/>
        <v>0</v>
      </c>
      <c r="AT345">
        <f t="shared" si="153"/>
        <v>1</v>
      </c>
      <c r="AU345">
        <f t="shared" si="153"/>
        <v>0</v>
      </c>
      <c r="AV345">
        <f t="shared" si="153"/>
        <v>0</v>
      </c>
      <c r="AW345">
        <f t="shared" si="153"/>
        <v>0</v>
      </c>
      <c r="AX345">
        <f t="shared" si="150"/>
        <v>0</v>
      </c>
      <c r="AY345">
        <f t="shared" si="150"/>
        <v>0</v>
      </c>
      <c r="AZ345">
        <f t="shared" si="150"/>
        <v>0</v>
      </c>
      <c r="BA345">
        <f t="shared" si="151"/>
        <v>0</v>
      </c>
      <c r="BB345">
        <f t="shared" si="152"/>
        <v>0</v>
      </c>
    </row>
    <row r="346" spans="1:54">
      <c r="A346">
        <v>343</v>
      </c>
      <c r="B346" t="s">
        <v>20</v>
      </c>
      <c r="C346" t="s">
        <v>28</v>
      </c>
      <c r="D346" t="s">
        <v>27</v>
      </c>
      <c r="E346" t="s">
        <v>30</v>
      </c>
      <c r="F346" t="s">
        <v>28</v>
      </c>
      <c r="G346" t="s">
        <v>23</v>
      </c>
      <c r="H346" s="3">
        <v>0.10888799764752299</v>
      </c>
      <c r="I346" s="3">
        <v>0.103742766083638</v>
      </c>
      <c r="J346" s="3">
        <v>9.0159349558359497E-2</v>
      </c>
      <c r="K346" s="3">
        <v>9.3207373772661195E-2</v>
      </c>
      <c r="L346" s="3">
        <v>6.8322412531295798E-2</v>
      </c>
      <c r="M346" s="3">
        <v>5.3919262198963799E-2</v>
      </c>
      <c r="N346" s="3">
        <v>0.118402282453637</v>
      </c>
      <c r="O346" s="3">
        <v>7.1928945905303396E-2</v>
      </c>
      <c r="P346">
        <f t="shared" si="136"/>
        <v>0</v>
      </c>
      <c r="Q346">
        <f t="shared" si="137"/>
        <v>1</v>
      </c>
      <c r="R346">
        <f t="shared" si="138"/>
        <v>0</v>
      </c>
      <c r="S346">
        <f t="shared" si="139"/>
        <v>1</v>
      </c>
      <c r="T346">
        <f t="shared" si="140"/>
        <v>0</v>
      </c>
      <c r="U346">
        <f t="shared" si="141"/>
        <v>0</v>
      </c>
      <c r="V346">
        <f t="shared" si="142"/>
        <v>0</v>
      </c>
      <c r="W346">
        <f t="shared" si="143"/>
        <v>0</v>
      </c>
      <c r="X346">
        <f t="shared" si="144"/>
        <v>0</v>
      </c>
      <c r="Y346">
        <f t="shared" si="145"/>
        <v>0</v>
      </c>
      <c r="Z346">
        <f t="shared" si="146"/>
        <v>0</v>
      </c>
      <c r="AA346">
        <f t="shared" si="147"/>
        <v>0</v>
      </c>
      <c r="AB346">
        <f t="shared" si="130"/>
        <v>0</v>
      </c>
      <c r="AC346">
        <f t="shared" si="131"/>
        <v>0</v>
      </c>
      <c r="AD346">
        <f t="shared" si="132"/>
        <v>0</v>
      </c>
      <c r="AE346">
        <f t="shared" si="133"/>
        <v>0</v>
      </c>
      <c r="AF346">
        <f t="shared" si="134"/>
        <v>1</v>
      </c>
      <c r="AG346">
        <f t="shared" si="135"/>
        <v>0</v>
      </c>
      <c r="AH346">
        <f t="shared" si="148"/>
        <v>0</v>
      </c>
      <c r="AI346">
        <f t="shared" si="153"/>
        <v>0</v>
      </c>
      <c r="AJ346">
        <f t="shared" si="153"/>
        <v>0</v>
      </c>
      <c r="AK346">
        <f t="shared" si="153"/>
        <v>0</v>
      </c>
      <c r="AL346">
        <f t="shared" si="153"/>
        <v>0</v>
      </c>
      <c r="AM346">
        <f t="shared" si="153"/>
        <v>0</v>
      </c>
      <c r="AN346">
        <f t="shared" si="153"/>
        <v>0</v>
      </c>
      <c r="AO346">
        <f t="shared" si="153"/>
        <v>0</v>
      </c>
      <c r="AP346">
        <f t="shared" si="153"/>
        <v>0</v>
      </c>
      <c r="AQ346">
        <f t="shared" si="153"/>
        <v>0</v>
      </c>
      <c r="AR346">
        <f t="shared" si="153"/>
        <v>0</v>
      </c>
      <c r="AS346">
        <f t="shared" si="153"/>
        <v>0</v>
      </c>
      <c r="AT346">
        <f t="shared" si="153"/>
        <v>0</v>
      </c>
      <c r="AU346">
        <f t="shared" si="153"/>
        <v>0</v>
      </c>
      <c r="AV346">
        <f t="shared" si="153"/>
        <v>1</v>
      </c>
      <c r="AW346">
        <f t="shared" si="153"/>
        <v>0</v>
      </c>
      <c r="AX346">
        <f t="shared" si="150"/>
        <v>0</v>
      </c>
      <c r="AY346">
        <f t="shared" si="150"/>
        <v>0</v>
      </c>
      <c r="AZ346">
        <f t="shared" si="150"/>
        <v>0</v>
      </c>
      <c r="BA346">
        <f t="shared" si="151"/>
        <v>0</v>
      </c>
      <c r="BB346">
        <f t="shared" si="152"/>
        <v>0</v>
      </c>
    </row>
    <row r="347" spans="1:54">
      <c r="A347">
        <v>344</v>
      </c>
      <c r="B347" t="s">
        <v>20</v>
      </c>
      <c r="C347" t="s">
        <v>28</v>
      </c>
      <c r="D347" t="s">
        <v>27</v>
      </c>
      <c r="E347" t="s">
        <v>30</v>
      </c>
      <c r="F347" t="s">
        <v>28</v>
      </c>
      <c r="G347" t="s">
        <v>24</v>
      </c>
      <c r="H347" s="3">
        <v>0.22988879057355799</v>
      </c>
      <c r="I347" s="3">
        <v>0.23569225347141901</v>
      </c>
      <c r="J347" s="3">
        <v>0.19003671683903101</v>
      </c>
      <c r="K347" s="3">
        <v>0.20780232235858601</v>
      </c>
      <c r="L347" s="3">
        <v>0.141911144461626</v>
      </c>
      <c r="M347" s="3">
        <v>0.10751658294050701</v>
      </c>
      <c r="N347" s="3">
        <v>0.27883850437549701</v>
      </c>
      <c r="O347" s="3">
        <v>0.14660411132391399</v>
      </c>
      <c r="P347">
        <f t="shared" si="136"/>
        <v>0</v>
      </c>
      <c r="Q347">
        <f t="shared" si="137"/>
        <v>0</v>
      </c>
      <c r="R347">
        <f t="shared" si="138"/>
        <v>1</v>
      </c>
      <c r="S347">
        <f t="shared" si="139"/>
        <v>1</v>
      </c>
      <c r="T347">
        <f t="shared" si="140"/>
        <v>0</v>
      </c>
      <c r="U347">
        <f t="shared" si="141"/>
        <v>0</v>
      </c>
      <c r="V347">
        <f t="shared" si="142"/>
        <v>0</v>
      </c>
      <c r="W347">
        <f t="shared" si="143"/>
        <v>0</v>
      </c>
      <c r="X347">
        <f t="shared" si="144"/>
        <v>0</v>
      </c>
      <c r="Y347">
        <f t="shared" si="145"/>
        <v>0</v>
      </c>
      <c r="Z347">
        <f t="shared" si="146"/>
        <v>0</v>
      </c>
      <c r="AA347">
        <f t="shared" si="147"/>
        <v>0</v>
      </c>
      <c r="AB347">
        <f t="shared" si="130"/>
        <v>0</v>
      </c>
      <c r="AC347">
        <f t="shared" si="131"/>
        <v>0</v>
      </c>
      <c r="AD347">
        <f t="shared" si="132"/>
        <v>1</v>
      </c>
      <c r="AE347">
        <f t="shared" si="133"/>
        <v>0</v>
      </c>
      <c r="AF347">
        <f t="shared" si="134"/>
        <v>1</v>
      </c>
      <c r="AG347">
        <f t="shared" si="135"/>
        <v>0</v>
      </c>
      <c r="AH347">
        <f t="shared" si="148"/>
        <v>1</v>
      </c>
      <c r="AI347">
        <f t="shared" si="153"/>
        <v>0</v>
      </c>
      <c r="AJ347">
        <f t="shared" si="153"/>
        <v>0</v>
      </c>
      <c r="AK347">
        <f t="shared" si="153"/>
        <v>0</v>
      </c>
      <c r="AL347">
        <f t="shared" si="153"/>
        <v>0</v>
      </c>
      <c r="AM347">
        <f t="shared" si="153"/>
        <v>0</v>
      </c>
      <c r="AN347">
        <f t="shared" si="153"/>
        <v>0</v>
      </c>
      <c r="AO347">
        <f t="shared" si="153"/>
        <v>0</v>
      </c>
      <c r="AP347">
        <f t="shared" si="153"/>
        <v>0</v>
      </c>
      <c r="AQ347">
        <f t="shared" si="153"/>
        <v>0</v>
      </c>
      <c r="AR347">
        <f t="shared" si="153"/>
        <v>0</v>
      </c>
      <c r="AS347">
        <f t="shared" si="153"/>
        <v>0</v>
      </c>
      <c r="AT347">
        <f t="shared" si="153"/>
        <v>0</v>
      </c>
      <c r="AU347">
        <f t="shared" si="153"/>
        <v>0</v>
      </c>
      <c r="AV347">
        <f t="shared" si="153"/>
        <v>0</v>
      </c>
      <c r="AW347">
        <f t="shared" si="153"/>
        <v>1</v>
      </c>
      <c r="AX347">
        <f t="shared" si="150"/>
        <v>0</v>
      </c>
      <c r="AY347">
        <f t="shared" si="150"/>
        <v>0</v>
      </c>
      <c r="AZ347">
        <f t="shared" si="150"/>
        <v>0</v>
      </c>
      <c r="BA347">
        <f t="shared" si="151"/>
        <v>0</v>
      </c>
      <c r="BB347">
        <f t="shared" si="152"/>
        <v>0</v>
      </c>
    </row>
    <row r="348" spans="1:54">
      <c r="A348">
        <v>345</v>
      </c>
      <c r="B348" t="s">
        <v>20</v>
      </c>
      <c r="C348" t="s">
        <v>28</v>
      </c>
      <c r="D348" t="s">
        <v>27</v>
      </c>
      <c r="E348" t="s">
        <v>30</v>
      </c>
      <c r="F348" t="s">
        <v>28</v>
      </c>
      <c r="G348" t="s">
        <v>25</v>
      </c>
      <c r="H348" s="3">
        <v>0.18391955035414501</v>
      </c>
      <c r="I348" s="3">
        <v>0.18216402298168299</v>
      </c>
      <c r="J348" s="3">
        <v>0.154415827600103</v>
      </c>
      <c r="K348" s="3">
        <v>0.164485297510818</v>
      </c>
      <c r="L348" s="3">
        <v>0.11732148315187201</v>
      </c>
      <c r="M348" s="3">
        <v>9.1045703810799794E-2</v>
      </c>
      <c r="N348" s="3">
        <v>0.207273802483737</v>
      </c>
      <c r="O348" s="3">
        <v>0.124826065138752</v>
      </c>
      <c r="P348">
        <f t="shared" si="136"/>
        <v>0</v>
      </c>
      <c r="Q348">
        <f t="shared" si="137"/>
        <v>0</v>
      </c>
      <c r="R348">
        <f t="shared" si="138"/>
        <v>0</v>
      </c>
      <c r="S348">
        <f t="shared" si="139"/>
        <v>1</v>
      </c>
      <c r="T348">
        <f t="shared" si="140"/>
        <v>0</v>
      </c>
      <c r="U348">
        <f t="shared" si="141"/>
        <v>0</v>
      </c>
      <c r="V348">
        <f t="shared" si="142"/>
        <v>0</v>
      </c>
      <c r="W348">
        <f t="shared" si="143"/>
        <v>0</v>
      </c>
      <c r="X348">
        <f t="shared" si="144"/>
        <v>0</v>
      </c>
      <c r="Y348">
        <f t="shared" si="145"/>
        <v>0</v>
      </c>
      <c r="Z348">
        <f t="shared" si="146"/>
        <v>0</v>
      </c>
      <c r="AA348">
        <f t="shared" si="147"/>
        <v>0</v>
      </c>
      <c r="AB348">
        <f t="shared" si="130"/>
        <v>0</v>
      </c>
      <c r="AC348">
        <f t="shared" si="131"/>
        <v>0</v>
      </c>
      <c r="AD348">
        <f t="shared" si="132"/>
        <v>0</v>
      </c>
      <c r="AE348">
        <f t="shared" si="133"/>
        <v>0</v>
      </c>
      <c r="AF348">
        <f t="shared" si="134"/>
        <v>1</v>
      </c>
      <c r="AG348">
        <f t="shared" si="135"/>
        <v>0</v>
      </c>
      <c r="AH348">
        <f t="shared" si="148"/>
        <v>0</v>
      </c>
      <c r="AI348">
        <f t="shared" si="153"/>
        <v>0</v>
      </c>
      <c r="AJ348">
        <f t="shared" si="153"/>
        <v>0</v>
      </c>
      <c r="AK348">
        <f t="shared" si="153"/>
        <v>0</v>
      </c>
      <c r="AL348">
        <f t="shared" si="153"/>
        <v>0</v>
      </c>
      <c r="AM348">
        <f t="shared" si="153"/>
        <v>0</v>
      </c>
      <c r="AN348">
        <f t="shared" si="153"/>
        <v>0</v>
      </c>
      <c r="AO348">
        <f t="shared" si="153"/>
        <v>0</v>
      </c>
      <c r="AP348">
        <f t="shared" si="153"/>
        <v>0</v>
      </c>
      <c r="AQ348">
        <f t="shared" si="153"/>
        <v>1</v>
      </c>
      <c r="AR348">
        <f t="shared" si="153"/>
        <v>0</v>
      </c>
      <c r="AS348">
        <f t="shared" si="153"/>
        <v>0</v>
      </c>
      <c r="AT348">
        <f t="shared" si="153"/>
        <v>0</v>
      </c>
      <c r="AU348">
        <f t="shared" si="153"/>
        <v>0</v>
      </c>
      <c r="AV348">
        <f t="shared" si="153"/>
        <v>0</v>
      </c>
      <c r="AW348">
        <f t="shared" si="153"/>
        <v>0</v>
      </c>
      <c r="AX348">
        <f t="shared" si="150"/>
        <v>0</v>
      </c>
      <c r="AY348">
        <f t="shared" si="150"/>
        <v>0</v>
      </c>
      <c r="AZ348">
        <f t="shared" si="150"/>
        <v>0</v>
      </c>
      <c r="BA348">
        <f t="shared" si="151"/>
        <v>1</v>
      </c>
      <c r="BB348">
        <f t="shared" si="152"/>
        <v>0</v>
      </c>
    </row>
    <row r="349" spans="1:54">
      <c r="A349">
        <v>346</v>
      </c>
      <c r="B349" t="s">
        <v>20</v>
      </c>
      <c r="C349" t="s">
        <v>28</v>
      </c>
      <c r="D349" t="s">
        <v>27</v>
      </c>
      <c r="E349" t="s">
        <v>30</v>
      </c>
      <c r="F349" t="s">
        <v>28</v>
      </c>
      <c r="G349" t="s">
        <v>26</v>
      </c>
      <c r="H349" s="3">
        <v>0.18673280393873701</v>
      </c>
      <c r="I349" s="3">
        <v>0.18513995623186599</v>
      </c>
      <c r="J349" s="3">
        <v>0.15684808937077299</v>
      </c>
      <c r="K349" s="3">
        <v>0.167282844102176</v>
      </c>
      <c r="L349" s="3">
        <v>0.119269872166131</v>
      </c>
      <c r="M349" s="3">
        <v>9.2567917310198797E-2</v>
      </c>
      <c r="N349" s="3">
        <v>0.21044731311918299</v>
      </c>
      <c r="O349" s="3">
        <v>0.12685850530621001</v>
      </c>
      <c r="P349">
        <f t="shared" si="136"/>
        <v>0</v>
      </c>
      <c r="Q349">
        <f t="shared" si="137"/>
        <v>0</v>
      </c>
      <c r="R349">
        <f t="shared" si="138"/>
        <v>0</v>
      </c>
      <c r="S349">
        <f t="shared" si="139"/>
        <v>1</v>
      </c>
      <c r="T349">
        <f t="shared" si="140"/>
        <v>0</v>
      </c>
      <c r="U349">
        <f t="shared" si="141"/>
        <v>0</v>
      </c>
      <c r="V349">
        <f t="shared" si="142"/>
        <v>0</v>
      </c>
      <c r="W349">
        <f t="shared" si="143"/>
        <v>0</v>
      </c>
      <c r="X349">
        <f t="shared" si="144"/>
        <v>0</v>
      </c>
      <c r="Y349">
        <f t="shared" si="145"/>
        <v>0</v>
      </c>
      <c r="Z349">
        <f t="shared" si="146"/>
        <v>0</v>
      </c>
      <c r="AA349">
        <f t="shared" si="147"/>
        <v>0</v>
      </c>
      <c r="AB349">
        <f t="shared" si="130"/>
        <v>0</v>
      </c>
      <c r="AC349">
        <f t="shared" si="131"/>
        <v>0</v>
      </c>
      <c r="AD349">
        <f t="shared" si="132"/>
        <v>0</v>
      </c>
      <c r="AE349">
        <f t="shared" si="133"/>
        <v>0</v>
      </c>
      <c r="AF349">
        <f t="shared" si="134"/>
        <v>1</v>
      </c>
      <c r="AG349">
        <f t="shared" si="135"/>
        <v>0</v>
      </c>
      <c r="AH349">
        <f t="shared" si="148"/>
        <v>0</v>
      </c>
      <c r="AI349">
        <f t="shared" si="153"/>
        <v>0</v>
      </c>
      <c r="AJ349">
        <f t="shared" si="153"/>
        <v>0</v>
      </c>
      <c r="AK349">
        <f t="shared" si="153"/>
        <v>0</v>
      </c>
      <c r="AL349">
        <f t="shared" si="153"/>
        <v>0</v>
      </c>
      <c r="AM349">
        <f t="shared" si="153"/>
        <v>1</v>
      </c>
      <c r="AN349">
        <f t="shared" si="153"/>
        <v>0</v>
      </c>
      <c r="AO349">
        <f t="shared" si="153"/>
        <v>0</v>
      </c>
      <c r="AP349">
        <f t="shared" si="153"/>
        <v>0</v>
      </c>
      <c r="AQ349">
        <f t="shared" si="153"/>
        <v>0</v>
      </c>
      <c r="AR349">
        <f t="shared" si="153"/>
        <v>0</v>
      </c>
      <c r="AS349">
        <f t="shared" si="153"/>
        <v>0</v>
      </c>
      <c r="AT349">
        <f t="shared" si="153"/>
        <v>0</v>
      </c>
      <c r="AU349">
        <f t="shared" si="153"/>
        <v>0</v>
      </c>
      <c r="AV349">
        <f t="shared" si="153"/>
        <v>0</v>
      </c>
      <c r="AW349">
        <f t="shared" si="153"/>
        <v>0</v>
      </c>
      <c r="AX349">
        <f t="shared" si="150"/>
        <v>0</v>
      </c>
      <c r="AY349">
        <f t="shared" si="150"/>
        <v>0</v>
      </c>
      <c r="AZ349">
        <f t="shared" si="150"/>
        <v>0</v>
      </c>
      <c r="BA349">
        <f t="shared" si="151"/>
        <v>1</v>
      </c>
      <c r="BB349">
        <f t="shared" si="152"/>
        <v>0</v>
      </c>
    </row>
    <row r="350" spans="1:54">
      <c r="A350">
        <v>347</v>
      </c>
      <c r="B350" t="s">
        <v>20</v>
      </c>
      <c r="C350" t="s">
        <v>28</v>
      </c>
      <c r="D350" t="s">
        <v>27</v>
      </c>
      <c r="E350" t="s">
        <v>30</v>
      </c>
      <c r="F350" t="s">
        <v>28</v>
      </c>
      <c r="G350" t="s">
        <v>27</v>
      </c>
      <c r="H350" s="3">
        <v>0.53255533634289698</v>
      </c>
      <c r="I350" s="3">
        <v>0.52690433329286901</v>
      </c>
      <c r="J350" s="3">
        <v>0.46396707825093197</v>
      </c>
      <c r="K350" s="3">
        <v>0.48963851867077601</v>
      </c>
      <c r="L350" s="3">
        <v>0.411475676719814</v>
      </c>
      <c r="M350" s="3">
        <v>0.34369976575675898</v>
      </c>
      <c r="N350" s="3">
        <v>0.57790601813685005</v>
      </c>
      <c r="O350" s="3">
        <v>0.41402410863590899</v>
      </c>
      <c r="P350">
        <f t="shared" si="136"/>
        <v>0</v>
      </c>
      <c r="Q350">
        <f t="shared" si="137"/>
        <v>0</v>
      </c>
      <c r="R350">
        <f t="shared" si="138"/>
        <v>0</v>
      </c>
      <c r="S350">
        <f t="shared" si="139"/>
        <v>1</v>
      </c>
      <c r="T350">
        <f t="shared" si="140"/>
        <v>0</v>
      </c>
      <c r="U350">
        <f t="shared" si="141"/>
        <v>0</v>
      </c>
      <c r="V350">
        <f t="shared" si="142"/>
        <v>0</v>
      </c>
      <c r="W350">
        <f t="shared" si="143"/>
        <v>0</v>
      </c>
      <c r="X350">
        <f t="shared" si="144"/>
        <v>0</v>
      </c>
      <c r="Y350">
        <f t="shared" si="145"/>
        <v>0</v>
      </c>
      <c r="Z350">
        <f t="shared" si="146"/>
        <v>0</v>
      </c>
      <c r="AA350">
        <f t="shared" si="147"/>
        <v>0</v>
      </c>
      <c r="AB350">
        <f t="shared" si="130"/>
        <v>0</v>
      </c>
      <c r="AC350">
        <f t="shared" si="131"/>
        <v>0</v>
      </c>
      <c r="AD350">
        <f t="shared" si="132"/>
        <v>1</v>
      </c>
      <c r="AE350">
        <f t="shared" si="133"/>
        <v>0</v>
      </c>
      <c r="AF350">
        <f t="shared" si="134"/>
        <v>1</v>
      </c>
      <c r="AG350">
        <f t="shared" si="135"/>
        <v>0</v>
      </c>
      <c r="AH350">
        <f t="shared" si="148"/>
        <v>1</v>
      </c>
      <c r="AI350">
        <f t="shared" si="153"/>
        <v>0</v>
      </c>
      <c r="AJ350">
        <f t="shared" si="153"/>
        <v>0</v>
      </c>
      <c r="AK350">
        <f t="shared" si="153"/>
        <v>0</v>
      </c>
      <c r="AL350">
        <f t="shared" si="153"/>
        <v>0</v>
      </c>
      <c r="AM350">
        <f t="shared" si="153"/>
        <v>0</v>
      </c>
      <c r="AN350">
        <f t="shared" si="153"/>
        <v>0</v>
      </c>
      <c r="AO350">
        <f t="shared" si="153"/>
        <v>0</v>
      </c>
      <c r="AP350">
        <f t="shared" si="153"/>
        <v>0</v>
      </c>
      <c r="AQ350">
        <f t="shared" si="153"/>
        <v>0</v>
      </c>
      <c r="AR350">
        <f t="shared" si="153"/>
        <v>0</v>
      </c>
      <c r="AS350">
        <f t="shared" si="153"/>
        <v>0</v>
      </c>
      <c r="AT350">
        <f t="shared" si="153"/>
        <v>0</v>
      </c>
      <c r="AU350">
        <f t="shared" si="153"/>
        <v>0</v>
      </c>
      <c r="AV350">
        <f t="shared" si="153"/>
        <v>0</v>
      </c>
      <c r="AW350">
        <f t="shared" si="153"/>
        <v>0</v>
      </c>
      <c r="AX350">
        <f t="shared" si="150"/>
        <v>0</v>
      </c>
      <c r="AY350">
        <f t="shared" si="150"/>
        <v>0</v>
      </c>
      <c r="AZ350">
        <f t="shared" si="150"/>
        <v>0</v>
      </c>
      <c r="BA350">
        <f t="shared" si="151"/>
        <v>0</v>
      </c>
      <c r="BB350">
        <f t="shared" si="152"/>
        <v>0</v>
      </c>
    </row>
    <row r="351" spans="1:54">
      <c r="A351">
        <v>348</v>
      </c>
      <c r="B351" t="s">
        <v>20</v>
      </c>
      <c r="C351" t="s">
        <v>28</v>
      </c>
      <c r="D351" t="s">
        <v>27</v>
      </c>
      <c r="E351" t="s">
        <v>30</v>
      </c>
      <c r="F351" t="s">
        <v>29</v>
      </c>
      <c r="G351" t="s">
        <v>22</v>
      </c>
      <c r="H351" s="3">
        <v>0.23583972604485401</v>
      </c>
      <c r="I351" s="3">
        <v>0.23495314956541899</v>
      </c>
      <c r="J351" s="3">
        <v>0.197014870709568</v>
      </c>
      <c r="K351" s="3">
        <v>0.21027487437794501</v>
      </c>
      <c r="L351" s="3">
        <v>0.15026239718390599</v>
      </c>
      <c r="M351" s="3">
        <v>0.11580832932144999</v>
      </c>
      <c r="N351" s="3">
        <v>0.26992683865999201</v>
      </c>
      <c r="O351" s="3">
        <v>0.15897788018591899</v>
      </c>
      <c r="P351">
        <f t="shared" si="136"/>
        <v>0</v>
      </c>
      <c r="Q351">
        <f t="shared" si="137"/>
        <v>0</v>
      </c>
      <c r="R351">
        <f t="shared" si="138"/>
        <v>0</v>
      </c>
      <c r="S351">
        <f t="shared" si="139"/>
        <v>1</v>
      </c>
      <c r="T351">
        <f t="shared" si="140"/>
        <v>0</v>
      </c>
      <c r="U351">
        <f t="shared" si="141"/>
        <v>0</v>
      </c>
      <c r="V351">
        <f t="shared" si="142"/>
        <v>0</v>
      </c>
      <c r="W351">
        <f t="shared" si="143"/>
        <v>0</v>
      </c>
      <c r="X351">
        <f t="shared" si="144"/>
        <v>1</v>
      </c>
      <c r="Y351">
        <f t="shared" si="145"/>
        <v>0</v>
      </c>
      <c r="Z351">
        <f t="shared" si="146"/>
        <v>0</v>
      </c>
      <c r="AA351">
        <f t="shared" si="147"/>
        <v>0</v>
      </c>
      <c r="AB351">
        <f t="shared" si="130"/>
        <v>0</v>
      </c>
      <c r="AC351">
        <f t="shared" si="131"/>
        <v>0</v>
      </c>
      <c r="AD351">
        <f t="shared" si="132"/>
        <v>0</v>
      </c>
      <c r="AE351">
        <f t="shared" si="133"/>
        <v>0</v>
      </c>
      <c r="AF351">
        <f t="shared" si="134"/>
        <v>0</v>
      </c>
      <c r="AG351">
        <f t="shared" si="135"/>
        <v>0</v>
      </c>
      <c r="AH351">
        <f t="shared" si="148"/>
        <v>0</v>
      </c>
      <c r="AI351">
        <f t="shared" si="153"/>
        <v>0</v>
      </c>
      <c r="AJ351">
        <f t="shared" si="153"/>
        <v>0</v>
      </c>
      <c r="AK351">
        <f t="shared" si="153"/>
        <v>0</v>
      </c>
      <c r="AL351">
        <f t="shared" si="153"/>
        <v>0</v>
      </c>
      <c r="AM351">
        <f t="shared" si="153"/>
        <v>0</v>
      </c>
      <c r="AN351">
        <f t="shared" si="153"/>
        <v>0</v>
      </c>
      <c r="AO351">
        <f t="shared" si="153"/>
        <v>0</v>
      </c>
      <c r="AP351">
        <f t="shared" si="153"/>
        <v>0</v>
      </c>
      <c r="AQ351">
        <f t="shared" si="153"/>
        <v>0</v>
      </c>
      <c r="AR351">
        <f t="shared" si="153"/>
        <v>0</v>
      </c>
      <c r="AS351">
        <f t="shared" si="153"/>
        <v>0</v>
      </c>
      <c r="AT351">
        <f t="shared" si="153"/>
        <v>1</v>
      </c>
      <c r="AU351">
        <f t="shared" si="153"/>
        <v>0</v>
      </c>
      <c r="AV351">
        <f t="shared" si="153"/>
        <v>0</v>
      </c>
      <c r="AW351">
        <f t="shared" si="153"/>
        <v>0</v>
      </c>
      <c r="AX351">
        <f t="shared" si="150"/>
        <v>0</v>
      </c>
      <c r="AY351">
        <f t="shared" si="150"/>
        <v>1</v>
      </c>
      <c r="AZ351">
        <f t="shared" si="150"/>
        <v>0</v>
      </c>
      <c r="BA351">
        <f t="shared" si="151"/>
        <v>0</v>
      </c>
      <c r="BB351">
        <f t="shared" si="152"/>
        <v>1</v>
      </c>
    </row>
    <row r="352" spans="1:54">
      <c r="A352">
        <v>349</v>
      </c>
      <c r="B352" t="s">
        <v>20</v>
      </c>
      <c r="C352" t="s">
        <v>28</v>
      </c>
      <c r="D352" t="s">
        <v>27</v>
      </c>
      <c r="E352" t="s">
        <v>30</v>
      </c>
      <c r="F352" t="s">
        <v>29</v>
      </c>
      <c r="G352" t="s">
        <v>23</v>
      </c>
      <c r="H352" s="3">
        <v>0.14084089445961701</v>
      </c>
      <c r="I352" s="3">
        <v>0.134955054752982</v>
      </c>
      <c r="J352" s="3">
        <v>0.11842966179942099</v>
      </c>
      <c r="K352" s="3">
        <v>0.121842265450694</v>
      </c>
      <c r="L352" s="3">
        <v>8.9242163594020402E-2</v>
      </c>
      <c r="M352" s="3">
        <v>7.0255918629061206E-2</v>
      </c>
      <c r="N352" s="3">
        <v>0.15263908701854401</v>
      </c>
      <c r="O352" s="3">
        <v>9.4667213134600997E-2</v>
      </c>
      <c r="P352">
        <f t="shared" si="136"/>
        <v>0</v>
      </c>
      <c r="Q352">
        <f t="shared" si="137"/>
        <v>0</v>
      </c>
      <c r="R352">
        <f t="shared" si="138"/>
        <v>0</v>
      </c>
      <c r="S352">
        <f t="shared" si="139"/>
        <v>1</v>
      </c>
      <c r="T352">
        <f t="shared" si="140"/>
        <v>0</v>
      </c>
      <c r="U352">
        <f t="shared" si="141"/>
        <v>0</v>
      </c>
      <c r="V352">
        <f t="shared" si="142"/>
        <v>0</v>
      </c>
      <c r="W352">
        <f t="shared" si="143"/>
        <v>0</v>
      </c>
      <c r="X352">
        <f t="shared" si="144"/>
        <v>0</v>
      </c>
      <c r="Y352">
        <f t="shared" si="145"/>
        <v>1</v>
      </c>
      <c r="Z352">
        <f t="shared" si="146"/>
        <v>0</v>
      </c>
      <c r="AA352">
        <f t="shared" si="147"/>
        <v>0</v>
      </c>
      <c r="AB352">
        <f t="shared" si="130"/>
        <v>0</v>
      </c>
      <c r="AC352">
        <f t="shared" si="131"/>
        <v>0</v>
      </c>
      <c r="AD352">
        <f t="shared" si="132"/>
        <v>0</v>
      </c>
      <c r="AE352">
        <f t="shared" si="133"/>
        <v>0</v>
      </c>
      <c r="AF352">
        <f t="shared" si="134"/>
        <v>0</v>
      </c>
      <c r="AG352">
        <f t="shared" si="135"/>
        <v>0</v>
      </c>
      <c r="AH352">
        <f t="shared" si="148"/>
        <v>0</v>
      </c>
      <c r="AI352">
        <f t="shared" si="153"/>
        <v>0</v>
      </c>
      <c r="AJ352">
        <f t="shared" si="153"/>
        <v>0</v>
      </c>
      <c r="AK352">
        <f t="shared" si="153"/>
        <v>0</v>
      </c>
      <c r="AL352">
        <f t="shared" si="153"/>
        <v>0</v>
      </c>
      <c r="AM352">
        <f t="shared" si="153"/>
        <v>0</v>
      </c>
      <c r="AN352">
        <f t="shared" si="153"/>
        <v>0</v>
      </c>
      <c r="AO352">
        <f t="shared" si="153"/>
        <v>0</v>
      </c>
      <c r="AP352">
        <f t="shared" si="153"/>
        <v>0</v>
      </c>
      <c r="AQ352">
        <f t="shared" si="153"/>
        <v>0</v>
      </c>
      <c r="AR352">
        <f t="shared" si="153"/>
        <v>0</v>
      </c>
      <c r="AS352">
        <f t="shared" si="153"/>
        <v>0</v>
      </c>
      <c r="AT352">
        <f t="shared" si="153"/>
        <v>0</v>
      </c>
      <c r="AU352">
        <f t="shared" si="153"/>
        <v>0</v>
      </c>
      <c r="AV352">
        <f t="shared" si="153"/>
        <v>1</v>
      </c>
      <c r="AW352">
        <f t="shared" si="153"/>
        <v>0</v>
      </c>
      <c r="AX352">
        <f t="shared" si="150"/>
        <v>0</v>
      </c>
      <c r="AY352">
        <f t="shared" si="150"/>
        <v>1</v>
      </c>
      <c r="AZ352">
        <f t="shared" si="150"/>
        <v>0</v>
      </c>
      <c r="BA352">
        <f t="shared" si="151"/>
        <v>0</v>
      </c>
      <c r="BB352">
        <f t="shared" si="152"/>
        <v>1</v>
      </c>
    </row>
    <row r="353" spans="1:54">
      <c r="A353">
        <v>350</v>
      </c>
      <c r="B353" t="s">
        <v>20</v>
      </c>
      <c r="C353" t="s">
        <v>28</v>
      </c>
      <c r="D353" t="s">
        <v>27</v>
      </c>
      <c r="E353" t="s">
        <v>30</v>
      </c>
      <c r="F353" t="s">
        <v>29</v>
      </c>
      <c r="G353" t="s">
        <v>24</v>
      </c>
      <c r="H353" s="3">
        <v>0.33573754425607899</v>
      </c>
      <c r="I353" s="3">
        <v>0.335574187995896</v>
      </c>
      <c r="J353" s="3">
        <v>0.277317961943086</v>
      </c>
      <c r="K353" s="3">
        <v>0.294444237575613</v>
      </c>
      <c r="L353" s="3">
        <v>0.20060649089084001</v>
      </c>
      <c r="M353" s="3">
        <v>0.150172514693419</v>
      </c>
      <c r="N353" s="3">
        <v>0.40310523289246603</v>
      </c>
      <c r="O353" s="3">
        <v>0.214404150398746</v>
      </c>
      <c r="P353">
        <f t="shared" si="136"/>
        <v>0</v>
      </c>
      <c r="Q353">
        <f t="shared" si="137"/>
        <v>0</v>
      </c>
      <c r="R353">
        <f t="shared" si="138"/>
        <v>0</v>
      </c>
      <c r="S353">
        <f t="shared" si="139"/>
        <v>1</v>
      </c>
      <c r="T353">
        <f t="shared" si="140"/>
        <v>0</v>
      </c>
      <c r="U353">
        <f t="shared" si="141"/>
        <v>0</v>
      </c>
      <c r="V353">
        <f t="shared" si="142"/>
        <v>0</v>
      </c>
      <c r="W353">
        <f t="shared" si="143"/>
        <v>0</v>
      </c>
      <c r="X353">
        <f t="shared" si="144"/>
        <v>0</v>
      </c>
      <c r="Y353">
        <f t="shared" si="145"/>
        <v>0</v>
      </c>
      <c r="Z353">
        <f t="shared" si="146"/>
        <v>0</v>
      </c>
      <c r="AA353">
        <f t="shared" si="147"/>
        <v>1</v>
      </c>
      <c r="AB353">
        <f t="shared" si="130"/>
        <v>0</v>
      </c>
      <c r="AC353">
        <f t="shared" si="131"/>
        <v>0</v>
      </c>
      <c r="AD353">
        <f t="shared" si="132"/>
        <v>1</v>
      </c>
      <c r="AE353">
        <f t="shared" si="133"/>
        <v>0</v>
      </c>
      <c r="AF353">
        <f t="shared" si="134"/>
        <v>0</v>
      </c>
      <c r="AG353">
        <f t="shared" si="135"/>
        <v>0</v>
      </c>
      <c r="AH353">
        <f t="shared" si="148"/>
        <v>1</v>
      </c>
      <c r="AI353">
        <f t="shared" si="153"/>
        <v>0</v>
      </c>
      <c r="AJ353">
        <f t="shared" si="153"/>
        <v>0</v>
      </c>
      <c r="AK353">
        <f t="shared" si="153"/>
        <v>0</v>
      </c>
      <c r="AL353">
        <f t="shared" si="153"/>
        <v>0</v>
      </c>
      <c r="AM353">
        <f t="shared" si="153"/>
        <v>0</v>
      </c>
      <c r="AN353">
        <f t="shared" si="153"/>
        <v>0</v>
      </c>
      <c r="AO353">
        <f t="shared" si="153"/>
        <v>0</v>
      </c>
      <c r="AP353">
        <f t="shared" si="153"/>
        <v>0</v>
      </c>
      <c r="AQ353">
        <f t="shared" si="153"/>
        <v>0</v>
      </c>
      <c r="AR353">
        <f t="shared" si="153"/>
        <v>0</v>
      </c>
      <c r="AS353">
        <f t="shared" si="153"/>
        <v>0</v>
      </c>
      <c r="AT353">
        <f t="shared" si="153"/>
        <v>0</v>
      </c>
      <c r="AU353">
        <f t="shared" si="153"/>
        <v>0</v>
      </c>
      <c r="AV353">
        <f t="shared" si="153"/>
        <v>0</v>
      </c>
      <c r="AW353">
        <f t="shared" si="153"/>
        <v>1</v>
      </c>
      <c r="AX353">
        <f t="shared" si="150"/>
        <v>0</v>
      </c>
      <c r="AY353">
        <f t="shared" si="150"/>
        <v>1</v>
      </c>
      <c r="AZ353">
        <f t="shared" si="150"/>
        <v>0</v>
      </c>
      <c r="BA353">
        <f t="shared" si="151"/>
        <v>0</v>
      </c>
      <c r="BB353">
        <f t="shared" si="152"/>
        <v>1</v>
      </c>
    </row>
    <row r="354" spans="1:54">
      <c r="A354">
        <v>351</v>
      </c>
      <c r="B354" t="s">
        <v>20</v>
      </c>
      <c r="C354" t="s">
        <v>28</v>
      </c>
      <c r="D354" t="s">
        <v>27</v>
      </c>
      <c r="E354" t="s">
        <v>30</v>
      </c>
      <c r="F354" t="s">
        <v>29</v>
      </c>
      <c r="G354" t="s">
        <v>31</v>
      </c>
      <c r="H354" s="3">
        <v>0.168467903420874</v>
      </c>
      <c r="I354" s="3">
        <v>0.15857676630227999</v>
      </c>
      <c r="J354" s="3">
        <v>0.14090623551787201</v>
      </c>
      <c r="K354" s="3">
        <v>0.14034595707071201</v>
      </c>
      <c r="L354" s="3">
        <v>0.110248514206452</v>
      </c>
      <c r="M354" s="3">
        <v>8.6793152762372094E-2</v>
      </c>
      <c r="N354" s="3">
        <v>0.185449358059914</v>
      </c>
      <c r="O354" s="3">
        <v>0.112558505369587</v>
      </c>
      <c r="P354">
        <f t="shared" si="136"/>
        <v>0</v>
      </c>
      <c r="Q354">
        <f t="shared" si="137"/>
        <v>0</v>
      </c>
      <c r="R354">
        <f t="shared" si="138"/>
        <v>0</v>
      </c>
      <c r="S354">
        <f t="shared" si="139"/>
        <v>1</v>
      </c>
      <c r="T354">
        <f t="shared" si="140"/>
        <v>0</v>
      </c>
      <c r="U354">
        <f t="shared" si="141"/>
        <v>0</v>
      </c>
      <c r="V354">
        <f t="shared" si="142"/>
        <v>0</v>
      </c>
      <c r="W354">
        <f t="shared" si="143"/>
        <v>0</v>
      </c>
      <c r="X354">
        <f t="shared" si="144"/>
        <v>0</v>
      </c>
      <c r="Y354">
        <f t="shared" si="145"/>
        <v>0</v>
      </c>
      <c r="Z354">
        <f t="shared" si="146"/>
        <v>1</v>
      </c>
      <c r="AA354">
        <f t="shared" si="147"/>
        <v>0</v>
      </c>
      <c r="AB354">
        <f t="shared" si="130"/>
        <v>0</v>
      </c>
      <c r="AC354">
        <f t="shared" si="131"/>
        <v>0</v>
      </c>
      <c r="AD354">
        <f t="shared" si="132"/>
        <v>0</v>
      </c>
      <c r="AE354">
        <f t="shared" si="133"/>
        <v>0</v>
      </c>
      <c r="AF354">
        <f t="shared" si="134"/>
        <v>0</v>
      </c>
      <c r="AG354">
        <f t="shared" si="135"/>
        <v>0</v>
      </c>
      <c r="AH354">
        <f t="shared" si="148"/>
        <v>0</v>
      </c>
      <c r="AI354">
        <f t="shared" si="153"/>
        <v>0</v>
      </c>
      <c r="AJ354">
        <f t="shared" si="153"/>
        <v>0</v>
      </c>
      <c r="AK354">
        <f t="shared" si="153"/>
        <v>0</v>
      </c>
      <c r="AL354">
        <f t="shared" si="153"/>
        <v>0</v>
      </c>
      <c r="AM354">
        <f t="shared" si="153"/>
        <v>0</v>
      </c>
      <c r="AN354">
        <f t="shared" si="153"/>
        <v>0</v>
      </c>
      <c r="AO354">
        <f t="shared" si="153"/>
        <v>0</v>
      </c>
      <c r="AP354">
        <f t="shared" si="153"/>
        <v>0</v>
      </c>
      <c r="AQ354">
        <f t="shared" si="153"/>
        <v>0</v>
      </c>
      <c r="AR354">
        <f t="shared" si="153"/>
        <v>0</v>
      </c>
      <c r="AS354">
        <f t="shared" si="153"/>
        <v>0</v>
      </c>
      <c r="AT354">
        <f t="shared" si="153"/>
        <v>0</v>
      </c>
      <c r="AU354">
        <f t="shared" si="153"/>
        <v>0</v>
      </c>
      <c r="AV354">
        <f t="shared" si="153"/>
        <v>0</v>
      </c>
      <c r="AW354">
        <f t="shared" si="153"/>
        <v>0</v>
      </c>
      <c r="AX354">
        <f t="shared" si="150"/>
        <v>0</v>
      </c>
      <c r="AY354">
        <f t="shared" si="150"/>
        <v>1</v>
      </c>
      <c r="AZ354">
        <f t="shared" si="150"/>
        <v>0</v>
      </c>
      <c r="BA354">
        <f t="shared" si="151"/>
        <v>0</v>
      </c>
      <c r="BB354">
        <f t="shared" si="152"/>
        <v>1</v>
      </c>
    </row>
    <row r="355" spans="1:54">
      <c r="A355">
        <v>352</v>
      </c>
      <c r="B355" t="s">
        <v>20</v>
      </c>
      <c r="C355" t="s">
        <v>28</v>
      </c>
      <c r="D355" t="s">
        <v>27</v>
      </c>
      <c r="E355" t="s">
        <v>30</v>
      </c>
      <c r="F355" t="s">
        <v>29</v>
      </c>
      <c r="G355" t="s">
        <v>25</v>
      </c>
      <c r="H355" s="3">
        <v>3.1413790747514499E-2</v>
      </c>
      <c r="I355" s="3">
        <v>3.1505443880357802E-2</v>
      </c>
      <c r="J355" s="3">
        <v>2.65843412623324E-2</v>
      </c>
      <c r="K355" s="3">
        <v>2.8789048182469201E-2</v>
      </c>
      <c r="L355" s="3">
        <v>2.0635535287307601E-2</v>
      </c>
      <c r="M355" s="3">
        <v>1.6286975288802401E-2</v>
      </c>
      <c r="N355" s="3">
        <v>3.51889965363184E-2</v>
      </c>
      <c r="O355" s="3">
        <v>2.1802249130554001E-2</v>
      </c>
      <c r="P355">
        <f t="shared" si="136"/>
        <v>0</v>
      </c>
      <c r="Q355">
        <f t="shared" si="137"/>
        <v>0</v>
      </c>
      <c r="R355">
        <f t="shared" si="138"/>
        <v>0</v>
      </c>
      <c r="S355">
        <f t="shared" si="139"/>
        <v>1</v>
      </c>
      <c r="T355">
        <f t="shared" si="140"/>
        <v>0</v>
      </c>
      <c r="U355">
        <f t="shared" si="141"/>
        <v>0</v>
      </c>
      <c r="V355">
        <f t="shared" si="142"/>
        <v>0</v>
      </c>
      <c r="W355">
        <f t="shared" si="143"/>
        <v>0</v>
      </c>
      <c r="X355">
        <f t="shared" si="144"/>
        <v>0</v>
      </c>
      <c r="Y355">
        <f t="shared" si="145"/>
        <v>0</v>
      </c>
      <c r="Z355">
        <f t="shared" si="146"/>
        <v>0</v>
      </c>
      <c r="AA355">
        <f t="shared" si="147"/>
        <v>0</v>
      </c>
      <c r="AB355">
        <f t="shared" si="130"/>
        <v>0</v>
      </c>
      <c r="AC355">
        <f t="shared" si="131"/>
        <v>0</v>
      </c>
      <c r="AD355">
        <f t="shared" si="132"/>
        <v>0</v>
      </c>
      <c r="AE355">
        <f t="shared" si="133"/>
        <v>0</v>
      </c>
      <c r="AF355">
        <f t="shared" si="134"/>
        <v>0</v>
      </c>
      <c r="AG355">
        <f t="shared" si="135"/>
        <v>0</v>
      </c>
      <c r="AH355">
        <f t="shared" si="148"/>
        <v>0</v>
      </c>
      <c r="AI355">
        <f t="shared" si="153"/>
        <v>0</v>
      </c>
      <c r="AJ355">
        <f t="shared" si="153"/>
        <v>0</v>
      </c>
      <c r="AK355">
        <f t="shared" si="153"/>
        <v>0</v>
      </c>
      <c r="AL355">
        <f t="shared" si="153"/>
        <v>0</v>
      </c>
      <c r="AM355">
        <f t="shared" si="153"/>
        <v>0</v>
      </c>
      <c r="AN355">
        <f t="shared" si="153"/>
        <v>0</v>
      </c>
      <c r="AO355">
        <f t="shared" si="153"/>
        <v>0</v>
      </c>
      <c r="AP355">
        <f t="shared" si="153"/>
        <v>0</v>
      </c>
      <c r="AQ355">
        <f t="shared" si="153"/>
        <v>1</v>
      </c>
      <c r="AR355">
        <f t="shared" si="153"/>
        <v>0</v>
      </c>
      <c r="AS355">
        <f t="shared" si="153"/>
        <v>0</v>
      </c>
      <c r="AT355">
        <f t="shared" si="153"/>
        <v>0</v>
      </c>
      <c r="AU355">
        <f t="shared" si="153"/>
        <v>0</v>
      </c>
      <c r="AV355">
        <f t="shared" si="153"/>
        <v>0</v>
      </c>
      <c r="AW355">
        <f t="shared" si="153"/>
        <v>0</v>
      </c>
      <c r="AX355">
        <f t="shared" si="150"/>
        <v>0</v>
      </c>
      <c r="AY355">
        <f t="shared" si="150"/>
        <v>1</v>
      </c>
      <c r="AZ355">
        <f t="shared" si="150"/>
        <v>0</v>
      </c>
      <c r="BA355">
        <f t="shared" si="151"/>
        <v>1</v>
      </c>
      <c r="BB355">
        <f t="shared" si="152"/>
        <v>1</v>
      </c>
    </row>
    <row r="356" spans="1:54">
      <c r="A356">
        <v>353</v>
      </c>
      <c r="B356" t="s">
        <v>20</v>
      </c>
      <c r="C356" t="s">
        <v>28</v>
      </c>
      <c r="D356" t="s">
        <v>27</v>
      </c>
      <c r="E356" t="s">
        <v>30</v>
      </c>
      <c r="F356" t="s">
        <v>29</v>
      </c>
      <c r="G356" t="s">
        <v>26</v>
      </c>
      <c r="H356" s="3">
        <v>3.2123654127718101E-2</v>
      </c>
      <c r="I356" s="3">
        <v>3.21920042840061E-2</v>
      </c>
      <c r="J356" s="3">
        <v>2.7174020848382701E-2</v>
      </c>
      <c r="K356" s="3">
        <v>2.9394937379262898E-2</v>
      </c>
      <c r="L356" s="3">
        <v>2.1069534063591001E-2</v>
      </c>
      <c r="M356" s="3">
        <v>1.6612685668645401E-2</v>
      </c>
      <c r="N356" s="3">
        <v>3.5985626283367503E-2</v>
      </c>
      <c r="O356" s="3">
        <v>2.2279100125335499E-2</v>
      </c>
      <c r="P356">
        <f t="shared" si="136"/>
        <v>0</v>
      </c>
      <c r="Q356">
        <f t="shared" si="137"/>
        <v>0</v>
      </c>
      <c r="R356">
        <f t="shared" si="138"/>
        <v>0</v>
      </c>
      <c r="S356">
        <f t="shared" si="139"/>
        <v>1</v>
      </c>
      <c r="T356">
        <f t="shared" si="140"/>
        <v>0</v>
      </c>
      <c r="U356">
        <f t="shared" si="141"/>
        <v>0</v>
      </c>
      <c r="V356">
        <f t="shared" si="142"/>
        <v>0</v>
      </c>
      <c r="W356">
        <f t="shared" si="143"/>
        <v>0</v>
      </c>
      <c r="X356">
        <f t="shared" si="144"/>
        <v>0</v>
      </c>
      <c r="Y356">
        <f t="shared" si="145"/>
        <v>0</v>
      </c>
      <c r="Z356">
        <f t="shared" si="146"/>
        <v>0</v>
      </c>
      <c r="AA356">
        <f t="shared" si="147"/>
        <v>0</v>
      </c>
      <c r="AB356">
        <f t="shared" si="130"/>
        <v>0</v>
      </c>
      <c r="AC356">
        <f t="shared" si="131"/>
        <v>0</v>
      </c>
      <c r="AD356">
        <f t="shared" si="132"/>
        <v>0</v>
      </c>
      <c r="AE356">
        <f t="shared" si="133"/>
        <v>0</v>
      </c>
      <c r="AF356">
        <f t="shared" si="134"/>
        <v>0</v>
      </c>
      <c r="AG356">
        <f t="shared" si="135"/>
        <v>0</v>
      </c>
      <c r="AH356">
        <f t="shared" si="148"/>
        <v>0</v>
      </c>
      <c r="AI356">
        <f t="shared" si="153"/>
        <v>0</v>
      </c>
      <c r="AJ356">
        <f t="shared" si="153"/>
        <v>0</v>
      </c>
      <c r="AK356">
        <f t="shared" si="153"/>
        <v>0</v>
      </c>
      <c r="AL356">
        <f t="shared" si="153"/>
        <v>0</v>
      </c>
      <c r="AM356">
        <f t="shared" si="153"/>
        <v>1</v>
      </c>
      <c r="AN356">
        <f t="shared" si="153"/>
        <v>0</v>
      </c>
      <c r="AO356">
        <f t="shared" si="153"/>
        <v>0</v>
      </c>
      <c r="AP356">
        <f t="shared" si="153"/>
        <v>0</v>
      </c>
      <c r="AQ356">
        <f t="shared" si="153"/>
        <v>0</v>
      </c>
      <c r="AR356">
        <f t="shared" si="153"/>
        <v>0</v>
      </c>
      <c r="AS356">
        <f t="shared" si="153"/>
        <v>0</v>
      </c>
      <c r="AT356">
        <f t="shared" si="153"/>
        <v>0</v>
      </c>
      <c r="AU356">
        <f t="shared" si="153"/>
        <v>0</v>
      </c>
      <c r="AV356">
        <f t="shared" si="153"/>
        <v>0</v>
      </c>
      <c r="AW356">
        <f t="shared" si="153"/>
        <v>0</v>
      </c>
      <c r="AX356">
        <f t="shared" si="150"/>
        <v>0</v>
      </c>
      <c r="AY356">
        <f t="shared" si="150"/>
        <v>1</v>
      </c>
      <c r="AZ356">
        <f t="shared" si="150"/>
        <v>0</v>
      </c>
      <c r="BA356">
        <f t="shared" si="151"/>
        <v>1</v>
      </c>
      <c r="BB356">
        <f t="shared" si="152"/>
        <v>1</v>
      </c>
    </row>
    <row r="357" spans="1:54">
      <c r="A357">
        <v>354</v>
      </c>
      <c r="B357" t="s">
        <v>20</v>
      </c>
      <c r="C357" t="s">
        <v>29</v>
      </c>
      <c r="D357" t="s">
        <v>22</v>
      </c>
      <c r="E357" t="s">
        <v>20</v>
      </c>
      <c r="F357" t="s">
        <v>29</v>
      </c>
      <c r="G357" t="s">
        <v>23</v>
      </c>
      <c r="H357" s="3">
        <v>4.9555849463738103E-2</v>
      </c>
      <c r="I357" s="3">
        <v>4.8855298793684603E-2</v>
      </c>
      <c r="J357" s="3">
        <v>4.2682725319208699E-2</v>
      </c>
      <c r="K357" s="3">
        <v>4.5636089910472799E-2</v>
      </c>
      <c r="L357" s="3">
        <v>3.37618613889719E-2</v>
      </c>
      <c r="M357" s="3">
        <v>2.7326092179579001E-2</v>
      </c>
      <c r="N357" s="3">
        <v>5.2907530981887503E-2</v>
      </c>
      <c r="O357" s="3">
        <v>3.6446740383616498E-2</v>
      </c>
      <c r="P357">
        <f t="shared" si="136"/>
        <v>0</v>
      </c>
      <c r="Q357">
        <f t="shared" si="137"/>
        <v>0</v>
      </c>
      <c r="R357">
        <f t="shared" si="138"/>
        <v>0</v>
      </c>
      <c r="S357">
        <f t="shared" si="139"/>
        <v>0</v>
      </c>
      <c r="T357">
        <f t="shared" si="140"/>
        <v>0</v>
      </c>
      <c r="U357">
        <f t="shared" si="141"/>
        <v>0</v>
      </c>
      <c r="V357">
        <f t="shared" si="142"/>
        <v>0</v>
      </c>
      <c r="W357">
        <f t="shared" si="143"/>
        <v>0</v>
      </c>
      <c r="X357">
        <f t="shared" si="144"/>
        <v>1</v>
      </c>
      <c r="Y357">
        <f t="shared" si="145"/>
        <v>1</v>
      </c>
      <c r="Z357">
        <f t="shared" si="146"/>
        <v>0</v>
      </c>
      <c r="AA357">
        <f t="shared" si="147"/>
        <v>0</v>
      </c>
      <c r="AB357">
        <f t="shared" si="130"/>
        <v>0</v>
      </c>
      <c r="AC357">
        <f t="shared" si="131"/>
        <v>1</v>
      </c>
      <c r="AD357">
        <f t="shared" si="132"/>
        <v>0</v>
      </c>
      <c r="AE357">
        <f t="shared" si="133"/>
        <v>0</v>
      </c>
      <c r="AF357">
        <f t="shared" si="134"/>
        <v>1</v>
      </c>
      <c r="AG357">
        <f t="shared" si="135"/>
        <v>1</v>
      </c>
      <c r="AH357">
        <f t="shared" si="148"/>
        <v>1</v>
      </c>
      <c r="AI357">
        <f t="shared" si="153"/>
        <v>0</v>
      </c>
      <c r="AJ357">
        <f t="shared" si="153"/>
        <v>0</v>
      </c>
      <c r="AK357">
        <f t="shared" si="153"/>
        <v>0</v>
      </c>
      <c r="AL357">
        <f t="shared" si="153"/>
        <v>0</v>
      </c>
      <c r="AM357">
        <f t="shared" si="153"/>
        <v>0</v>
      </c>
      <c r="AN357">
        <f t="shared" si="153"/>
        <v>0</v>
      </c>
      <c r="AO357">
        <f t="shared" si="153"/>
        <v>0</v>
      </c>
      <c r="AP357">
        <f t="shared" si="153"/>
        <v>0</v>
      </c>
      <c r="AQ357">
        <f t="shared" si="153"/>
        <v>0</v>
      </c>
      <c r="AR357">
        <f t="shared" si="153"/>
        <v>1</v>
      </c>
      <c r="AS357">
        <f t="shared" si="153"/>
        <v>0</v>
      </c>
      <c r="AT357">
        <f t="shared" si="153"/>
        <v>0</v>
      </c>
      <c r="AU357">
        <f t="shared" si="153"/>
        <v>0</v>
      </c>
      <c r="AV357">
        <f t="shared" si="153"/>
        <v>0</v>
      </c>
      <c r="AW357">
        <f t="shared" si="153"/>
        <v>0</v>
      </c>
      <c r="AX357">
        <f t="shared" si="150"/>
        <v>0</v>
      </c>
      <c r="AY357">
        <f t="shared" si="150"/>
        <v>0</v>
      </c>
      <c r="AZ357">
        <f t="shared" si="150"/>
        <v>0</v>
      </c>
      <c r="BA357">
        <f t="shared" si="151"/>
        <v>0</v>
      </c>
      <c r="BB357">
        <f t="shared" si="152"/>
        <v>1</v>
      </c>
    </row>
    <row r="358" spans="1:54">
      <c r="A358">
        <v>355</v>
      </c>
      <c r="B358" t="s">
        <v>20</v>
      </c>
      <c r="C358" t="s">
        <v>29</v>
      </c>
      <c r="D358" t="s">
        <v>22</v>
      </c>
      <c r="E358" t="s">
        <v>20</v>
      </c>
      <c r="F358" t="s">
        <v>29</v>
      </c>
      <c r="G358" t="s">
        <v>24</v>
      </c>
      <c r="H358" s="3">
        <v>0.75574114472834497</v>
      </c>
      <c r="I358" s="3">
        <v>0.71455044800129697</v>
      </c>
      <c r="J358" s="3">
        <v>0.60331210060746798</v>
      </c>
      <c r="K358" s="3">
        <v>0.60975002980378901</v>
      </c>
      <c r="L358" s="3">
        <v>0.435342806919299</v>
      </c>
      <c r="M358" s="3">
        <v>0.31532184420555398</v>
      </c>
      <c r="N358" s="3">
        <v>0.89547072833736596</v>
      </c>
      <c r="O358" s="3">
        <v>0.46170663146348101</v>
      </c>
      <c r="P358">
        <f t="shared" si="136"/>
        <v>0</v>
      </c>
      <c r="Q358">
        <f t="shared" si="137"/>
        <v>0</v>
      </c>
      <c r="R358">
        <f t="shared" si="138"/>
        <v>0</v>
      </c>
      <c r="S358">
        <f t="shared" si="139"/>
        <v>0</v>
      </c>
      <c r="T358">
        <f t="shared" si="140"/>
        <v>0</v>
      </c>
      <c r="U358">
        <f t="shared" si="141"/>
        <v>0</v>
      </c>
      <c r="V358">
        <f t="shared" si="142"/>
        <v>0</v>
      </c>
      <c r="W358">
        <f t="shared" si="143"/>
        <v>0</v>
      </c>
      <c r="X358">
        <f t="shared" si="144"/>
        <v>1</v>
      </c>
      <c r="Y358">
        <f t="shared" si="145"/>
        <v>0</v>
      </c>
      <c r="Z358">
        <f t="shared" si="146"/>
        <v>0</v>
      </c>
      <c r="AA358">
        <f t="shared" si="147"/>
        <v>1</v>
      </c>
      <c r="AB358">
        <f t="shared" si="130"/>
        <v>0</v>
      </c>
      <c r="AC358">
        <f t="shared" si="131"/>
        <v>0</v>
      </c>
      <c r="AD358">
        <f t="shared" si="132"/>
        <v>0</v>
      </c>
      <c r="AE358">
        <f t="shared" si="133"/>
        <v>0</v>
      </c>
      <c r="AF358">
        <f t="shared" si="134"/>
        <v>1</v>
      </c>
      <c r="AG358">
        <f t="shared" si="135"/>
        <v>1</v>
      </c>
      <c r="AH358">
        <f t="shared" si="148"/>
        <v>0</v>
      </c>
      <c r="AI358">
        <f t="shared" ref="AI358:AW374" si="154">IF(OR(AND($D358=AI$1,$G358=AI$2),AND($D358=AI$2,$G358=AI$1)),1,0)</f>
        <v>0</v>
      </c>
      <c r="AJ358">
        <f t="shared" si="154"/>
        <v>0</v>
      </c>
      <c r="AK358">
        <f t="shared" si="154"/>
        <v>0</v>
      </c>
      <c r="AL358">
        <f t="shared" si="154"/>
        <v>0</v>
      </c>
      <c r="AM358">
        <f t="shared" si="154"/>
        <v>0</v>
      </c>
      <c r="AN358">
        <f t="shared" si="154"/>
        <v>0</v>
      </c>
      <c r="AO358">
        <f t="shared" si="154"/>
        <v>0</v>
      </c>
      <c r="AP358">
        <f t="shared" si="154"/>
        <v>0</v>
      </c>
      <c r="AQ358">
        <f t="shared" si="154"/>
        <v>0</v>
      </c>
      <c r="AR358">
        <f t="shared" si="154"/>
        <v>0</v>
      </c>
      <c r="AS358">
        <f t="shared" si="154"/>
        <v>1</v>
      </c>
      <c r="AT358">
        <f t="shared" si="154"/>
        <v>0</v>
      </c>
      <c r="AU358">
        <f t="shared" si="154"/>
        <v>0</v>
      </c>
      <c r="AV358">
        <f t="shared" si="154"/>
        <v>0</v>
      </c>
      <c r="AW358">
        <f t="shared" si="154"/>
        <v>0</v>
      </c>
      <c r="AX358">
        <f t="shared" si="150"/>
        <v>0</v>
      </c>
      <c r="AY358">
        <f t="shared" si="150"/>
        <v>0</v>
      </c>
      <c r="AZ358">
        <f t="shared" si="150"/>
        <v>0</v>
      </c>
      <c r="BA358">
        <f t="shared" si="151"/>
        <v>0</v>
      </c>
      <c r="BB358">
        <f t="shared" si="152"/>
        <v>1</v>
      </c>
    </row>
    <row r="359" spans="1:54">
      <c r="A359">
        <v>356</v>
      </c>
      <c r="B359" t="s">
        <v>20</v>
      </c>
      <c r="C359" t="s">
        <v>29</v>
      </c>
      <c r="D359" t="s">
        <v>22</v>
      </c>
      <c r="E359" t="s">
        <v>20</v>
      </c>
      <c r="F359" t="s">
        <v>29</v>
      </c>
      <c r="G359" t="s">
        <v>31</v>
      </c>
      <c r="H359" s="3">
        <v>6.1477119205940498E-2</v>
      </c>
      <c r="I359" s="3">
        <v>6.04758475116546E-2</v>
      </c>
      <c r="J359" s="3">
        <v>5.5906273992827903E-2</v>
      </c>
      <c r="K359" s="3">
        <v>5.78584458833497E-2</v>
      </c>
      <c r="L359" s="3">
        <v>4.8368013578551201E-2</v>
      </c>
      <c r="M359" s="3">
        <v>4.2791420018309601E-2</v>
      </c>
      <c r="N359" s="3">
        <v>6.3870352716873205E-2</v>
      </c>
      <c r="O359" s="3">
        <v>5.0517998103371299E-2</v>
      </c>
      <c r="P359">
        <f t="shared" si="136"/>
        <v>0</v>
      </c>
      <c r="Q359">
        <f t="shared" si="137"/>
        <v>0</v>
      </c>
      <c r="R359">
        <f t="shared" si="138"/>
        <v>0</v>
      </c>
      <c r="S359">
        <f t="shared" si="139"/>
        <v>0</v>
      </c>
      <c r="T359">
        <f t="shared" si="140"/>
        <v>0</v>
      </c>
      <c r="U359">
        <f t="shared" si="141"/>
        <v>0</v>
      </c>
      <c r="V359">
        <f t="shared" si="142"/>
        <v>0</v>
      </c>
      <c r="W359">
        <f t="shared" si="143"/>
        <v>0</v>
      </c>
      <c r="X359">
        <f t="shared" si="144"/>
        <v>1</v>
      </c>
      <c r="Y359">
        <f t="shared" si="145"/>
        <v>0</v>
      </c>
      <c r="Z359">
        <f t="shared" si="146"/>
        <v>1</v>
      </c>
      <c r="AA359">
        <f t="shared" si="147"/>
        <v>0</v>
      </c>
      <c r="AB359">
        <f t="shared" si="130"/>
        <v>0</v>
      </c>
      <c r="AC359">
        <f t="shared" si="131"/>
        <v>1</v>
      </c>
      <c r="AD359">
        <f t="shared" si="132"/>
        <v>0</v>
      </c>
      <c r="AE359">
        <f t="shared" si="133"/>
        <v>0</v>
      </c>
      <c r="AF359">
        <f t="shared" si="134"/>
        <v>1</v>
      </c>
      <c r="AG359">
        <f t="shared" si="135"/>
        <v>1</v>
      </c>
      <c r="AH359">
        <f t="shared" si="148"/>
        <v>1</v>
      </c>
      <c r="AI359">
        <f t="shared" si="154"/>
        <v>0</v>
      </c>
      <c r="AJ359">
        <f t="shared" si="154"/>
        <v>0</v>
      </c>
      <c r="AK359">
        <f t="shared" si="154"/>
        <v>0</v>
      </c>
      <c r="AL359">
        <f t="shared" si="154"/>
        <v>0</v>
      </c>
      <c r="AM359">
        <f t="shared" si="154"/>
        <v>0</v>
      </c>
      <c r="AN359">
        <f t="shared" si="154"/>
        <v>0</v>
      </c>
      <c r="AO359">
        <f t="shared" si="154"/>
        <v>0</v>
      </c>
      <c r="AP359">
        <f t="shared" si="154"/>
        <v>0</v>
      </c>
      <c r="AQ359">
        <f t="shared" si="154"/>
        <v>0</v>
      </c>
      <c r="AR359">
        <f t="shared" si="154"/>
        <v>0</v>
      </c>
      <c r="AS359">
        <f t="shared" si="154"/>
        <v>0</v>
      </c>
      <c r="AT359">
        <f t="shared" si="154"/>
        <v>0</v>
      </c>
      <c r="AU359">
        <f t="shared" si="154"/>
        <v>0</v>
      </c>
      <c r="AV359">
        <f t="shared" si="154"/>
        <v>0</v>
      </c>
      <c r="AW359">
        <f t="shared" si="154"/>
        <v>0</v>
      </c>
      <c r="AX359">
        <f t="shared" si="150"/>
        <v>0</v>
      </c>
      <c r="AY359">
        <f t="shared" si="150"/>
        <v>0</v>
      </c>
      <c r="AZ359">
        <f t="shared" si="150"/>
        <v>0</v>
      </c>
      <c r="BA359">
        <f t="shared" si="151"/>
        <v>0</v>
      </c>
      <c r="BB359">
        <f t="shared" si="152"/>
        <v>1</v>
      </c>
    </row>
    <row r="360" spans="1:54">
      <c r="A360">
        <v>357</v>
      </c>
      <c r="B360" t="s">
        <v>20</v>
      </c>
      <c r="C360" t="s">
        <v>29</v>
      </c>
      <c r="D360" t="s">
        <v>22</v>
      </c>
      <c r="E360" t="s">
        <v>20</v>
      </c>
      <c r="F360" t="s">
        <v>29</v>
      </c>
      <c r="G360" t="s">
        <v>25</v>
      </c>
      <c r="H360" s="3">
        <v>8.4929475338376803E-2</v>
      </c>
      <c r="I360" s="3">
        <v>8.3279556999122303E-2</v>
      </c>
      <c r="J360" s="3">
        <v>7.0115678980348803E-2</v>
      </c>
      <c r="K360" s="3">
        <v>7.6576411675880501E-2</v>
      </c>
      <c r="L360" s="3">
        <v>5.6675651915808797E-2</v>
      </c>
      <c r="M360" s="3">
        <v>4.5686239193096799E-2</v>
      </c>
      <c r="N360" s="3">
        <v>9.2150920191505198E-2</v>
      </c>
      <c r="O360" s="3">
        <v>5.8191586951027399E-2</v>
      </c>
      <c r="P360">
        <f t="shared" si="136"/>
        <v>0</v>
      </c>
      <c r="Q360">
        <f t="shared" si="137"/>
        <v>0</v>
      </c>
      <c r="R360">
        <f t="shared" si="138"/>
        <v>0</v>
      </c>
      <c r="S360">
        <f t="shared" si="139"/>
        <v>0</v>
      </c>
      <c r="T360">
        <f t="shared" si="140"/>
        <v>0</v>
      </c>
      <c r="U360">
        <f t="shared" si="141"/>
        <v>0</v>
      </c>
      <c r="V360">
        <f t="shared" si="142"/>
        <v>0</v>
      </c>
      <c r="W360">
        <f t="shared" si="143"/>
        <v>0</v>
      </c>
      <c r="X360">
        <f t="shared" si="144"/>
        <v>1</v>
      </c>
      <c r="Y360">
        <f t="shared" si="145"/>
        <v>0</v>
      </c>
      <c r="Z360">
        <f t="shared" si="146"/>
        <v>0</v>
      </c>
      <c r="AA360">
        <f t="shared" si="147"/>
        <v>0</v>
      </c>
      <c r="AB360">
        <f t="shared" si="130"/>
        <v>0</v>
      </c>
      <c r="AC360">
        <f t="shared" si="131"/>
        <v>0</v>
      </c>
      <c r="AD360">
        <f t="shared" si="132"/>
        <v>0</v>
      </c>
      <c r="AE360">
        <f t="shared" si="133"/>
        <v>0</v>
      </c>
      <c r="AF360">
        <f t="shared" si="134"/>
        <v>1</v>
      </c>
      <c r="AG360">
        <f t="shared" si="135"/>
        <v>1</v>
      </c>
      <c r="AH360">
        <f t="shared" si="148"/>
        <v>0</v>
      </c>
      <c r="AI360">
        <f t="shared" si="154"/>
        <v>0</v>
      </c>
      <c r="AJ360">
        <f t="shared" si="154"/>
        <v>0</v>
      </c>
      <c r="AK360">
        <f t="shared" si="154"/>
        <v>0</v>
      </c>
      <c r="AL360">
        <f t="shared" si="154"/>
        <v>0</v>
      </c>
      <c r="AM360">
        <f t="shared" si="154"/>
        <v>0</v>
      </c>
      <c r="AN360">
        <f t="shared" si="154"/>
        <v>1</v>
      </c>
      <c r="AO360">
        <f t="shared" si="154"/>
        <v>0</v>
      </c>
      <c r="AP360">
        <f t="shared" si="154"/>
        <v>0</v>
      </c>
      <c r="AQ360">
        <f t="shared" si="154"/>
        <v>0</v>
      </c>
      <c r="AR360">
        <f t="shared" si="154"/>
        <v>0</v>
      </c>
      <c r="AS360">
        <f t="shared" si="154"/>
        <v>0</v>
      </c>
      <c r="AT360">
        <f t="shared" si="154"/>
        <v>0</v>
      </c>
      <c r="AU360">
        <f t="shared" si="154"/>
        <v>0</v>
      </c>
      <c r="AV360">
        <f t="shared" si="154"/>
        <v>0</v>
      </c>
      <c r="AW360">
        <f t="shared" si="154"/>
        <v>0</v>
      </c>
      <c r="AX360">
        <f t="shared" si="150"/>
        <v>0</v>
      </c>
      <c r="AY360">
        <f t="shared" si="150"/>
        <v>0</v>
      </c>
      <c r="AZ360">
        <f t="shared" si="150"/>
        <v>0</v>
      </c>
      <c r="BA360">
        <f t="shared" si="151"/>
        <v>1</v>
      </c>
      <c r="BB360">
        <f t="shared" si="152"/>
        <v>1</v>
      </c>
    </row>
    <row r="361" spans="1:54">
      <c r="A361">
        <v>358</v>
      </c>
      <c r="B361" t="s">
        <v>20</v>
      </c>
      <c r="C361" t="s">
        <v>29</v>
      </c>
      <c r="D361" t="s">
        <v>22</v>
      </c>
      <c r="E361" t="s">
        <v>20</v>
      </c>
      <c r="F361" t="s">
        <v>29</v>
      </c>
      <c r="G361" t="s">
        <v>26</v>
      </c>
      <c r="H361" s="3">
        <v>8.6967690644736695E-2</v>
      </c>
      <c r="I361" s="3">
        <v>8.52802700141118E-2</v>
      </c>
      <c r="J361" s="3">
        <v>7.1864906446755902E-2</v>
      </c>
      <c r="K361" s="3">
        <v>7.8415147763993095E-2</v>
      </c>
      <c r="L361" s="3">
        <v>5.8064539992485099E-2</v>
      </c>
      <c r="M361" s="3">
        <v>4.6793746571257802E-2</v>
      </c>
      <c r="N361" s="3">
        <v>9.4368477869737302E-2</v>
      </c>
      <c r="O361" s="3">
        <v>5.96124638991299E-2</v>
      </c>
      <c r="P361">
        <f t="shared" si="136"/>
        <v>0</v>
      </c>
      <c r="Q361">
        <f t="shared" si="137"/>
        <v>0</v>
      </c>
      <c r="R361">
        <f t="shared" si="138"/>
        <v>0</v>
      </c>
      <c r="S361">
        <f t="shared" si="139"/>
        <v>0</v>
      </c>
      <c r="T361">
        <f t="shared" si="140"/>
        <v>0</v>
      </c>
      <c r="U361">
        <f t="shared" si="141"/>
        <v>0</v>
      </c>
      <c r="V361">
        <f t="shared" si="142"/>
        <v>0</v>
      </c>
      <c r="W361">
        <f t="shared" si="143"/>
        <v>0</v>
      </c>
      <c r="X361">
        <f t="shared" si="144"/>
        <v>1</v>
      </c>
      <c r="Y361">
        <f t="shared" si="145"/>
        <v>0</v>
      </c>
      <c r="Z361">
        <f t="shared" si="146"/>
        <v>0</v>
      </c>
      <c r="AA361">
        <f t="shared" si="147"/>
        <v>0</v>
      </c>
      <c r="AB361">
        <f t="shared" si="130"/>
        <v>0</v>
      </c>
      <c r="AC361">
        <f t="shared" si="131"/>
        <v>0</v>
      </c>
      <c r="AD361">
        <f t="shared" si="132"/>
        <v>0</v>
      </c>
      <c r="AE361">
        <f t="shared" si="133"/>
        <v>0</v>
      </c>
      <c r="AF361">
        <f t="shared" si="134"/>
        <v>1</v>
      </c>
      <c r="AG361">
        <f t="shared" si="135"/>
        <v>1</v>
      </c>
      <c r="AH361">
        <f t="shared" si="148"/>
        <v>0</v>
      </c>
      <c r="AI361">
        <f t="shared" si="154"/>
        <v>0</v>
      </c>
      <c r="AJ361">
        <f t="shared" si="154"/>
        <v>1</v>
      </c>
      <c r="AK361">
        <f t="shared" si="154"/>
        <v>0</v>
      </c>
      <c r="AL361">
        <f t="shared" si="154"/>
        <v>0</v>
      </c>
      <c r="AM361">
        <f t="shared" si="154"/>
        <v>0</v>
      </c>
      <c r="AN361">
        <f t="shared" si="154"/>
        <v>0</v>
      </c>
      <c r="AO361">
        <f t="shared" si="154"/>
        <v>0</v>
      </c>
      <c r="AP361">
        <f t="shared" si="154"/>
        <v>0</v>
      </c>
      <c r="AQ361">
        <f t="shared" si="154"/>
        <v>0</v>
      </c>
      <c r="AR361">
        <f t="shared" si="154"/>
        <v>0</v>
      </c>
      <c r="AS361">
        <f t="shared" si="154"/>
        <v>0</v>
      </c>
      <c r="AT361">
        <f t="shared" si="154"/>
        <v>0</v>
      </c>
      <c r="AU361">
        <f t="shared" si="154"/>
        <v>0</v>
      </c>
      <c r="AV361">
        <f t="shared" si="154"/>
        <v>0</v>
      </c>
      <c r="AW361">
        <f t="shared" si="154"/>
        <v>0</v>
      </c>
      <c r="AX361">
        <f t="shared" si="150"/>
        <v>0</v>
      </c>
      <c r="AY361">
        <f t="shared" si="150"/>
        <v>0</v>
      </c>
      <c r="AZ361">
        <f t="shared" si="150"/>
        <v>0</v>
      </c>
      <c r="BA361">
        <f t="shared" si="151"/>
        <v>1</v>
      </c>
      <c r="BB361">
        <f t="shared" si="152"/>
        <v>1</v>
      </c>
    </row>
    <row r="362" spans="1:54">
      <c r="A362">
        <v>359</v>
      </c>
      <c r="B362" t="s">
        <v>20</v>
      </c>
      <c r="C362" t="s">
        <v>29</v>
      </c>
      <c r="D362" t="s">
        <v>22</v>
      </c>
      <c r="E362" t="s">
        <v>30</v>
      </c>
      <c r="F362" t="s">
        <v>21</v>
      </c>
      <c r="G362" t="s">
        <v>22</v>
      </c>
      <c r="H362" s="3">
        <v>2.9112897030735101E-2</v>
      </c>
      <c r="I362" s="3">
        <v>2.8648327912016901E-2</v>
      </c>
      <c r="J362" s="3">
        <v>2.53905240281301E-2</v>
      </c>
      <c r="K362" s="3">
        <v>2.7108281467177399E-2</v>
      </c>
      <c r="L362" s="3">
        <v>2.1632006785965999E-2</v>
      </c>
      <c r="M362" s="3">
        <v>1.7624345528246099E-2</v>
      </c>
      <c r="N362" s="3">
        <v>3.0505243088655799E-2</v>
      </c>
      <c r="O362" s="3">
        <v>2.27346890175616E-2</v>
      </c>
      <c r="P362">
        <f t="shared" si="136"/>
        <v>0</v>
      </c>
      <c r="Q362">
        <f t="shared" si="137"/>
        <v>0</v>
      </c>
      <c r="R362">
        <f t="shared" si="138"/>
        <v>0</v>
      </c>
      <c r="S362">
        <f t="shared" si="139"/>
        <v>0</v>
      </c>
      <c r="T362">
        <f t="shared" si="140"/>
        <v>1</v>
      </c>
      <c r="U362">
        <f t="shared" si="141"/>
        <v>0</v>
      </c>
      <c r="V362">
        <f t="shared" si="142"/>
        <v>0</v>
      </c>
      <c r="W362">
        <f t="shared" si="143"/>
        <v>0</v>
      </c>
      <c r="X362">
        <f t="shared" si="144"/>
        <v>1</v>
      </c>
      <c r="Y362">
        <f t="shared" si="145"/>
        <v>0</v>
      </c>
      <c r="Z362">
        <f t="shared" si="146"/>
        <v>0</v>
      </c>
      <c r="AA362">
        <f t="shared" si="147"/>
        <v>0</v>
      </c>
      <c r="AB362">
        <f t="shared" si="130"/>
        <v>0</v>
      </c>
      <c r="AC362">
        <f t="shared" si="131"/>
        <v>1</v>
      </c>
      <c r="AD362">
        <f t="shared" si="132"/>
        <v>0</v>
      </c>
      <c r="AE362">
        <f t="shared" si="133"/>
        <v>0</v>
      </c>
      <c r="AF362">
        <f t="shared" si="134"/>
        <v>0</v>
      </c>
      <c r="AG362">
        <f t="shared" si="135"/>
        <v>0</v>
      </c>
      <c r="AH362">
        <f t="shared" si="148"/>
        <v>1</v>
      </c>
      <c r="AI362">
        <f t="shared" si="154"/>
        <v>0</v>
      </c>
      <c r="AJ362">
        <f t="shared" si="154"/>
        <v>0</v>
      </c>
      <c r="AK362">
        <f t="shared" si="154"/>
        <v>0</v>
      </c>
      <c r="AL362">
        <f t="shared" si="154"/>
        <v>0</v>
      </c>
      <c r="AM362">
        <f t="shared" si="154"/>
        <v>0</v>
      </c>
      <c r="AN362">
        <f t="shared" si="154"/>
        <v>0</v>
      </c>
      <c r="AO362">
        <f t="shared" si="154"/>
        <v>0</v>
      </c>
      <c r="AP362">
        <f t="shared" si="154"/>
        <v>0</v>
      </c>
      <c r="AQ362">
        <f t="shared" si="154"/>
        <v>0</v>
      </c>
      <c r="AR362">
        <f t="shared" si="154"/>
        <v>0</v>
      </c>
      <c r="AS362">
        <f t="shared" si="154"/>
        <v>0</v>
      </c>
      <c r="AT362">
        <f t="shared" si="154"/>
        <v>0</v>
      </c>
      <c r="AU362">
        <f t="shared" si="154"/>
        <v>0</v>
      </c>
      <c r="AV362">
        <f t="shared" si="154"/>
        <v>0</v>
      </c>
      <c r="AW362">
        <f t="shared" si="154"/>
        <v>0</v>
      </c>
      <c r="AX362">
        <f t="shared" si="150"/>
        <v>0</v>
      </c>
      <c r="AY362">
        <f t="shared" si="150"/>
        <v>0</v>
      </c>
      <c r="AZ362">
        <f t="shared" si="150"/>
        <v>1</v>
      </c>
      <c r="BA362">
        <f t="shared" si="151"/>
        <v>0</v>
      </c>
      <c r="BB362">
        <f t="shared" si="152"/>
        <v>1</v>
      </c>
    </row>
    <row r="363" spans="1:54">
      <c r="A363">
        <v>360</v>
      </c>
      <c r="B363" t="s">
        <v>20</v>
      </c>
      <c r="C363" t="s">
        <v>29</v>
      </c>
      <c r="D363" t="s">
        <v>22</v>
      </c>
      <c r="E363" t="s">
        <v>30</v>
      </c>
      <c r="F363" t="s">
        <v>21</v>
      </c>
      <c r="G363" t="s">
        <v>23</v>
      </c>
      <c r="H363" s="3">
        <v>3.1155797359784999E-2</v>
      </c>
      <c r="I363" s="3">
        <v>3.0404079467363E-2</v>
      </c>
      <c r="J363" s="3">
        <v>2.64888888730925E-2</v>
      </c>
      <c r="K363" s="3">
        <v>2.83836567516626E-2</v>
      </c>
      <c r="L363" s="3">
        <v>2.01048886746392E-2</v>
      </c>
      <c r="M363" s="3">
        <v>1.54743930821672E-2</v>
      </c>
      <c r="N363" s="3">
        <v>3.2888465204957099E-2</v>
      </c>
      <c r="O363" s="3">
        <v>2.2228822799490299E-2</v>
      </c>
      <c r="P363">
        <f t="shared" si="136"/>
        <v>0</v>
      </c>
      <c r="Q363">
        <f t="shared" si="137"/>
        <v>0</v>
      </c>
      <c r="R363">
        <f t="shared" si="138"/>
        <v>0</v>
      </c>
      <c r="S363">
        <f t="shared" si="139"/>
        <v>0</v>
      </c>
      <c r="T363">
        <f t="shared" si="140"/>
        <v>0</v>
      </c>
      <c r="U363">
        <f t="shared" si="141"/>
        <v>1</v>
      </c>
      <c r="V363">
        <f t="shared" si="142"/>
        <v>0</v>
      </c>
      <c r="W363">
        <f t="shared" si="143"/>
        <v>0</v>
      </c>
      <c r="X363">
        <f t="shared" si="144"/>
        <v>1</v>
      </c>
      <c r="Y363">
        <f t="shared" si="145"/>
        <v>0</v>
      </c>
      <c r="Z363">
        <f t="shared" si="146"/>
        <v>0</v>
      </c>
      <c r="AA363">
        <f t="shared" si="147"/>
        <v>0</v>
      </c>
      <c r="AB363">
        <f t="shared" si="130"/>
        <v>0</v>
      </c>
      <c r="AC363">
        <f t="shared" si="131"/>
        <v>1</v>
      </c>
      <c r="AD363">
        <f t="shared" si="132"/>
        <v>0</v>
      </c>
      <c r="AE363">
        <f t="shared" si="133"/>
        <v>0</v>
      </c>
      <c r="AF363">
        <f t="shared" si="134"/>
        <v>0</v>
      </c>
      <c r="AG363">
        <f t="shared" si="135"/>
        <v>0</v>
      </c>
      <c r="AH363">
        <f t="shared" si="148"/>
        <v>1</v>
      </c>
      <c r="AI363">
        <f t="shared" si="154"/>
        <v>0</v>
      </c>
      <c r="AJ363">
        <f t="shared" si="154"/>
        <v>0</v>
      </c>
      <c r="AK363">
        <f t="shared" si="154"/>
        <v>0</v>
      </c>
      <c r="AL363">
        <f t="shared" si="154"/>
        <v>0</v>
      </c>
      <c r="AM363">
        <f t="shared" si="154"/>
        <v>0</v>
      </c>
      <c r="AN363">
        <f t="shared" si="154"/>
        <v>0</v>
      </c>
      <c r="AO363">
        <f t="shared" si="154"/>
        <v>0</v>
      </c>
      <c r="AP363">
        <f t="shared" si="154"/>
        <v>0</v>
      </c>
      <c r="AQ363">
        <f t="shared" si="154"/>
        <v>0</v>
      </c>
      <c r="AR363">
        <f t="shared" si="154"/>
        <v>1</v>
      </c>
      <c r="AS363">
        <f t="shared" si="154"/>
        <v>0</v>
      </c>
      <c r="AT363">
        <f t="shared" si="154"/>
        <v>0</v>
      </c>
      <c r="AU363">
        <f t="shared" si="154"/>
        <v>0</v>
      </c>
      <c r="AV363">
        <f t="shared" si="154"/>
        <v>0</v>
      </c>
      <c r="AW363">
        <f t="shared" si="154"/>
        <v>0</v>
      </c>
      <c r="AX363">
        <f t="shared" si="150"/>
        <v>0</v>
      </c>
      <c r="AY363">
        <f t="shared" si="150"/>
        <v>0</v>
      </c>
      <c r="AZ363">
        <f t="shared" si="150"/>
        <v>1</v>
      </c>
      <c r="BA363">
        <f t="shared" si="151"/>
        <v>0</v>
      </c>
      <c r="BB363">
        <f t="shared" si="152"/>
        <v>1</v>
      </c>
    </row>
    <row r="364" spans="1:54">
      <c r="A364">
        <v>361</v>
      </c>
      <c r="B364" t="s">
        <v>20</v>
      </c>
      <c r="C364" t="s">
        <v>29</v>
      </c>
      <c r="D364" t="s">
        <v>22</v>
      </c>
      <c r="E364" t="s">
        <v>30</v>
      </c>
      <c r="F364" t="s">
        <v>21</v>
      </c>
      <c r="G364" t="s">
        <v>24</v>
      </c>
      <c r="H364" s="3">
        <v>0.68513150813743195</v>
      </c>
      <c r="I364" s="3">
        <v>0.67959365293794805</v>
      </c>
      <c r="J364" s="3">
        <v>0.50044608445648098</v>
      </c>
      <c r="K364" s="3">
        <v>0.58685797470409695</v>
      </c>
      <c r="L364" s="3">
        <v>0.36905022611965099</v>
      </c>
      <c r="M364" s="3">
        <v>0.26840936601337601</v>
      </c>
      <c r="N364" s="3">
        <v>0.83320095313741005</v>
      </c>
      <c r="O364" s="3">
        <v>0.38288916308955501</v>
      </c>
      <c r="P364">
        <f t="shared" si="136"/>
        <v>0</v>
      </c>
      <c r="Q364">
        <f t="shared" si="137"/>
        <v>0</v>
      </c>
      <c r="R364">
        <f t="shared" si="138"/>
        <v>0</v>
      </c>
      <c r="S364">
        <f t="shared" si="139"/>
        <v>0</v>
      </c>
      <c r="T364">
        <f t="shared" si="140"/>
        <v>0</v>
      </c>
      <c r="U364">
        <f t="shared" si="141"/>
        <v>0</v>
      </c>
      <c r="V364">
        <f t="shared" si="142"/>
        <v>1</v>
      </c>
      <c r="W364">
        <f t="shared" si="143"/>
        <v>0</v>
      </c>
      <c r="X364">
        <f t="shared" si="144"/>
        <v>1</v>
      </c>
      <c r="Y364">
        <f t="shared" si="145"/>
        <v>0</v>
      </c>
      <c r="Z364">
        <f t="shared" si="146"/>
        <v>0</v>
      </c>
      <c r="AA364">
        <f t="shared" si="147"/>
        <v>0</v>
      </c>
      <c r="AB364">
        <f t="shared" si="130"/>
        <v>0</v>
      </c>
      <c r="AC364">
        <f t="shared" si="131"/>
        <v>0</v>
      </c>
      <c r="AD364">
        <f t="shared" si="132"/>
        <v>0</v>
      </c>
      <c r="AE364">
        <f t="shared" si="133"/>
        <v>0</v>
      </c>
      <c r="AF364">
        <f t="shared" si="134"/>
        <v>0</v>
      </c>
      <c r="AG364">
        <f t="shared" si="135"/>
        <v>0</v>
      </c>
      <c r="AH364">
        <f t="shared" si="148"/>
        <v>0</v>
      </c>
      <c r="AI364">
        <f t="shared" si="154"/>
        <v>0</v>
      </c>
      <c r="AJ364">
        <f t="shared" si="154"/>
        <v>0</v>
      </c>
      <c r="AK364">
        <f t="shared" si="154"/>
        <v>0</v>
      </c>
      <c r="AL364">
        <f t="shared" si="154"/>
        <v>0</v>
      </c>
      <c r="AM364">
        <f t="shared" si="154"/>
        <v>0</v>
      </c>
      <c r="AN364">
        <f t="shared" si="154"/>
        <v>0</v>
      </c>
      <c r="AO364">
        <f t="shared" si="154"/>
        <v>0</v>
      </c>
      <c r="AP364">
        <f t="shared" si="154"/>
        <v>0</v>
      </c>
      <c r="AQ364">
        <f t="shared" si="154"/>
        <v>0</v>
      </c>
      <c r="AR364">
        <f t="shared" si="154"/>
        <v>0</v>
      </c>
      <c r="AS364">
        <f t="shared" si="154"/>
        <v>1</v>
      </c>
      <c r="AT364">
        <f t="shared" si="154"/>
        <v>0</v>
      </c>
      <c r="AU364">
        <f t="shared" si="154"/>
        <v>0</v>
      </c>
      <c r="AV364">
        <f t="shared" si="154"/>
        <v>0</v>
      </c>
      <c r="AW364">
        <f t="shared" si="154"/>
        <v>0</v>
      </c>
      <c r="AX364">
        <f t="shared" si="150"/>
        <v>0</v>
      </c>
      <c r="AY364">
        <f t="shared" si="150"/>
        <v>0</v>
      </c>
      <c r="AZ364">
        <f t="shared" si="150"/>
        <v>1</v>
      </c>
      <c r="BA364">
        <f t="shared" si="151"/>
        <v>0</v>
      </c>
      <c r="BB364">
        <f t="shared" si="152"/>
        <v>1</v>
      </c>
    </row>
    <row r="365" spans="1:54">
      <c r="A365">
        <v>362</v>
      </c>
      <c r="B365" t="s">
        <v>20</v>
      </c>
      <c r="C365" t="s">
        <v>29</v>
      </c>
      <c r="D365" t="s">
        <v>22</v>
      </c>
      <c r="E365" t="s">
        <v>30</v>
      </c>
      <c r="F365" t="s">
        <v>21</v>
      </c>
      <c r="G365" t="s">
        <v>25</v>
      </c>
      <c r="H365" s="3">
        <v>0.56413237039792097</v>
      </c>
      <c r="I365" s="3">
        <v>0.54915976508640496</v>
      </c>
      <c r="J365" s="3">
        <v>0.46674874559978202</v>
      </c>
      <c r="K365" s="3">
        <v>0.49281295784407902</v>
      </c>
      <c r="L365" s="3">
        <v>0.35441465041394599</v>
      </c>
      <c r="M365" s="3">
        <v>0.27058504732448702</v>
      </c>
      <c r="N365" s="3">
        <v>0.62889688249400399</v>
      </c>
      <c r="O365" s="3">
        <v>0.37560893644655002</v>
      </c>
      <c r="P365">
        <f t="shared" si="136"/>
        <v>0</v>
      </c>
      <c r="Q365">
        <f t="shared" si="137"/>
        <v>0</v>
      </c>
      <c r="R365">
        <f t="shared" si="138"/>
        <v>0</v>
      </c>
      <c r="S365">
        <f t="shared" si="139"/>
        <v>0</v>
      </c>
      <c r="T365">
        <f t="shared" si="140"/>
        <v>0</v>
      </c>
      <c r="U365">
        <f t="shared" si="141"/>
        <v>0</v>
      </c>
      <c r="V365">
        <f t="shared" si="142"/>
        <v>0</v>
      </c>
      <c r="W365">
        <f t="shared" si="143"/>
        <v>0</v>
      </c>
      <c r="X365">
        <f t="shared" si="144"/>
        <v>1</v>
      </c>
      <c r="Y365">
        <f t="shared" si="145"/>
        <v>0</v>
      </c>
      <c r="Z365">
        <f t="shared" si="146"/>
        <v>0</v>
      </c>
      <c r="AA365">
        <f t="shared" si="147"/>
        <v>0</v>
      </c>
      <c r="AB365">
        <f t="shared" si="130"/>
        <v>0</v>
      </c>
      <c r="AC365">
        <f t="shared" si="131"/>
        <v>0</v>
      </c>
      <c r="AD365">
        <f t="shared" si="132"/>
        <v>0</v>
      </c>
      <c r="AE365">
        <f t="shared" si="133"/>
        <v>0</v>
      </c>
      <c r="AF365">
        <f t="shared" si="134"/>
        <v>0</v>
      </c>
      <c r="AG365">
        <f t="shared" si="135"/>
        <v>0</v>
      </c>
      <c r="AH365">
        <f t="shared" si="148"/>
        <v>0</v>
      </c>
      <c r="AI365">
        <f t="shared" si="154"/>
        <v>0</v>
      </c>
      <c r="AJ365">
        <f t="shared" si="154"/>
        <v>0</v>
      </c>
      <c r="AK365">
        <f t="shared" si="154"/>
        <v>0</v>
      </c>
      <c r="AL365">
        <f t="shared" si="154"/>
        <v>0</v>
      </c>
      <c r="AM365">
        <f t="shared" si="154"/>
        <v>0</v>
      </c>
      <c r="AN365">
        <f t="shared" si="154"/>
        <v>1</v>
      </c>
      <c r="AO365">
        <f t="shared" si="154"/>
        <v>0</v>
      </c>
      <c r="AP365">
        <f t="shared" si="154"/>
        <v>0</v>
      </c>
      <c r="AQ365">
        <f t="shared" si="154"/>
        <v>0</v>
      </c>
      <c r="AR365">
        <f t="shared" si="154"/>
        <v>0</v>
      </c>
      <c r="AS365">
        <f t="shared" si="154"/>
        <v>0</v>
      </c>
      <c r="AT365">
        <f t="shared" si="154"/>
        <v>0</v>
      </c>
      <c r="AU365">
        <f t="shared" si="154"/>
        <v>0</v>
      </c>
      <c r="AV365">
        <f t="shared" si="154"/>
        <v>0</v>
      </c>
      <c r="AW365">
        <f t="shared" si="154"/>
        <v>0</v>
      </c>
      <c r="AX365">
        <f t="shared" si="150"/>
        <v>0</v>
      </c>
      <c r="AY365">
        <f t="shared" si="150"/>
        <v>0</v>
      </c>
      <c r="AZ365">
        <f t="shared" si="150"/>
        <v>1</v>
      </c>
      <c r="BA365">
        <f t="shared" si="151"/>
        <v>1</v>
      </c>
      <c r="BB365">
        <f t="shared" si="152"/>
        <v>1</v>
      </c>
    </row>
    <row r="366" spans="1:54">
      <c r="A366">
        <v>363</v>
      </c>
      <c r="B366" t="s">
        <v>20</v>
      </c>
      <c r="C366" t="s">
        <v>29</v>
      </c>
      <c r="D366" t="s">
        <v>22</v>
      </c>
      <c r="E366" t="s">
        <v>30</v>
      </c>
      <c r="F366" t="s">
        <v>21</v>
      </c>
      <c r="G366" t="s">
        <v>26</v>
      </c>
      <c r="H366" s="3">
        <v>0.57122666471596295</v>
      </c>
      <c r="I366" s="3">
        <v>0.55611539407830701</v>
      </c>
      <c r="J366" s="3">
        <v>0.47225371983050002</v>
      </c>
      <c r="K366" s="3">
        <v>0.49912624498040897</v>
      </c>
      <c r="L366" s="3">
        <v>0.35910202358962101</v>
      </c>
      <c r="M366" s="3">
        <v>0.27433762213254298</v>
      </c>
      <c r="N366" s="3">
        <v>0.63672230652503703</v>
      </c>
      <c r="O366" s="3">
        <v>0.38047866509746903</v>
      </c>
      <c r="P366">
        <f t="shared" si="136"/>
        <v>0</v>
      </c>
      <c r="Q366">
        <f t="shared" si="137"/>
        <v>0</v>
      </c>
      <c r="R366">
        <f t="shared" si="138"/>
        <v>0</v>
      </c>
      <c r="S366">
        <f t="shared" si="139"/>
        <v>0</v>
      </c>
      <c r="T366">
        <f t="shared" si="140"/>
        <v>0</v>
      </c>
      <c r="U366">
        <f t="shared" si="141"/>
        <v>0</v>
      </c>
      <c r="V366">
        <f t="shared" si="142"/>
        <v>0</v>
      </c>
      <c r="W366">
        <f t="shared" si="143"/>
        <v>0</v>
      </c>
      <c r="X366">
        <f t="shared" si="144"/>
        <v>1</v>
      </c>
      <c r="Y366">
        <f t="shared" si="145"/>
        <v>0</v>
      </c>
      <c r="Z366">
        <f t="shared" si="146"/>
        <v>0</v>
      </c>
      <c r="AA366">
        <f t="shared" si="147"/>
        <v>0</v>
      </c>
      <c r="AB366">
        <f t="shared" si="130"/>
        <v>0</v>
      </c>
      <c r="AC366">
        <f t="shared" si="131"/>
        <v>0</v>
      </c>
      <c r="AD366">
        <f t="shared" si="132"/>
        <v>0</v>
      </c>
      <c r="AE366">
        <f t="shared" si="133"/>
        <v>0</v>
      </c>
      <c r="AF366">
        <f t="shared" si="134"/>
        <v>0</v>
      </c>
      <c r="AG366">
        <f t="shared" si="135"/>
        <v>0</v>
      </c>
      <c r="AH366">
        <f t="shared" si="148"/>
        <v>0</v>
      </c>
      <c r="AI366">
        <f t="shared" si="154"/>
        <v>0</v>
      </c>
      <c r="AJ366">
        <f t="shared" si="154"/>
        <v>1</v>
      </c>
      <c r="AK366">
        <f t="shared" si="154"/>
        <v>0</v>
      </c>
      <c r="AL366">
        <f t="shared" si="154"/>
        <v>0</v>
      </c>
      <c r="AM366">
        <f t="shared" si="154"/>
        <v>0</v>
      </c>
      <c r="AN366">
        <f t="shared" si="154"/>
        <v>0</v>
      </c>
      <c r="AO366">
        <f t="shared" si="154"/>
        <v>0</v>
      </c>
      <c r="AP366">
        <f t="shared" si="154"/>
        <v>0</v>
      </c>
      <c r="AQ366">
        <f t="shared" si="154"/>
        <v>0</v>
      </c>
      <c r="AR366">
        <f t="shared" si="154"/>
        <v>0</v>
      </c>
      <c r="AS366">
        <f t="shared" si="154"/>
        <v>0</v>
      </c>
      <c r="AT366">
        <f t="shared" si="154"/>
        <v>0</v>
      </c>
      <c r="AU366">
        <f t="shared" si="154"/>
        <v>0</v>
      </c>
      <c r="AV366">
        <f t="shared" si="154"/>
        <v>0</v>
      </c>
      <c r="AW366">
        <f t="shared" si="154"/>
        <v>0</v>
      </c>
      <c r="AX366">
        <f t="shared" si="150"/>
        <v>0</v>
      </c>
      <c r="AY366">
        <f t="shared" si="150"/>
        <v>0</v>
      </c>
      <c r="AZ366">
        <f t="shared" si="150"/>
        <v>1</v>
      </c>
      <c r="BA366">
        <f t="shared" si="151"/>
        <v>1</v>
      </c>
      <c r="BB366">
        <f t="shared" si="152"/>
        <v>1</v>
      </c>
    </row>
    <row r="367" spans="1:54">
      <c r="A367">
        <v>364</v>
      </c>
      <c r="B367" t="s">
        <v>20</v>
      </c>
      <c r="C367" t="s">
        <v>29</v>
      </c>
      <c r="D367" t="s">
        <v>22</v>
      </c>
      <c r="E367" t="s">
        <v>30</v>
      </c>
      <c r="F367" t="s">
        <v>21</v>
      </c>
      <c r="G367" t="s">
        <v>27</v>
      </c>
      <c r="H367" s="3">
        <v>0.37298753399895002</v>
      </c>
      <c r="I367" s="3">
        <v>0.35579160524654002</v>
      </c>
      <c r="J367" s="3">
        <v>0.31400271879133002</v>
      </c>
      <c r="K367" s="3">
        <v>0.30951771397081401</v>
      </c>
      <c r="L367" s="3">
        <v>0.26250834182113297</v>
      </c>
      <c r="M367" s="3">
        <v>0.20652100674132601</v>
      </c>
      <c r="N367" s="3">
        <v>0.47140133460438499</v>
      </c>
      <c r="O367" s="3">
        <v>0.25409064668611497</v>
      </c>
      <c r="P367">
        <f t="shared" si="136"/>
        <v>0</v>
      </c>
      <c r="Q367">
        <f t="shared" si="137"/>
        <v>0</v>
      </c>
      <c r="R367">
        <f t="shared" si="138"/>
        <v>0</v>
      </c>
      <c r="S367">
        <f t="shared" si="139"/>
        <v>0</v>
      </c>
      <c r="T367">
        <f t="shared" si="140"/>
        <v>0</v>
      </c>
      <c r="U367">
        <f t="shared" si="141"/>
        <v>0</v>
      </c>
      <c r="V367">
        <f t="shared" si="142"/>
        <v>0</v>
      </c>
      <c r="W367">
        <f t="shared" si="143"/>
        <v>1</v>
      </c>
      <c r="X367">
        <f t="shared" si="144"/>
        <v>1</v>
      </c>
      <c r="Y367">
        <f t="shared" si="145"/>
        <v>0</v>
      </c>
      <c r="Z367">
        <f t="shared" si="146"/>
        <v>0</v>
      </c>
      <c r="AA367">
        <f t="shared" si="147"/>
        <v>0</v>
      </c>
      <c r="AB367">
        <f t="shared" si="130"/>
        <v>0</v>
      </c>
      <c r="AC367">
        <f t="shared" si="131"/>
        <v>0</v>
      </c>
      <c r="AD367">
        <f t="shared" si="132"/>
        <v>0</v>
      </c>
      <c r="AE367">
        <f t="shared" si="133"/>
        <v>0</v>
      </c>
      <c r="AF367">
        <f t="shared" si="134"/>
        <v>0</v>
      </c>
      <c r="AG367">
        <f t="shared" si="135"/>
        <v>0</v>
      </c>
      <c r="AH367">
        <f t="shared" si="148"/>
        <v>0</v>
      </c>
      <c r="AI367">
        <f t="shared" si="154"/>
        <v>0</v>
      </c>
      <c r="AJ367">
        <f t="shared" si="154"/>
        <v>0</v>
      </c>
      <c r="AK367">
        <f t="shared" si="154"/>
        <v>0</v>
      </c>
      <c r="AL367">
        <f t="shared" si="154"/>
        <v>0</v>
      </c>
      <c r="AM367">
        <f t="shared" si="154"/>
        <v>0</v>
      </c>
      <c r="AN367">
        <f t="shared" si="154"/>
        <v>0</v>
      </c>
      <c r="AO367">
        <f t="shared" si="154"/>
        <v>0</v>
      </c>
      <c r="AP367">
        <f t="shared" si="154"/>
        <v>0</v>
      </c>
      <c r="AQ367">
        <f t="shared" si="154"/>
        <v>0</v>
      </c>
      <c r="AR367">
        <f t="shared" si="154"/>
        <v>0</v>
      </c>
      <c r="AS367">
        <f t="shared" si="154"/>
        <v>0</v>
      </c>
      <c r="AT367">
        <f t="shared" si="154"/>
        <v>1</v>
      </c>
      <c r="AU367">
        <f t="shared" si="154"/>
        <v>0</v>
      </c>
      <c r="AV367">
        <f t="shared" si="154"/>
        <v>0</v>
      </c>
      <c r="AW367">
        <f t="shared" si="154"/>
        <v>0</v>
      </c>
      <c r="AX367">
        <f t="shared" si="150"/>
        <v>0</v>
      </c>
      <c r="AY367">
        <f t="shared" si="150"/>
        <v>0</v>
      </c>
      <c r="AZ367">
        <f t="shared" si="150"/>
        <v>1</v>
      </c>
      <c r="BA367">
        <f t="shared" si="151"/>
        <v>0</v>
      </c>
      <c r="BB367">
        <f t="shared" si="152"/>
        <v>1</v>
      </c>
    </row>
    <row r="368" spans="1:54">
      <c r="A368">
        <v>365</v>
      </c>
      <c r="B368" t="s">
        <v>20</v>
      </c>
      <c r="C368" t="s">
        <v>29</v>
      </c>
      <c r="D368" t="s">
        <v>22</v>
      </c>
      <c r="E368" t="s">
        <v>30</v>
      </c>
      <c r="F368" t="s">
        <v>28</v>
      </c>
      <c r="G368" t="s">
        <v>22</v>
      </c>
      <c r="H368" s="3">
        <v>3.1291821772106598E-2</v>
      </c>
      <c r="I368" s="3">
        <v>3.1158324863124399E-2</v>
      </c>
      <c r="J368" s="3">
        <v>2.7164264929950499E-2</v>
      </c>
      <c r="K368" s="3">
        <v>2.9369693979145801E-2</v>
      </c>
      <c r="L368" s="3">
        <v>2.28319152041822E-2</v>
      </c>
      <c r="M368" s="3">
        <v>1.8772485962153002E-2</v>
      </c>
      <c r="N368" s="3">
        <v>3.3365109628217302E-2</v>
      </c>
      <c r="O368" s="3">
        <v>2.38675670847464E-2</v>
      </c>
      <c r="P368">
        <f t="shared" si="136"/>
        <v>1</v>
      </c>
      <c r="Q368">
        <f t="shared" si="137"/>
        <v>0</v>
      </c>
      <c r="R368">
        <f t="shared" si="138"/>
        <v>0</v>
      </c>
      <c r="S368">
        <f t="shared" si="139"/>
        <v>0</v>
      </c>
      <c r="T368">
        <f t="shared" si="140"/>
        <v>0</v>
      </c>
      <c r="U368">
        <f t="shared" si="141"/>
        <v>0</v>
      </c>
      <c r="V368">
        <f t="shared" si="142"/>
        <v>0</v>
      </c>
      <c r="W368">
        <f t="shared" si="143"/>
        <v>0</v>
      </c>
      <c r="X368">
        <f t="shared" si="144"/>
        <v>1</v>
      </c>
      <c r="Y368">
        <f t="shared" si="145"/>
        <v>0</v>
      </c>
      <c r="Z368">
        <f t="shared" si="146"/>
        <v>0</v>
      </c>
      <c r="AA368">
        <f t="shared" si="147"/>
        <v>0</v>
      </c>
      <c r="AB368">
        <f t="shared" si="130"/>
        <v>0</v>
      </c>
      <c r="AC368">
        <f t="shared" si="131"/>
        <v>1</v>
      </c>
      <c r="AD368">
        <f t="shared" si="132"/>
        <v>0</v>
      </c>
      <c r="AE368">
        <f t="shared" si="133"/>
        <v>0</v>
      </c>
      <c r="AF368">
        <f t="shared" si="134"/>
        <v>0</v>
      </c>
      <c r="AG368">
        <f t="shared" si="135"/>
        <v>0</v>
      </c>
      <c r="AH368">
        <f t="shared" si="148"/>
        <v>1</v>
      </c>
      <c r="AI368">
        <f t="shared" si="154"/>
        <v>0</v>
      </c>
      <c r="AJ368">
        <f t="shared" si="154"/>
        <v>0</v>
      </c>
      <c r="AK368">
        <f t="shared" si="154"/>
        <v>0</v>
      </c>
      <c r="AL368">
        <f t="shared" si="154"/>
        <v>0</v>
      </c>
      <c r="AM368">
        <f t="shared" si="154"/>
        <v>0</v>
      </c>
      <c r="AN368">
        <f t="shared" si="154"/>
        <v>0</v>
      </c>
      <c r="AO368">
        <f t="shared" si="154"/>
        <v>0</v>
      </c>
      <c r="AP368">
        <f t="shared" si="154"/>
        <v>0</v>
      </c>
      <c r="AQ368">
        <f t="shared" si="154"/>
        <v>0</v>
      </c>
      <c r="AR368">
        <f t="shared" si="154"/>
        <v>0</v>
      </c>
      <c r="AS368">
        <f t="shared" si="154"/>
        <v>0</v>
      </c>
      <c r="AT368">
        <f t="shared" si="154"/>
        <v>0</v>
      </c>
      <c r="AU368">
        <f t="shared" si="154"/>
        <v>0</v>
      </c>
      <c r="AV368">
        <f t="shared" si="154"/>
        <v>0</v>
      </c>
      <c r="AW368">
        <f t="shared" si="154"/>
        <v>0</v>
      </c>
      <c r="AX368">
        <f t="shared" si="150"/>
        <v>0</v>
      </c>
      <c r="AY368">
        <f t="shared" si="150"/>
        <v>1</v>
      </c>
      <c r="AZ368">
        <f t="shared" si="150"/>
        <v>0</v>
      </c>
      <c r="BA368">
        <f t="shared" si="151"/>
        <v>0</v>
      </c>
      <c r="BB368">
        <f t="shared" si="152"/>
        <v>1</v>
      </c>
    </row>
    <row r="369" spans="1:54">
      <c r="A369">
        <v>366</v>
      </c>
      <c r="B369" t="s">
        <v>20</v>
      </c>
      <c r="C369" t="s">
        <v>29</v>
      </c>
      <c r="D369" t="s">
        <v>22</v>
      </c>
      <c r="E369" t="s">
        <v>30</v>
      </c>
      <c r="F369" t="s">
        <v>28</v>
      </c>
      <c r="G369" t="s">
        <v>23</v>
      </c>
      <c r="H369" s="3">
        <v>3.6995299807515702E-2</v>
      </c>
      <c r="I369" s="3">
        <v>3.6588083394903902E-2</v>
      </c>
      <c r="J369" s="3">
        <v>3.1462247895346497E-2</v>
      </c>
      <c r="K369" s="3">
        <v>3.4260127519567897E-2</v>
      </c>
      <c r="L369" s="3">
        <v>2.4427341706649501E-2</v>
      </c>
      <c r="M369" s="3">
        <v>1.9338311832412899E-2</v>
      </c>
      <c r="N369" s="3">
        <v>3.9561487130600502E-2</v>
      </c>
      <c r="O369" s="3">
        <v>2.64894882157161E-2</v>
      </c>
      <c r="P369">
        <f t="shared" si="136"/>
        <v>0</v>
      </c>
      <c r="Q369">
        <f t="shared" si="137"/>
        <v>1</v>
      </c>
      <c r="R369">
        <f t="shared" si="138"/>
        <v>0</v>
      </c>
      <c r="S369">
        <f t="shared" si="139"/>
        <v>0</v>
      </c>
      <c r="T369">
        <f t="shared" si="140"/>
        <v>0</v>
      </c>
      <c r="U369">
        <f t="shared" si="141"/>
        <v>0</v>
      </c>
      <c r="V369">
        <f t="shared" si="142"/>
        <v>0</v>
      </c>
      <c r="W369">
        <f t="shared" si="143"/>
        <v>0</v>
      </c>
      <c r="X369">
        <f t="shared" si="144"/>
        <v>1</v>
      </c>
      <c r="Y369">
        <f t="shared" si="145"/>
        <v>0</v>
      </c>
      <c r="Z369">
        <f t="shared" si="146"/>
        <v>0</v>
      </c>
      <c r="AA369">
        <f t="shared" si="147"/>
        <v>0</v>
      </c>
      <c r="AB369">
        <f t="shared" si="130"/>
        <v>0</v>
      </c>
      <c r="AC369">
        <f t="shared" si="131"/>
        <v>1</v>
      </c>
      <c r="AD369">
        <f t="shared" si="132"/>
        <v>0</v>
      </c>
      <c r="AE369">
        <f t="shared" si="133"/>
        <v>0</v>
      </c>
      <c r="AF369">
        <f t="shared" si="134"/>
        <v>0</v>
      </c>
      <c r="AG369">
        <f t="shared" si="135"/>
        <v>0</v>
      </c>
      <c r="AH369">
        <f t="shared" si="148"/>
        <v>1</v>
      </c>
      <c r="AI369">
        <f t="shared" si="154"/>
        <v>0</v>
      </c>
      <c r="AJ369">
        <f t="shared" si="154"/>
        <v>0</v>
      </c>
      <c r="AK369">
        <f t="shared" si="154"/>
        <v>0</v>
      </c>
      <c r="AL369">
        <f t="shared" si="154"/>
        <v>0</v>
      </c>
      <c r="AM369">
        <f t="shared" si="154"/>
        <v>0</v>
      </c>
      <c r="AN369">
        <f t="shared" si="154"/>
        <v>0</v>
      </c>
      <c r="AO369">
        <f t="shared" si="154"/>
        <v>0</v>
      </c>
      <c r="AP369">
        <f t="shared" si="154"/>
        <v>0</v>
      </c>
      <c r="AQ369">
        <f t="shared" si="154"/>
        <v>0</v>
      </c>
      <c r="AR369">
        <f t="shared" si="154"/>
        <v>1</v>
      </c>
      <c r="AS369">
        <f t="shared" si="154"/>
        <v>0</v>
      </c>
      <c r="AT369">
        <f t="shared" si="154"/>
        <v>0</v>
      </c>
      <c r="AU369">
        <f t="shared" si="154"/>
        <v>0</v>
      </c>
      <c r="AV369">
        <f t="shared" si="154"/>
        <v>0</v>
      </c>
      <c r="AW369">
        <f t="shared" si="154"/>
        <v>0</v>
      </c>
      <c r="AX369">
        <f t="shared" si="150"/>
        <v>0</v>
      </c>
      <c r="AY369">
        <f t="shared" si="150"/>
        <v>1</v>
      </c>
      <c r="AZ369">
        <f t="shared" si="150"/>
        <v>0</v>
      </c>
      <c r="BA369">
        <f t="shared" si="151"/>
        <v>0</v>
      </c>
      <c r="BB369">
        <f t="shared" si="152"/>
        <v>1</v>
      </c>
    </row>
    <row r="370" spans="1:54">
      <c r="A370">
        <v>367</v>
      </c>
      <c r="B370" t="s">
        <v>20</v>
      </c>
      <c r="C370" t="s">
        <v>29</v>
      </c>
      <c r="D370" t="s">
        <v>22</v>
      </c>
      <c r="E370" t="s">
        <v>30</v>
      </c>
      <c r="F370" t="s">
        <v>28</v>
      </c>
      <c r="G370" t="s">
        <v>24</v>
      </c>
      <c r="H370" s="3">
        <v>0.68004498555622706</v>
      </c>
      <c r="I370" s="3">
        <v>0.67135417855784496</v>
      </c>
      <c r="J370" s="3">
        <v>0.49691642295659999</v>
      </c>
      <c r="K370" s="3">
        <v>0.577811981705177</v>
      </c>
      <c r="L370" s="3">
        <v>0.35908811768233101</v>
      </c>
      <c r="M370" s="3">
        <v>0.26242510026340599</v>
      </c>
      <c r="N370" s="3">
        <v>0.83322564352967998</v>
      </c>
      <c r="O370" s="3">
        <v>0.380894452411215</v>
      </c>
      <c r="P370">
        <f t="shared" si="136"/>
        <v>0</v>
      </c>
      <c r="Q370">
        <f t="shared" si="137"/>
        <v>0</v>
      </c>
      <c r="R370">
        <f t="shared" si="138"/>
        <v>1</v>
      </c>
      <c r="S370">
        <f t="shared" si="139"/>
        <v>0</v>
      </c>
      <c r="T370">
        <f t="shared" si="140"/>
        <v>0</v>
      </c>
      <c r="U370">
        <f t="shared" si="141"/>
        <v>0</v>
      </c>
      <c r="V370">
        <f t="shared" si="142"/>
        <v>0</v>
      </c>
      <c r="W370">
        <f t="shared" si="143"/>
        <v>0</v>
      </c>
      <c r="X370">
        <f t="shared" si="144"/>
        <v>1</v>
      </c>
      <c r="Y370">
        <f t="shared" si="145"/>
        <v>0</v>
      </c>
      <c r="Z370">
        <f t="shared" si="146"/>
        <v>0</v>
      </c>
      <c r="AA370">
        <f t="shared" si="147"/>
        <v>0</v>
      </c>
      <c r="AB370">
        <f t="shared" si="130"/>
        <v>0</v>
      </c>
      <c r="AC370">
        <f t="shared" si="131"/>
        <v>0</v>
      </c>
      <c r="AD370">
        <f t="shared" si="132"/>
        <v>0</v>
      </c>
      <c r="AE370">
        <f t="shared" si="133"/>
        <v>0</v>
      </c>
      <c r="AF370">
        <f t="shared" si="134"/>
        <v>0</v>
      </c>
      <c r="AG370">
        <f t="shared" si="135"/>
        <v>0</v>
      </c>
      <c r="AH370">
        <f t="shared" si="148"/>
        <v>0</v>
      </c>
      <c r="AI370">
        <f t="shared" si="154"/>
        <v>0</v>
      </c>
      <c r="AJ370">
        <f t="shared" si="154"/>
        <v>0</v>
      </c>
      <c r="AK370">
        <f t="shared" si="154"/>
        <v>0</v>
      </c>
      <c r="AL370">
        <f t="shared" si="154"/>
        <v>0</v>
      </c>
      <c r="AM370">
        <f t="shared" si="154"/>
        <v>0</v>
      </c>
      <c r="AN370">
        <f t="shared" si="154"/>
        <v>0</v>
      </c>
      <c r="AO370">
        <f t="shared" si="154"/>
        <v>0</v>
      </c>
      <c r="AP370">
        <f t="shared" si="154"/>
        <v>0</v>
      </c>
      <c r="AQ370">
        <f t="shared" si="154"/>
        <v>0</v>
      </c>
      <c r="AR370">
        <f t="shared" si="154"/>
        <v>0</v>
      </c>
      <c r="AS370">
        <f t="shared" si="154"/>
        <v>1</v>
      </c>
      <c r="AT370">
        <f t="shared" si="154"/>
        <v>0</v>
      </c>
      <c r="AU370">
        <f t="shared" si="154"/>
        <v>0</v>
      </c>
      <c r="AV370">
        <f t="shared" si="154"/>
        <v>0</v>
      </c>
      <c r="AW370">
        <f t="shared" si="154"/>
        <v>0</v>
      </c>
      <c r="AX370">
        <f t="shared" si="150"/>
        <v>0</v>
      </c>
      <c r="AY370">
        <f t="shared" si="150"/>
        <v>1</v>
      </c>
      <c r="AZ370">
        <f t="shared" si="150"/>
        <v>0</v>
      </c>
      <c r="BA370">
        <f t="shared" si="151"/>
        <v>0</v>
      </c>
      <c r="BB370">
        <f t="shared" si="152"/>
        <v>1</v>
      </c>
    </row>
    <row r="371" spans="1:54">
      <c r="A371">
        <v>368</v>
      </c>
      <c r="B371" t="s">
        <v>20</v>
      </c>
      <c r="C371" t="s">
        <v>29</v>
      </c>
      <c r="D371" t="s">
        <v>22</v>
      </c>
      <c r="E371" t="s">
        <v>30</v>
      </c>
      <c r="F371" t="s">
        <v>28</v>
      </c>
      <c r="G371" t="s">
        <v>25</v>
      </c>
      <c r="H371" s="3">
        <v>0.55954109259337104</v>
      </c>
      <c r="I371" s="3">
        <v>0.54256086432156103</v>
      </c>
      <c r="J371" s="3">
        <v>0.46367371552562803</v>
      </c>
      <c r="K371" s="3">
        <v>0.48739645252800101</v>
      </c>
      <c r="L371" s="3">
        <v>0.35182338411002201</v>
      </c>
      <c r="M371" s="3">
        <v>0.269374978448921</v>
      </c>
      <c r="N371" s="3">
        <v>0.62034299231224099</v>
      </c>
      <c r="O371" s="3">
        <v>0.37313009455061602</v>
      </c>
      <c r="P371">
        <f t="shared" si="136"/>
        <v>0</v>
      </c>
      <c r="Q371">
        <f t="shared" si="137"/>
        <v>0</v>
      </c>
      <c r="R371">
        <f t="shared" si="138"/>
        <v>0</v>
      </c>
      <c r="S371">
        <f t="shared" si="139"/>
        <v>0</v>
      </c>
      <c r="T371">
        <f t="shared" si="140"/>
        <v>0</v>
      </c>
      <c r="U371">
        <f t="shared" si="141"/>
        <v>0</v>
      </c>
      <c r="V371">
        <f t="shared" si="142"/>
        <v>0</v>
      </c>
      <c r="W371">
        <f t="shared" si="143"/>
        <v>0</v>
      </c>
      <c r="X371">
        <f t="shared" si="144"/>
        <v>1</v>
      </c>
      <c r="Y371">
        <f t="shared" si="145"/>
        <v>0</v>
      </c>
      <c r="Z371">
        <f t="shared" si="146"/>
        <v>0</v>
      </c>
      <c r="AA371">
        <f t="shared" si="147"/>
        <v>0</v>
      </c>
      <c r="AB371">
        <f t="shared" si="130"/>
        <v>0</v>
      </c>
      <c r="AC371">
        <f t="shared" si="131"/>
        <v>0</v>
      </c>
      <c r="AD371">
        <f t="shared" si="132"/>
        <v>0</v>
      </c>
      <c r="AE371">
        <f t="shared" si="133"/>
        <v>0</v>
      </c>
      <c r="AF371">
        <f t="shared" si="134"/>
        <v>0</v>
      </c>
      <c r="AG371">
        <f t="shared" si="135"/>
        <v>0</v>
      </c>
      <c r="AH371">
        <f t="shared" si="148"/>
        <v>0</v>
      </c>
      <c r="AI371">
        <f t="shared" si="154"/>
        <v>0</v>
      </c>
      <c r="AJ371">
        <f t="shared" si="154"/>
        <v>0</v>
      </c>
      <c r="AK371">
        <f t="shared" si="154"/>
        <v>0</v>
      </c>
      <c r="AL371">
        <f t="shared" si="154"/>
        <v>0</v>
      </c>
      <c r="AM371">
        <f t="shared" si="154"/>
        <v>0</v>
      </c>
      <c r="AN371">
        <f t="shared" si="154"/>
        <v>1</v>
      </c>
      <c r="AO371">
        <f t="shared" si="154"/>
        <v>0</v>
      </c>
      <c r="AP371">
        <f t="shared" si="154"/>
        <v>0</v>
      </c>
      <c r="AQ371">
        <f t="shared" si="154"/>
        <v>0</v>
      </c>
      <c r="AR371">
        <f t="shared" si="154"/>
        <v>0</v>
      </c>
      <c r="AS371">
        <f t="shared" si="154"/>
        <v>0</v>
      </c>
      <c r="AT371">
        <f t="shared" si="154"/>
        <v>0</v>
      </c>
      <c r="AU371">
        <f t="shared" si="154"/>
        <v>0</v>
      </c>
      <c r="AV371">
        <f t="shared" si="154"/>
        <v>0</v>
      </c>
      <c r="AW371">
        <f t="shared" si="154"/>
        <v>0</v>
      </c>
      <c r="AX371">
        <f t="shared" si="150"/>
        <v>0</v>
      </c>
      <c r="AY371">
        <f t="shared" si="150"/>
        <v>1</v>
      </c>
      <c r="AZ371">
        <f t="shared" si="150"/>
        <v>0</v>
      </c>
      <c r="BA371">
        <f t="shared" si="151"/>
        <v>1</v>
      </c>
      <c r="BB371">
        <f t="shared" si="152"/>
        <v>1</v>
      </c>
    </row>
    <row r="372" spans="1:54">
      <c r="A372">
        <v>369</v>
      </c>
      <c r="B372" t="s">
        <v>20</v>
      </c>
      <c r="C372" t="s">
        <v>29</v>
      </c>
      <c r="D372" t="s">
        <v>22</v>
      </c>
      <c r="E372" t="s">
        <v>30</v>
      </c>
      <c r="F372" t="s">
        <v>28</v>
      </c>
      <c r="G372" t="s">
        <v>26</v>
      </c>
      <c r="H372" s="3">
        <v>0.56825577774972602</v>
      </c>
      <c r="I372" s="3">
        <v>0.55116129528866997</v>
      </c>
      <c r="J372" s="3">
        <v>0.470843718680171</v>
      </c>
      <c r="K372" s="3">
        <v>0.49531078037847598</v>
      </c>
      <c r="L372" s="3">
        <v>0.35745837592622398</v>
      </c>
      <c r="M372" s="3">
        <v>0.27396817790745398</v>
      </c>
      <c r="N372" s="3">
        <v>0.62984088862203502</v>
      </c>
      <c r="O372" s="3">
        <v>0.379227920657004</v>
      </c>
      <c r="P372">
        <f t="shared" si="136"/>
        <v>0</v>
      </c>
      <c r="Q372">
        <f t="shared" si="137"/>
        <v>0</v>
      </c>
      <c r="R372">
        <f t="shared" si="138"/>
        <v>0</v>
      </c>
      <c r="S372">
        <f t="shared" si="139"/>
        <v>0</v>
      </c>
      <c r="T372">
        <f t="shared" si="140"/>
        <v>0</v>
      </c>
      <c r="U372">
        <f t="shared" si="141"/>
        <v>0</v>
      </c>
      <c r="V372">
        <f t="shared" si="142"/>
        <v>0</v>
      </c>
      <c r="W372">
        <f t="shared" si="143"/>
        <v>0</v>
      </c>
      <c r="X372">
        <f t="shared" si="144"/>
        <v>1</v>
      </c>
      <c r="Y372">
        <f t="shared" si="145"/>
        <v>0</v>
      </c>
      <c r="Z372">
        <f t="shared" si="146"/>
        <v>0</v>
      </c>
      <c r="AA372">
        <f t="shared" si="147"/>
        <v>0</v>
      </c>
      <c r="AB372">
        <f t="shared" si="130"/>
        <v>0</v>
      </c>
      <c r="AC372">
        <f t="shared" si="131"/>
        <v>0</v>
      </c>
      <c r="AD372">
        <f t="shared" si="132"/>
        <v>0</v>
      </c>
      <c r="AE372">
        <f t="shared" si="133"/>
        <v>0</v>
      </c>
      <c r="AF372">
        <f t="shared" si="134"/>
        <v>0</v>
      </c>
      <c r="AG372">
        <f t="shared" si="135"/>
        <v>0</v>
      </c>
      <c r="AH372">
        <f t="shared" si="148"/>
        <v>0</v>
      </c>
      <c r="AI372">
        <f t="shared" si="154"/>
        <v>0</v>
      </c>
      <c r="AJ372">
        <f t="shared" si="154"/>
        <v>1</v>
      </c>
      <c r="AK372">
        <f t="shared" si="154"/>
        <v>0</v>
      </c>
      <c r="AL372">
        <f t="shared" si="154"/>
        <v>0</v>
      </c>
      <c r="AM372">
        <f t="shared" si="154"/>
        <v>0</v>
      </c>
      <c r="AN372">
        <f t="shared" si="154"/>
        <v>0</v>
      </c>
      <c r="AO372">
        <f t="shared" si="154"/>
        <v>0</v>
      </c>
      <c r="AP372">
        <f t="shared" si="154"/>
        <v>0</v>
      </c>
      <c r="AQ372">
        <f t="shared" si="154"/>
        <v>0</v>
      </c>
      <c r="AR372">
        <f t="shared" si="154"/>
        <v>0</v>
      </c>
      <c r="AS372">
        <f t="shared" si="154"/>
        <v>0</v>
      </c>
      <c r="AT372">
        <f t="shared" si="154"/>
        <v>0</v>
      </c>
      <c r="AU372">
        <f t="shared" si="154"/>
        <v>0</v>
      </c>
      <c r="AV372">
        <f t="shared" si="154"/>
        <v>0</v>
      </c>
      <c r="AW372">
        <f t="shared" si="154"/>
        <v>0</v>
      </c>
      <c r="AX372">
        <f t="shared" si="150"/>
        <v>0</v>
      </c>
      <c r="AY372">
        <f t="shared" si="150"/>
        <v>1</v>
      </c>
      <c r="AZ372">
        <f t="shared" si="150"/>
        <v>0</v>
      </c>
      <c r="BA372">
        <f t="shared" si="151"/>
        <v>1</v>
      </c>
      <c r="BB372">
        <f t="shared" si="152"/>
        <v>1</v>
      </c>
    </row>
    <row r="373" spans="1:54">
      <c r="A373">
        <v>370</v>
      </c>
      <c r="B373" t="s">
        <v>20</v>
      </c>
      <c r="C373" t="s">
        <v>29</v>
      </c>
      <c r="D373" t="s">
        <v>22</v>
      </c>
      <c r="E373" t="s">
        <v>30</v>
      </c>
      <c r="F373" t="s">
        <v>28</v>
      </c>
      <c r="G373" t="s">
        <v>27</v>
      </c>
      <c r="H373" s="3">
        <v>0.45009380930636</v>
      </c>
      <c r="I373" s="3">
        <v>0.42569919820733598</v>
      </c>
      <c r="J373" s="3">
        <v>0.37363037181415898</v>
      </c>
      <c r="K373" s="3">
        <v>0.36805942669505298</v>
      </c>
      <c r="L373" s="3">
        <v>0.30280902426394002</v>
      </c>
      <c r="M373" s="3">
        <v>0.23583071840458</v>
      </c>
      <c r="N373" s="3">
        <v>0.57816968541467995</v>
      </c>
      <c r="O373" s="3">
        <v>0.29681675849393002</v>
      </c>
      <c r="P373">
        <f t="shared" si="136"/>
        <v>0</v>
      </c>
      <c r="Q373">
        <f t="shared" si="137"/>
        <v>0</v>
      </c>
      <c r="R373">
        <f t="shared" si="138"/>
        <v>0</v>
      </c>
      <c r="S373">
        <f t="shared" si="139"/>
        <v>1</v>
      </c>
      <c r="T373">
        <f t="shared" si="140"/>
        <v>0</v>
      </c>
      <c r="U373">
        <f t="shared" si="141"/>
        <v>0</v>
      </c>
      <c r="V373">
        <f t="shared" si="142"/>
        <v>0</v>
      </c>
      <c r="W373">
        <f t="shared" si="143"/>
        <v>0</v>
      </c>
      <c r="X373">
        <f t="shared" si="144"/>
        <v>1</v>
      </c>
      <c r="Y373">
        <f t="shared" si="145"/>
        <v>0</v>
      </c>
      <c r="Z373">
        <f t="shared" si="146"/>
        <v>0</v>
      </c>
      <c r="AA373">
        <f t="shared" si="147"/>
        <v>0</v>
      </c>
      <c r="AB373">
        <f t="shared" si="130"/>
        <v>0</v>
      </c>
      <c r="AC373">
        <f t="shared" si="131"/>
        <v>0</v>
      </c>
      <c r="AD373">
        <f t="shared" si="132"/>
        <v>0</v>
      </c>
      <c r="AE373">
        <f t="shared" si="133"/>
        <v>0</v>
      </c>
      <c r="AF373">
        <f t="shared" si="134"/>
        <v>0</v>
      </c>
      <c r="AG373">
        <f t="shared" si="135"/>
        <v>0</v>
      </c>
      <c r="AH373">
        <f t="shared" si="148"/>
        <v>0</v>
      </c>
      <c r="AI373">
        <f t="shared" si="154"/>
        <v>0</v>
      </c>
      <c r="AJ373">
        <f t="shared" si="154"/>
        <v>0</v>
      </c>
      <c r="AK373">
        <f t="shared" si="154"/>
        <v>0</v>
      </c>
      <c r="AL373">
        <f t="shared" si="154"/>
        <v>0</v>
      </c>
      <c r="AM373">
        <f t="shared" si="154"/>
        <v>0</v>
      </c>
      <c r="AN373">
        <f t="shared" si="154"/>
        <v>0</v>
      </c>
      <c r="AO373">
        <f t="shared" si="154"/>
        <v>0</v>
      </c>
      <c r="AP373">
        <f t="shared" si="154"/>
        <v>0</v>
      </c>
      <c r="AQ373">
        <f t="shared" si="154"/>
        <v>0</v>
      </c>
      <c r="AR373">
        <f t="shared" si="154"/>
        <v>0</v>
      </c>
      <c r="AS373">
        <f t="shared" si="154"/>
        <v>0</v>
      </c>
      <c r="AT373">
        <f t="shared" si="154"/>
        <v>1</v>
      </c>
      <c r="AU373">
        <f t="shared" si="154"/>
        <v>0</v>
      </c>
      <c r="AV373">
        <f t="shared" si="154"/>
        <v>0</v>
      </c>
      <c r="AW373">
        <f t="shared" si="154"/>
        <v>0</v>
      </c>
      <c r="AX373">
        <f t="shared" si="150"/>
        <v>0</v>
      </c>
      <c r="AY373">
        <f t="shared" si="150"/>
        <v>1</v>
      </c>
      <c r="AZ373">
        <f t="shared" si="150"/>
        <v>0</v>
      </c>
      <c r="BA373">
        <f t="shared" si="151"/>
        <v>0</v>
      </c>
      <c r="BB373">
        <f t="shared" si="152"/>
        <v>1</v>
      </c>
    </row>
    <row r="374" spans="1:54">
      <c r="A374">
        <v>371</v>
      </c>
      <c r="B374" t="s">
        <v>20</v>
      </c>
      <c r="C374" t="s">
        <v>29</v>
      </c>
      <c r="D374" t="s">
        <v>22</v>
      </c>
      <c r="E374" t="s">
        <v>30</v>
      </c>
      <c r="F374" t="s">
        <v>29</v>
      </c>
      <c r="G374" t="s">
        <v>22</v>
      </c>
      <c r="H374" s="3">
        <v>0.76744562446097797</v>
      </c>
      <c r="I374" s="3">
        <v>0.749796479989005</v>
      </c>
      <c r="J374" s="3">
        <v>0.68075286208580499</v>
      </c>
      <c r="K374" s="3">
        <v>0.70546141306993304</v>
      </c>
      <c r="L374" s="3">
        <v>0.61529415149377897</v>
      </c>
      <c r="M374" s="3">
        <v>0.52348581789248405</v>
      </c>
      <c r="N374" s="3">
        <v>0.80785521755872103</v>
      </c>
      <c r="O374" s="3">
        <v>0.62186599420023803</v>
      </c>
      <c r="P374">
        <f t="shared" si="136"/>
        <v>0</v>
      </c>
      <c r="Q374">
        <f t="shared" si="137"/>
        <v>0</v>
      </c>
      <c r="R374">
        <f t="shared" si="138"/>
        <v>0</v>
      </c>
      <c r="S374">
        <f t="shared" si="139"/>
        <v>0</v>
      </c>
      <c r="T374">
        <f t="shared" si="140"/>
        <v>0</v>
      </c>
      <c r="U374">
        <f t="shared" si="141"/>
        <v>0</v>
      </c>
      <c r="V374">
        <f t="shared" si="142"/>
        <v>0</v>
      </c>
      <c r="W374">
        <f t="shared" si="143"/>
        <v>0</v>
      </c>
      <c r="X374">
        <f t="shared" si="144"/>
        <v>1</v>
      </c>
      <c r="Y374">
        <f t="shared" si="145"/>
        <v>0</v>
      </c>
      <c r="Z374">
        <f t="shared" si="146"/>
        <v>0</v>
      </c>
      <c r="AA374">
        <f t="shared" si="147"/>
        <v>0</v>
      </c>
      <c r="AB374">
        <f t="shared" si="130"/>
        <v>1</v>
      </c>
      <c r="AC374">
        <f t="shared" si="131"/>
        <v>1</v>
      </c>
      <c r="AD374">
        <f t="shared" si="132"/>
        <v>0</v>
      </c>
      <c r="AE374">
        <f t="shared" si="133"/>
        <v>0</v>
      </c>
      <c r="AF374">
        <f t="shared" si="134"/>
        <v>1</v>
      </c>
      <c r="AG374">
        <f t="shared" si="135"/>
        <v>0</v>
      </c>
      <c r="AH374">
        <f t="shared" si="148"/>
        <v>1</v>
      </c>
      <c r="AI374">
        <f t="shared" si="154"/>
        <v>0</v>
      </c>
      <c r="AJ374">
        <f t="shared" si="154"/>
        <v>0</v>
      </c>
      <c r="AK374">
        <f t="shared" si="154"/>
        <v>0</v>
      </c>
      <c r="AL374">
        <f t="shared" si="154"/>
        <v>0</v>
      </c>
      <c r="AM374">
        <f t="shared" si="154"/>
        <v>0</v>
      </c>
      <c r="AN374">
        <f t="shared" si="154"/>
        <v>0</v>
      </c>
      <c r="AO374">
        <f t="shared" si="154"/>
        <v>0</v>
      </c>
      <c r="AP374">
        <f t="shared" si="154"/>
        <v>0</v>
      </c>
      <c r="AQ374">
        <f t="shared" si="154"/>
        <v>0</v>
      </c>
      <c r="AR374">
        <f t="shared" si="154"/>
        <v>0</v>
      </c>
      <c r="AS374">
        <f t="shared" si="154"/>
        <v>0</v>
      </c>
      <c r="AT374">
        <f t="shared" si="154"/>
        <v>0</v>
      </c>
      <c r="AU374">
        <f t="shared" si="154"/>
        <v>0</v>
      </c>
      <c r="AV374">
        <f t="shared" si="154"/>
        <v>0</v>
      </c>
      <c r="AW374">
        <f t="shared" si="154"/>
        <v>0</v>
      </c>
      <c r="AX374">
        <f t="shared" si="150"/>
        <v>0</v>
      </c>
      <c r="AY374">
        <f t="shared" si="150"/>
        <v>0</v>
      </c>
      <c r="AZ374">
        <f t="shared" si="150"/>
        <v>0</v>
      </c>
      <c r="BA374">
        <f t="shared" si="151"/>
        <v>0</v>
      </c>
      <c r="BB374">
        <f t="shared" si="152"/>
        <v>1</v>
      </c>
    </row>
    <row r="375" spans="1:54">
      <c r="A375">
        <v>372</v>
      </c>
      <c r="B375" t="s">
        <v>20</v>
      </c>
      <c r="C375" t="s">
        <v>29</v>
      </c>
      <c r="D375" t="s">
        <v>22</v>
      </c>
      <c r="E375" t="s">
        <v>30</v>
      </c>
      <c r="F375" t="s">
        <v>29</v>
      </c>
      <c r="G375" t="s">
        <v>23</v>
      </c>
      <c r="H375" s="3">
        <v>4.7789378140910201E-2</v>
      </c>
      <c r="I375" s="3">
        <v>4.7068216083746499E-2</v>
      </c>
      <c r="J375" s="3">
        <v>4.1171983002062901E-2</v>
      </c>
      <c r="K375" s="3">
        <v>4.3965014884627597E-2</v>
      </c>
      <c r="L375" s="3">
        <v>3.1581580789035897E-2</v>
      </c>
      <c r="M375" s="3">
        <v>2.4981576749317301E-2</v>
      </c>
      <c r="N375" s="3">
        <v>5.1000953288846497E-2</v>
      </c>
      <c r="O375" s="3">
        <v>3.4858382690695001E-2</v>
      </c>
      <c r="P375">
        <f t="shared" si="136"/>
        <v>0</v>
      </c>
      <c r="Q375">
        <f t="shared" si="137"/>
        <v>0</v>
      </c>
      <c r="R375">
        <f t="shared" si="138"/>
        <v>0</v>
      </c>
      <c r="S375">
        <f t="shared" si="139"/>
        <v>0</v>
      </c>
      <c r="T375">
        <f t="shared" si="140"/>
        <v>0</v>
      </c>
      <c r="U375">
        <f t="shared" si="141"/>
        <v>0</v>
      </c>
      <c r="V375">
        <f t="shared" si="142"/>
        <v>0</v>
      </c>
      <c r="W375">
        <f t="shared" si="143"/>
        <v>0</v>
      </c>
      <c r="X375">
        <f t="shared" si="144"/>
        <v>1</v>
      </c>
      <c r="Y375">
        <f t="shared" si="145"/>
        <v>1</v>
      </c>
      <c r="Z375">
        <f t="shared" si="146"/>
        <v>0</v>
      </c>
      <c r="AA375">
        <f t="shared" si="147"/>
        <v>0</v>
      </c>
      <c r="AB375">
        <f t="shared" si="130"/>
        <v>0</v>
      </c>
      <c r="AC375">
        <f t="shared" si="131"/>
        <v>1</v>
      </c>
      <c r="AD375">
        <f t="shared" si="132"/>
        <v>0</v>
      </c>
      <c r="AE375">
        <f t="shared" si="133"/>
        <v>0</v>
      </c>
      <c r="AF375">
        <f t="shared" si="134"/>
        <v>1</v>
      </c>
      <c r="AG375">
        <f t="shared" si="135"/>
        <v>0</v>
      </c>
      <c r="AH375">
        <f t="shared" si="148"/>
        <v>1</v>
      </c>
      <c r="AI375">
        <f t="shared" ref="AI375:AW391" si="155">IF(OR(AND($D375=AI$1,$G375=AI$2),AND($D375=AI$2,$G375=AI$1)),1,0)</f>
        <v>0</v>
      </c>
      <c r="AJ375">
        <f t="shared" si="155"/>
        <v>0</v>
      </c>
      <c r="AK375">
        <f t="shared" si="155"/>
        <v>0</v>
      </c>
      <c r="AL375">
        <f t="shared" si="155"/>
        <v>0</v>
      </c>
      <c r="AM375">
        <f t="shared" si="155"/>
        <v>0</v>
      </c>
      <c r="AN375">
        <f t="shared" si="155"/>
        <v>0</v>
      </c>
      <c r="AO375">
        <f t="shared" si="155"/>
        <v>0</v>
      </c>
      <c r="AP375">
        <f t="shared" si="155"/>
        <v>0</v>
      </c>
      <c r="AQ375">
        <f t="shared" si="155"/>
        <v>0</v>
      </c>
      <c r="AR375">
        <f t="shared" si="155"/>
        <v>1</v>
      </c>
      <c r="AS375">
        <f t="shared" si="155"/>
        <v>0</v>
      </c>
      <c r="AT375">
        <f t="shared" si="155"/>
        <v>0</v>
      </c>
      <c r="AU375">
        <f t="shared" si="155"/>
        <v>0</v>
      </c>
      <c r="AV375">
        <f t="shared" si="155"/>
        <v>0</v>
      </c>
      <c r="AW375">
        <f t="shared" si="155"/>
        <v>0</v>
      </c>
      <c r="AX375">
        <f t="shared" si="150"/>
        <v>0</v>
      </c>
      <c r="AY375">
        <f t="shared" si="150"/>
        <v>0</v>
      </c>
      <c r="AZ375">
        <f t="shared" si="150"/>
        <v>0</v>
      </c>
      <c r="BA375">
        <f t="shared" si="151"/>
        <v>0</v>
      </c>
      <c r="BB375">
        <f t="shared" si="152"/>
        <v>1</v>
      </c>
    </row>
    <row r="376" spans="1:54">
      <c r="A376">
        <v>373</v>
      </c>
      <c r="B376" t="s">
        <v>20</v>
      </c>
      <c r="C376" t="s">
        <v>29</v>
      </c>
      <c r="D376" t="s">
        <v>22</v>
      </c>
      <c r="E376" t="s">
        <v>30</v>
      </c>
      <c r="F376" t="s">
        <v>29</v>
      </c>
      <c r="G376" t="s">
        <v>24</v>
      </c>
      <c r="H376" s="3">
        <v>0.72306601861507203</v>
      </c>
      <c r="I376" s="3">
        <v>0.69556345472024494</v>
      </c>
      <c r="J376" s="3">
        <v>0.52906526691473399</v>
      </c>
      <c r="K376" s="3">
        <v>0.60737766188986497</v>
      </c>
      <c r="L376" s="3">
        <v>0.371100671565604</v>
      </c>
      <c r="M376" s="3">
        <v>0.27025947347888002</v>
      </c>
      <c r="N376" s="3">
        <v>0.82888465204957096</v>
      </c>
      <c r="O376" s="3">
        <v>0.41271195829331703</v>
      </c>
      <c r="P376">
        <f t="shared" si="136"/>
        <v>0</v>
      </c>
      <c r="Q376">
        <f t="shared" si="137"/>
        <v>0</v>
      </c>
      <c r="R376">
        <f t="shared" si="138"/>
        <v>0</v>
      </c>
      <c r="S376">
        <f t="shared" si="139"/>
        <v>0</v>
      </c>
      <c r="T376">
        <f t="shared" si="140"/>
        <v>0</v>
      </c>
      <c r="U376">
        <f t="shared" si="141"/>
        <v>0</v>
      </c>
      <c r="V376">
        <f t="shared" si="142"/>
        <v>0</v>
      </c>
      <c r="W376">
        <f t="shared" si="143"/>
        <v>0</v>
      </c>
      <c r="X376">
        <f t="shared" si="144"/>
        <v>1</v>
      </c>
      <c r="Y376">
        <f t="shared" si="145"/>
        <v>0</v>
      </c>
      <c r="Z376">
        <f t="shared" si="146"/>
        <v>0</v>
      </c>
      <c r="AA376">
        <f t="shared" si="147"/>
        <v>1</v>
      </c>
      <c r="AB376">
        <f t="shared" si="130"/>
        <v>0</v>
      </c>
      <c r="AC376">
        <f t="shared" si="131"/>
        <v>0</v>
      </c>
      <c r="AD376">
        <f t="shared" si="132"/>
        <v>0</v>
      </c>
      <c r="AE376">
        <f t="shared" si="133"/>
        <v>0</v>
      </c>
      <c r="AF376">
        <f t="shared" si="134"/>
        <v>1</v>
      </c>
      <c r="AG376">
        <f t="shared" si="135"/>
        <v>0</v>
      </c>
      <c r="AH376">
        <f t="shared" si="148"/>
        <v>0</v>
      </c>
      <c r="AI376">
        <f t="shared" si="155"/>
        <v>0</v>
      </c>
      <c r="AJ376">
        <f t="shared" si="155"/>
        <v>0</v>
      </c>
      <c r="AK376">
        <f t="shared" si="155"/>
        <v>0</v>
      </c>
      <c r="AL376">
        <f t="shared" si="155"/>
        <v>0</v>
      </c>
      <c r="AM376">
        <f t="shared" si="155"/>
        <v>0</v>
      </c>
      <c r="AN376">
        <f t="shared" si="155"/>
        <v>0</v>
      </c>
      <c r="AO376">
        <f t="shared" si="155"/>
        <v>0</v>
      </c>
      <c r="AP376">
        <f t="shared" si="155"/>
        <v>0</v>
      </c>
      <c r="AQ376">
        <f t="shared" si="155"/>
        <v>0</v>
      </c>
      <c r="AR376">
        <f t="shared" si="155"/>
        <v>0</v>
      </c>
      <c r="AS376">
        <f t="shared" si="155"/>
        <v>1</v>
      </c>
      <c r="AT376">
        <f t="shared" si="155"/>
        <v>0</v>
      </c>
      <c r="AU376">
        <f t="shared" si="155"/>
        <v>0</v>
      </c>
      <c r="AV376">
        <f t="shared" si="155"/>
        <v>0</v>
      </c>
      <c r="AW376">
        <f t="shared" si="155"/>
        <v>0</v>
      </c>
      <c r="AX376">
        <f t="shared" si="150"/>
        <v>0</v>
      </c>
      <c r="AY376">
        <f t="shared" si="150"/>
        <v>0</v>
      </c>
      <c r="AZ376">
        <f t="shared" si="150"/>
        <v>0</v>
      </c>
      <c r="BA376">
        <f t="shared" si="151"/>
        <v>0</v>
      </c>
      <c r="BB376">
        <f t="shared" si="152"/>
        <v>1</v>
      </c>
    </row>
    <row r="377" spans="1:54">
      <c r="A377">
        <v>374</v>
      </c>
      <c r="B377" t="s">
        <v>20</v>
      </c>
      <c r="C377" t="s">
        <v>29</v>
      </c>
      <c r="D377" t="s">
        <v>22</v>
      </c>
      <c r="E377" t="s">
        <v>30</v>
      </c>
      <c r="F377" t="s">
        <v>29</v>
      </c>
      <c r="G377" t="s">
        <v>31</v>
      </c>
      <c r="H377" s="3">
        <v>5.90205157530806E-2</v>
      </c>
      <c r="I377" s="3">
        <v>5.6871674975817098E-2</v>
      </c>
      <c r="J377" s="3">
        <v>5.2296005512372901E-2</v>
      </c>
      <c r="K377" s="3">
        <v>5.3002763104021001E-2</v>
      </c>
      <c r="L377" s="3">
        <v>4.29562291898394E-2</v>
      </c>
      <c r="M377" s="3">
        <v>3.6068695517175002E-2</v>
      </c>
      <c r="N377" s="3">
        <v>6.1963775023832199E-2</v>
      </c>
      <c r="O377" s="3">
        <v>4.5031508569381498E-2</v>
      </c>
      <c r="P377">
        <f t="shared" si="136"/>
        <v>0</v>
      </c>
      <c r="Q377">
        <f t="shared" si="137"/>
        <v>0</v>
      </c>
      <c r="R377">
        <f t="shared" si="138"/>
        <v>0</v>
      </c>
      <c r="S377">
        <f t="shared" si="139"/>
        <v>0</v>
      </c>
      <c r="T377">
        <f t="shared" si="140"/>
        <v>0</v>
      </c>
      <c r="U377">
        <f t="shared" si="141"/>
        <v>0</v>
      </c>
      <c r="V377">
        <f t="shared" si="142"/>
        <v>0</v>
      </c>
      <c r="W377">
        <f t="shared" si="143"/>
        <v>0</v>
      </c>
      <c r="X377">
        <f t="shared" si="144"/>
        <v>1</v>
      </c>
      <c r="Y377">
        <f t="shared" si="145"/>
        <v>0</v>
      </c>
      <c r="Z377">
        <f t="shared" si="146"/>
        <v>1</v>
      </c>
      <c r="AA377">
        <f t="shared" si="147"/>
        <v>0</v>
      </c>
      <c r="AB377">
        <f t="shared" si="130"/>
        <v>0</v>
      </c>
      <c r="AC377">
        <f t="shared" si="131"/>
        <v>1</v>
      </c>
      <c r="AD377">
        <f t="shared" si="132"/>
        <v>0</v>
      </c>
      <c r="AE377">
        <f t="shared" si="133"/>
        <v>0</v>
      </c>
      <c r="AF377">
        <f t="shared" si="134"/>
        <v>1</v>
      </c>
      <c r="AG377">
        <f t="shared" si="135"/>
        <v>0</v>
      </c>
      <c r="AH377">
        <f t="shared" si="148"/>
        <v>1</v>
      </c>
      <c r="AI377">
        <f t="shared" si="155"/>
        <v>0</v>
      </c>
      <c r="AJ377">
        <f t="shared" si="155"/>
        <v>0</v>
      </c>
      <c r="AK377">
        <f t="shared" si="155"/>
        <v>0</v>
      </c>
      <c r="AL377">
        <f t="shared" si="155"/>
        <v>0</v>
      </c>
      <c r="AM377">
        <f t="shared" si="155"/>
        <v>0</v>
      </c>
      <c r="AN377">
        <f t="shared" si="155"/>
        <v>0</v>
      </c>
      <c r="AO377">
        <f t="shared" si="155"/>
        <v>0</v>
      </c>
      <c r="AP377">
        <f t="shared" si="155"/>
        <v>0</v>
      </c>
      <c r="AQ377">
        <f t="shared" si="155"/>
        <v>0</v>
      </c>
      <c r="AR377">
        <f t="shared" si="155"/>
        <v>0</v>
      </c>
      <c r="AS377">
        <f t="shared" si="155"/>
        <v>0</v>
      </c>
      <c r="AT377">
        <f t="shared" si="155"/>
        <v>0</v>
      </c>
      <c r="AU377">
        <f t="shared" si="155"/>
        <v>0</v>
      </c>
      <c r="AV377">
        <f t="shared" si="155"/>
        <v>0</v>
      </c>
      <c r="AW377">
        <f t="shared" si="155"/>
        <v>0</v>
      </c>
      <c r="AX377">
        <f t="shared" si="150"/>
        <v>0</v>
      </c>
      <c r="AY377">
        <f t="shared" si="150"/>
        <v>0</v>
      </c>
      <c r="AZ377">
        <f t="shared" si="150"/>
        <v>0</v>
      </c>
      <c r="BA377">
        <f t="shared" si="151"/>
        <v>0</v>
      </c>
      <c r="BB377">
        <f t="shared" si="152"/>
        <v>1</v>
      </c>
    </row>
    <row r="378" spans="1:54">
      <c r="A378">
        <v>375</v>
      </c>
      <c r="B378" t="s">
        <v>20</v>
      </c>
      <c r="C378" t="s">
        <v>29</v>
      </c>
      <c r="D378" t="s">
        <v>22</v>
      </c>
      <c r="E378" t="s">
        <v>30</v>
      </c>
      <c r="F378" t="s">
        <v>29</v>
      </c>
      <c r="G378" t="s">
        <v>25</v>
      </c>
      <c r="H378" s="3">
        <v>9.6569017065856605E-2</v>
      </c>
      <c r="I378" s="3">
        <v>9.4416447286748403E-2</v>
      </c>
      <c r="J378" s="3">
        <v>7.9406293530571895E-2</v>
      </c>
      <c r="K378" s="3">
        <v>8.6307126218526195E-2</v>
      </c>
      <c r="L378" s="3">
        <v>6.4271997144802695E-2</v>
      </c>
      <c r="M378" s="3">
        <v>5.1660096330386998E-2</v>
      </c>
      <c r="N378" s="3">
        <v>0.105315998192861</v>
      </c>
      <c r="O378" s="3">
        <v>6.5348616776789797E-2</v>
      </c>
      <c r="P378">
        <f t="shared" si="136"/>
        <v>0</v>
      </c>
      <c r="Q378">
        <f t="shared" si="137"/>
        <v>0</v>
      </c>
      <c r="R378">
        <f t="shared" si="138"/>
        <v>0</v>
      </c>
      <c r="S378">
        <f t="shared" si="139"/>
        <v>0</v>
      </c>
      <c r="T378">
        <f t="shared" si="140"/>
        <v>0</v>
      </c>
      <c r="U378">
        <f t="shared" si="141"/>
        <v>0</v>
      </c>
      <c r="V378">
        <f t="shared" si="142"/>
        <v>0</v>
      </c>
      <c r="W378">
        <f t="shared" si="143"/>
        <v>0</v>
      </c>
      <c r="X378">
        <f t="shared" si="144"/>
        <v>1</v>
      </c>
      <c r="Y378">
        <f t="shared" si="145"/>
        <v>0</v>
      </c>
      <c r="Z378">
        <f t="shared" si="146"/>
        <v>0</v>
      </c>
      <c r="AA378">
        <f t="shared" si="147"/>
        <v>0</v>
      </c>
      <c r="AB378">
        <f t="shared" si="130"/>
        <v>0</v>
      </c>
      <c r="AC378">
        <f t="shared" si="131"/>
        <v>0</v>
      </c>
      <c r="AD378">
        <f t="shared" si="132"/>
        <v>0</v>
      </c>
      <c r="AE378">
        <f t="shared" si="133"/>
        <v>0</v>
      </c>
      <c r="AF378">
        <f t="shared" si="134"/>
        <v>1</v>
      </c>
      <c r="AG378">
        <f t="shared" si="135"/>
        <v>0</v>
      </c>
      <c r="AH378">
        <f t="shared" si="148"/>
        <v>0</v>
      </c>
      <c r="AI378">
        <f t="shared" si="155"/>
        <v>0</v>
      </c>
      <c r="AJ378">
        <f t="shared" si="155"/>
        <v>0</v>
      </c>
      <c r="AK378">
        <f t="shared" si="155"/>
        <v>0</v>
      </c>
      <c r="AL378">
        <f t="shared" si="155"/>
        <v>0</v>
      </c>
      <c r="AM378">
        <f t="shared" si="155"/>
        <v>0</v>
      </c>
      <c r="AN378">
        <f t="shared" si="155"/>
        <v>1</v>
      </c>
      <c r="AO378">
        <f t="shared" si="155"/>
        <v>0</v>
      </c>
      <c r="AP378">
        <f t="shared" si="155"/>
        <v>0</v>
      </c>
      <c r="AQ378">
        <f t="shared" si="155"/>
        <v>0</v>
      </c>
      <c r="AR378">
        <f t="shared" si="155"/>
        <v>0</v>
      </c>
      <c r="AS378">
        <f t="shared" si="155"/>
        <v>0</v>
      </c>
      <c r="AT378">
        <f t="shared" si="155"/>
        <v>0</v>
      </c>
      <c r="AU378">
        <f t="shared" si="155"/>
        <v>0</v>
      </c>
      <c r="AV378">
        <f t="shared" si="155"/>
        <v>0</v>
      </c>
      <c r="AW378">
        <f t="shared" si="155"/>
        <v>0</v>
      </c>
      <c r="AX378">
        <f t="shared" si="150"/>
        <v>0</v>
      </c>
      <c r="AY378">
        <f t="shared" si="150"/>
        <v>0</v>
      </c>
      <c r="AZ378">
        <f t="shared" si="150"/>
        <v>0</v>
      </c>
      <c r="BA378">
        <f t="shared" si="151"/>
        <v>1</v>
      </c>
      <c r="BB378">
        <f t="shared" si="152"/>
        <v>1</v>
      </c>
    </row>
    <row r="379" spans="1:54">
      <c r="A379">
        <v>376</v>
      </c>
      <c r="B379" t="s">
        <v>20</v>
      </c>
      <c r="C379" t="s">
        <v>29</v>
      </c>
      <c r="D379" t="s">
        <v>22</v>
      </c>
      <c r="E379" t="s">
        <v>30</v>
      </c>
      <c r="F379" t="s">
        <v>29</v>
      </c>
      <c r="G379" t="s">
        <v>26</v>
      </c>
      <c r="H379" s="3">
        <v>9.8734313793653494E-2</v>
      </c>
      <c r="I379" s="3">
        <v>9.6482126725311507E-2</v>
      </c>
      <c r="J379" s="3">
        <v>8.1248858958482897E-2</v>
      </c>
      <c r="K379" s="3">
        <v>8.8154433464819604E-2</v>
      </c>
      <c r="L379" s="3">
        <v>6.5752006762530693E-2</v>
      </c>
      <c r="M379" s="3">
        <v>5.2836579459950801E-2</v>
      </c>
      <c r="N379" s="3">
        <v>0.107700205338809</v>
      </c>
      <c r="O379" s="3">
        <v>6.6852881948335996E-2</v>
      </c>
      <c r="P379">
        <f t="shared" si="136"/>
        <v>0</v>
      </c>
      <c r="Q379">
        <f t="shared" si="137"/>
        <v>0</v>
      </c>
      <c r="R379">
        <f t="shared" si="138"/>
        <v>0</v>
      </c>
      <c r="S379">
        <f t="shared" si="139"/>
        <v>0</v>
      </c>
      <c r="T379">
        <f t="shared" si="140"/>
        <v>0</v>
      </c>
      <c r="U379">
        <f t="shared" si="141"/>
        <v>0</v>
      </c>
      <c r="V379">
        <f t="shared" si="142"/>
        <v>0</v>
      </c>
      <c r="W379">
        <f t="shared" si="143"/>
        <v>0</v>
      </c>
      <c r="X379">
        <f t="shared" si="144"/>
        <v>1</v>
      </c>
      <c r="Y379">
        <f t="shared" si="145"/>
        <v>0</v>
      </c>
      <c r="Z379">
        <f t="shared" si="146"/>
        <v>0</v>
      </c>
      <c r="AA379">
        <f t="shared" si="147"/>
        <v>0</v>
      </c>
      <c r="AB379">
        <f t="shared" si="130"/>
        <v>0</v>
      </c>
      <c r="AC379">
        <f t="shared" si="131"/>
        <v>0</v>
      </c>
      <c r="AD379">
        <f t="shared" si="132"/>
        <v>0</v>
      </c>
      <c r="AE379">
        <f t="shared" si="133"/>
        <v>0</v>
      </c>
      <c r="AF379">
        <f t="shared" si="134"/>
        <v>1</v>
      </c>
      <c r="AG379">
        <f t="shared" si="135"/>
        <v>0</v>
      </c>
      <c r="AH379">
        <f t="shared" si="148"/>
        <v>0</v>
      </c>
      <c r="AI379">
        <f t="shared" si="155"/>
        <v>0</v>
      </c>
      <c r="AJ379">
        <f t="shared" si="155"/>
        <v>1</v>
      </c>
      <c r="AK379">
        <f t="shared" si="155"/>
        <v>0</v>
      </c>
      <c r="AL379">
        <f t="shared" si="155"/>
        <v>0</v>
      </c>
      <c r="AM379">
        <f t="shared" si="155"/>
        <v>0</v>
      </c>
      <c r="AN379">
        <f t="shared" si="155"/>
        <v>0</v>
      </c>
      <c r="AO379">
        <f t="shared" si="155"/>
        <v>0</v>
      </c>
      <c r="AP379">
        <f t="shared" si="155"/>
        <v>0</v>
      </c>
      <c r="AQ379">
        <f t="shared" si="155"/>
        <v>0</v>
      </c>
      <c r="AR379">
        <f t="shared" si="155"/>
        <v>0</v>
      </c>
      <c r="AS379">
        <f t="shared" si="155"/>
        <v>0</v>
      </c>
      <c r="AT379">
        <f t="shared" si="155"/>
        <v>0</v>
      </c>
      <c r="AU379">
        <f t="shared" si="155"/>
        <v>0</v>
      </c>
      <c r="AV379">
        <f t="shared" si="155"/>
        <v>0</v>
      </c>
      <c r="AW379">
        <f t="shared" si="155"/>
        <v>0</v>
      </c>
      <c r="AX379">
        <f t="shared" si="150"/>
        <v>0</v>
      </c>
      <c r="AY379">
        <f t="shared" si="150"/>
        <v>0</v>
      </c>
      <c r="AZ379">
        <f t="shared" si="150"/>
        <v>0</v>
      </c>
      <c r="BA379">
        <f t="shared" si="151"/>
        <v>1</v>
      </c>
      <c r="BB379">
        <f t="shared" si="152"/>
        <v>1</v>
      </c>
    </row>
    <row r="380" spans="1:54">
      <c r="A380">
        <v>377</v>
      </c>
      <c r="B380" t="s">
        <v>20</v>
      </c>
      <c r="C380" t="s">
        <v>29</v>
      </c>
      <c r="D380" t="s">
        <v>23</v>
      </c>
      <c r="E380" t="s">
        <v>20</v>
      </c>
      <c r="F380" t="s">
        <v>29</v>
      </c>
      <c r="G380" t="s">
        <v>24</v>
      </c>
      <c r="H380" s="3">
        <v>4.3540822116709302E-2</v>
      </c>
      <c r="I380" s="3">
        <v>4.2032997065748701E-2</v>
      </c>
      <c r="J380" s="3">
        <v>3.6995006083719098E-2</v>
      </c>
      <c r="K380" s="3">
        <v>3.79373543665876E-2</v>
      </c>
      <c r="L380" s="3">
        <v>2.83985845161056E-2</v>
      </c>
      <c r="M380" s="3">
        <v>2.2604422477982999E-2</v>
      </c>
      <c r="N380" s="3">
        <v>4.77214101461736E-2</v>
      </c>
      <c r="O380" s="3">
        <v>3.0298869143513301E-2</v>
      </c>
      <c r="P380">
        <f t="shared" si="136"/>
        <v>0</v>
      </c>
      <c r="Q380">
        <f t="shared" si="137"/>
        <v>0</v>
      </c>
      <c r="R380">
        <f t="shared" si="138"/>
        <v>0</v>
      </c>
      <c r="S380">
        <f t="shared" si="139"/>
        <v>0</v>
      </c>
      <c r="T380">
        <f t="shared" si="140"/>
        <v>0</v>
      </c>
      <c r="U380">
        <f t="shared" si="141"/>
        <v>0</v>
      </c>
      <c r="V380">
        <f t="shared" si="142"/>
        <v>0</v>
      </c>
      <c r="W380">
        <f t="shared" si="143"/>
        <v>0</v>
      </c>
      <c r="X380">
        <f t="shared" si="144"/>
        <v>0</v>
      </c>
      <c r="Y380">
        <f t="shared" si="145"/>
        <v>1</v>
      </c>
      <c r="Z380">
        <f t="shared" si="146"/>
        <v>0</v>
      </c>
      <c r="AA380">
        <f t="shared" si="147"/>
        <v>1</v>
      </c>
      <c r="AB380">
        <f t="shared" si="130"/>
        <v>0</v>
      </c>
      <c r="AC380">
        <f t="shared" si="131"/>
        <v>0</v>
      </c>
      <c r="AD380">
        <f t="shared" si="132"/>
        <v>0</v>
      </c>
      <c r="AE380">
        <f t="shared" si="133"/>
        <v>0</v>
      </c>
      <c r="AF380">
        <f t="shared" si="134"/>
        <v>1</v>
      </c>
      <c r="AG380">
        <f t="shared" si="135"/>
        <v>1</v>
      </c>
      <c r="AH380">
        <f t="shared" si="148"/>
        <v>0</v>
      </c>
      <c r="AI380">
        <f t="shared" si="155"/>
        <v>0</v>
      </c>
      <c r="AJ380">
        <f t="shared" si="155"/>
        <v>0</v>
      </c>
      <c r="AK380">
        <f t="shared" si="155"/>
        <v>0</v>
      </c>
      <c r="AL380">
        <f t="shared" si="155"/>
        <v>0</v>
      </c>
      <c r="AM380">
        <f t="shared" si="155"/>
        <v>0</v>
      </c>
      <c r="AN380">
        <f t="shared" si="155"/>
        <v>0</v>
      </c>
      <c r="AO380">
        <f t="shared" si="155"/>
        <v>0</v>
      </c>
      <c r="AP380">
        <f t="shared" si="155"/>
        <v>0</v>
      </c>
      <c r="AQ380">
        <f t="shared" si="155"/>
        <v>0</v>
      </c>
      <c r="AR380">
        <f t="shared" si="155"/>
        <v>0</v>
      </c>
      <c r="AS380">
        <f t="shared" si="155"/>
        <v>0</v>
      </c>
      <c r="AT380">
        <f t="shared" si="155"/>
        <v>0</v>
      </c>
      <c r="AU380">
        <f t="shared" si="155"/>
        <v>1</v>
      </c>
      <c r="AV380">
        <f t="shared" si="155"/>
        <v>0</v>
      </c>
      <c r="AW380">
        <f t="shared" si="155"/>
        <v>0</v>
      </c>
      <c r="AX380">
        <f t="shared" si="150"/>
        <v>0</v>
      </c>
      <c r="AY380">
        <f t="shared" si="150"/>
        <v>0</v>
      </c>
      <c r="AZ380">
        <f t="shared" si="150"/>
        <v>0</v>
      </c>
      <c r="BA380">
        <f t="shared" si="151"/>
        <v>0</v>
      </c>
      <c r="BB380">
        <f t="shared" si="152"/>
        <v>1</v>
      </c>
    </row>
    <row r="381" spans="1:54">
      <c r="A381">
        <v>378</v>
      </c>
      <c r="B381" t="s">
        <v>20</v>
      </c>
      <c r="C381" t="s">
        <v>29</v>
      </c>
      <c r="D381" t="s">
        <v>23</v>
      </c>
      <c r="E381" t="s">
        <v>20</v>
      </c>
      <c r="F381" t="s">
        <v>29</v>
      </c>
      <c r="G381" t="s">
        <v>31</v>
      </c>
      <c r="H381" s="3">
        <v>0.726246040906535</v>
      </c>
      <c r="I381" s="3">
        <v>0.70043005161015703</v>
      </c>
      <c r="J381" s="3">
        <v>0.59001251461585802</v>
      </c>
      <c r="K381" s="3">
        <v>0.61622012097091705</v>
      </c>
      <c r="L381" s="3">
        <v>0.47293850941417398</v>
      </c>
      <c r="M381" s="3">
        <v>0.36648430902746798</v>
      </c>
      <c r="N381" s="3">
        <v>0.82835820895522305</v>
      </c>
      <c r="O381" s="3">
        <v>0.469938798616648</v>
      </c>
      <c r="P381">
        <f t="shared" si="136"/>
        <v>0</v>
      </c>
      <c r="Q381">
        <f t="shared" si="137"/>
        <v>0</v>
      </c>
      <c r="R381">
        <f t="shared" si="138"/>
        <v>0</v>
      </c>
      <c r="S381">
        <f t="shared" si="139"/>
        <v>0</v>
      </c>
      <c r="T381">
        <f t="shared" si="140"/>
        <v>0</v>
      </c>
      <c r="U381">
        <f t="shared" si="141"/>
        <v>0</v>
      </c>
      <c r="V381">
        <f t="shared" si="142"/>
        <v>0</v>
      </c>
      <c r="W381">
        <f t="shared" si="143"/>
        <v>0</v>
      </c>
      <c r="X381">
        <f t="shared" si="144"/>
        <v>0</v>
      </c>
      <c r="Y381">
        <f t="shared" si="145"/>
        <v>1</v>
      </c>
      <c r="Z381">
        <f t="shared" si="146"/>
        <v>1</v>
      </c>
      <c r="AA381">
        <f t="shared" si="147"/>
        <v>0</v>
      </c>
      <c r="AB381">
        <f t="shared" si="130"/>
        <v>0</v>
      </c>
      <c r="AC381">
        <f t="shared" si="131"/>
        <v>1</v>
      </c>
      <c r="AD381">
        <f t="shared" si="132"/>
        <v>0</v>
      </c>
      <c r="AE381">
        <f t="shared" si="133"/>
        <v>0</v>
      </c>
      <c r="AF381">
        <f t="shared" si="134"/>
        <v>1</v>
      </c>
      <c r="AG381">
        <f t="shared" si="135"/>
        <v>1</v>
      </c>
      <c r="AH381">
        <f t="shared" si="148"/>
        <v>1</v>
      </c>
      <c r="AI381">
        <f t="shared" si="155"/>
        <v>0</v>
      </c>
      <c r="AJ381">
        <f t="shared" si="155"/>
        <v>0</v>
      </c>
      <c r="AK381">
        <f t="shared" si="155"/>
        <v>0</v>
      </c>
      <c r="AL381">
        <f t="shared" si="155"/>
        <v>0</v>
      </c>
      <c r="AM381">
        <f t="shared" si="155"/>
        <v>0</v>
      </c>
      <c r="AN381">
        <f t="shared" si="155"/>
        <v>0</v>
      </c>
      <c r="AO381">
        <f t="shared" si="155"/>
        <v>0</v>
      </c>
      <c r="AP381">
        <f t="shared" si="155"/>
        <v>0</v>
      </c>
      <c r="AQ381">
        <f t="shared" si="155"/>
        <v>0</v>
      </c>
      <c r="AR381">
        <f t="shared" si="155"/>
        <v>0</v>
      </c>
      <c r="AS381">
        <f t="shared" si="155"/>
        <v>0</v>
      </c>
      <c r="AT381">
        <f t="shared" si="155"/>
        <v>0</v>
      </c>
      <c r="AU381">
        <f t="shared" si="155"/>
        <v>0</v>
      </c>
      <c r="AV381">
        <f t="shared" si="155"/>
        <v>0</v>
      </c>
      <c r="AW381">
        <f t="shared" si="155"/>
        <v>0</v>
      </c>
      <c r="AX381">
        <f t="shared" si="150"/>
        <v>0</v>
      </c>
      <c r="AY381">
        <f t="shared" si="150"/>
        <v>0</v>
      </c>
      <c r="AZ381">
        <f t="shared" si="150"/>
        <v>0</v>
      </c>
      <c r="BA381">
        <f t="shared" si="151"/>
        <v>0</v>
      </c>
      <c r="BB381">
        <f t="shared" si="152"/>
        <v>1</v>
      </c>
    </row>
    <row r="382" spans="1:54">
      <c r="A382">
        <v>379</v>
      </c>
      <c r="B382" t="s">
        <v>20</v>
      </c>
      <c r="C382" t="s">
        <v>29</v>
      </c>
      <c r="D382" t="s">
        <v>23</v>
      </c>
      <c r="E382" t="s">
        <v>20</v>
      </c>
      <c r="F382" t="s">
        <v>29</v>
      </c>
      <c r="G382" t="s">
        <v>25</v>
      </c>
      <c r="H382" s="3">
        <v>4.5016848442432497E-3</v>
      </c>
      <c r="I382" s="3">
        <v>4.40781240519006E-3</v>
      </c>
      <c r="J382" s="3">
        <v>3.8935941272322701E-3</v>
      </c>
      <c r="K382" s="3">
        <v>4.0494699275712203E-3</v>
      </c>
      <c r="L382" s="3">
        <v>3.0030749084474402E-3</v>
      </c>
      <c r="M382" s="3">
        <v>2.4127287101535101E-3</v>
      </c>
      <c r="N382" s="3">
        <v>4.8754776650414998E-3</v>
      </c>
      <c r="O382" s="3">
        <v>3.2751056974126701E-3</v>
      </c>
      <c r="P382">
        <f t="shared" si="136"/>
        <v>0</v>
      </c>
      <c r="Q382">
        <f t="shared" si="137"/>
        <v>0</v>
      </c>
      <c r="R382">
        <f t="shared" si="138"/>
        <v>0</v>
      </c>
      <c r="S382">
        <f t="shared" si="139"/>
        <v>0</v>
      </c>
      <c r="T382">
        <f t="shared" si="140"/>
        <v>0</v>
      </c>
      <c r="U382">
        <f t="shared" si="141"/>
        <v>0</v>
      </c>
      <c r="V382">
        <f t="shared" si="142"/>
        <v>0</v>
      </c>
      <c r="W382">
        <f t="shared" si="143"/>
        <v>0</v>
      </c>
      <c r="X382">
        <f t="shared" si="144"/>
        <v>0</v>
      </c>
      <c r="Y382">
        <f t="shared" si="145"/>
        <v>1</v>
      </c>
      <c r="Z382">
        <f t="shared" si="146"/>
        <v>0</v>
      </c>
      <c r="AA382">
        <f t="shared" si="147"/>
        <v>0</v>
      </c>
      <c r="AB382">
        <f t="shared" si="130"/>
        <v>0</v>
      </c>
      <c r="AC382">
        <f t="shared" si="131"/>
        <v>0</v>
      </c>
      <c r="AD382">
        <f t="shared" si="132"/>
        <v>0</v>
      </c>
      <c r="AE382">
        <f t="shared" si="133"/>
        <v>0</v>
      </c>
      <c r="AF382">
        <f t="shared" si="134"/>
        <v>1</v>
      </c>
      <c r="AG382">
        <f t="shared" si="135"/>
        <v>1</v>
      </c>
      <c r="AH382">
        <f t="shared" si="148"/>
        <v>0</v>
      </c>
      <c r="AI382">
        <f t="shared" si="155"/>
        <v>0</v>
      </c>
      <c r="AJ382">
        <f t="shared" si="155"/>
        <v>0</v>
      </c>
      <c r="AK382">
        <f t="shared" si="155"/>
        <v>0</v>
      </c>
      <c r="AL382">
        <f t="shared" si="155"/>
        <v>0</v>
      </c>
      <c r="AM382">
        <f t="shared" si="155"/>
        <v>0</v>
      </c>
      <c r="AN382">
        <f t="shared" si="155"/>
        <v>0</v>
      </c>
      <c r="AO382">
        <f t="shared" si="155"/>
        <v>1</v>
      </c>
      <c r="AP382">
        <f t="shared" si="155"/>
        <v>0</v>
      </c>
      <c r="AQ382">
        <f t="shared" si="155"/>
        <v>0</v>
      </c>
      <c r="AR382">
        <f t="shared" si="155"/>
        <v>0</v>
      </c>
      <c r="AS382">
        <f t="shared" si="155"/>
        <v>0</v>
      </c>
      <c r="AT382">
        <f t="shared" si="155"/>
        <v>0</v>
      </c>
      <c r="AU382">
        <f t="shared" si="155"/>
        <v>0</v>
      </c>
      <c r="AV382">
        <f t="shared" si="155"/>
        <v>0</v>
      </c>
      <c r="AW382">
        <f t="shared" si="155"/>
        <v>0</v>
      </c>
      <c r="AX382">
        <f t="shared" si="150"/>
        <v>0</v>
      </c>
      <c r="AY382">
        <f t="shared" si="150"/>
        <v>0</v>
      </c>
      <c r="AZ382">
        <f t="shared" si="150"/>
        <v>0</v>
      </c>
      <c r="BA382">
        <f t="shared" si="151"/>
        <v>1</v>
      </c>
      <c r="BB382">
        <f t="shared" si="152"/>
        <v>1</v>
      </c>
    </row>
    <row r="383" spans="1:54">
      <c r="A383">
        <v>380</v>
      </c>
      <c r="B383" t="s">
        <v>20</v>
      </c>
      <c r="C383" t="s">
        <v>29</v>
      </c>
      <c r="D383" t="s">
        <v>23</v>
      </c>
      <c r="E383" t="s">
        <v>20</v>
      </c>
      <c r="F383" t="s">
        <v>29</v>
      </c>
      <c r="G383" t="s">
        <v>26</v>
      </c>
      <c r="H383" s="3">
        <v>4.6090944220199799E-3</v>
      </c>
      <c r="I383" s="3">
        <v>4.5177737719917198E-3</v>
      </c>
      <c r="J383" s="3">
        <v>3.9847171363355796E-3</v>
      </c>
      <c r="K383" s="3">
        <v>4.1531751663134798E-3</v>
      </c>
      <c r="L383" s="3">
        <v>3.0769500335638298E-3</v>
      </c>
      <c r="M383" s="3">
        <v>2.4794827080235802E-3</v>
      </c>
      <c r="N383" s="3">
        <v>4.9928031666066899E-3</v>
      </c>
      <c r="O383" s="3">
        <v>3.3497909502758199E-3</v>
      </c>
      <c r="P383">
        <f t="shared" si="136"/>
        <v>0</v>
      </c>
      <c r="Q383">
        <f t="shared" si="137"/>
        <v>0</v>
      </c>
      <c r="R383">
        <f t="shared" si="138"/>
        <v>0</v>
      </c>
      <c r="S383">
        <f t="shared" si="139"/>
        <v>0</v>
      </c>
      <c r="T383">
        <f t="shared" si="140"/>
        <v>0</v>
      </c>
      <c r="U383">
        <f t="shared" si="141"/>
        <v>0</v>
      </c>
      <c r="V383">
        <f t="shared" si="142"/>
        <v>0</v>
      </c>
      <c r="W383">
        <f t="shared" si="143"/>
        <v>0</v>
      </c>
      <c r="X383">
        <f t="shared" si="144"/>
        <v>0</v>
      </c>
      <c r="Y383">
        <f t="shared" si="145"/>
        <v>1</v>
      </c>
      <c r="Z383">
        <f t="shared" si="146"/>
        <v>0</v>
      </c>
      <c r="AA383">
        <f t="shared" si="147"/>
        <v>0</v>
      </c>
      <c r="AB383">
        <f t="shared" si="130"/>
        <v>0</v>
      </c>
      <c r="AC383">
        <f t="shared" si="131"/>
        <v>0</v>
      </c>
      <c r="AD383">
        <f t="shared" si="132"/>
        <v>0</v>
      </c>
      <c r="AE383">
        <f t="shared" si="133"/>
        <v>0</v>
      </c>
      <c r="AF383">
        <f t="shared" si="134"/>
        <v>1</v>
      </c>
      <c r="AG383">
        <f t="shared" si="135"/>
        <v>1</v>
      </c>
      <c r="AH383">
        <f t="shared" si="148"/>
        <v>0</v>
      </c>
      <c r="AI383">
        <f t="shared" si="155"/>
        <v>0</v>
      </c>
      <c r="AJ383">
        <f t="shared" si="155"/>
        <v>0</v>
      </c>
      <c r="AK383">
        <f t="shared" si="155"/>
        <v>1</v>
      </c>
      <c r="AL383">
        <f t="shared" si="155"/>
        <v>0</v>
      </c>
      <c r="AM383">
        <f t="shared" si="155"/>
        <v>0</v>
      </c>
      <c r="AN383">
        <f t="shared" si="155"/>
        <v>0</v>
      </c>
      <c r="AO383">
        <f t="shared" si="155"/>
        <v>0</v>
      </c>
      <c r="AP383">
        <f t="shared" si="155"/>
        <v>0</v>
      </c>
      <c r="AQ383">
        <f t="shared" si="155"/>
        <v>0</v>
      </c>
      <c r="AR383">
        <f t="shared" si="155"/>
        <v>0</v>
      </c>
      <c r="AS383">
        <f t="shared" si="155"/>
        <v>0</v>
      </c>
      <c r="AT383">
        <f t="shared" si="155"/>
        <v>0</v>
      </c>
      <c r="AU383">
        <f t="shared" si="155"/>
        <v>0</v>
      </c>
      <c r="AV383">
        <f t="shared" si="155"/>
        <v>0</v>
      </c>
      <c r="AW383">
        <f t="shared" si="155"/>
        <v>0</v>
      </c>
      <c r="AX383">
        <f t="shared" si="150"/>
        <v>0</v>
      </c>
      <c r="AY383">
        <f t="shared" si="150"/>
        <v>0</v>
      </c>
      <c r="AZ383">
        <f t="shared" si="150"/>
        <v>0</v>
      </c>
      <c r="BA383">
        <f t="shared" si="151"/>
        <v>1</v>
      </c>
      <c r="BB383">
        <f t="shared" si="152"/>
        <v>1</v>
      </c>
    </row>
    <row r="384" spans="1:54">
      <c r="A384">
        <v>381</v>
      </c>
      <c r="B384" t="s">
        <v>20</v>
      </c>
      <c r="C384" t="s">
        <v>29</v>
      </c>
      <c r="D384" t="s">
        <v>23</v>
      </c>
      <c r="E384" t="s">
        <v>30</v>
      </c>
      <c r="F384" t="s">
        <v>21</v>
      </c>
      <c r="G384" t="s">
        <v>22</v>
      </c>
      <c r="H384" s="3">
        <v>0.535216164538176</v>
      </c>
      <c r="I384" s="3">
        <v>0.51595821959060595</v>
      </c>
      <c r="J384" s="3">
        <v>0.42971174567614601</v>
      </c>
      <c r="K384" s="3">
        <v>0.47205763300206599</v>
      </c>
      <c r="L384" s="3">
        <v>0.339216319991757</v>
      </c>
      <c r="M384" s="3">
        <v>0.26626237140688802</v>
      </c>
      <c r="N384" s="3">
        <v>0.57657657657657602</v>
      </c>
      <c r="O384" s="3">
        <v>0.36233682959115299</v>
      </c>
      <c r="P384">
        <f t="shared" si="136"/>
        <v>0</v>
      </c>
      <c r="Q384">
        <f t="shared" si="137"/>
        <v>0</v>
      </c>
      <c r="R384">
        <f t="shared" si="138"/>
        <v>0</v>
      </c>
      <c r="S384">
        <f t="shared" si="139"/>
        <v>0</v>
      </c>
      <c r="T384">
        <f t="shared" si="140"/>
        <v>1</v>
      </c>
      <c r="U384">
        <f t="shared" si="141"/>
        <v>0</v>
      </c>
      <c r="V384">
        <f t="shared" si="142"/>
        <v>0</v>
      </c>
      <c r="W384">
        <f t="shared" si="143"/>
        <v>0</v>
      </c>
      <c r="X384">
        <f t="shared" si="144"/>
        <v>0</v>
      </c>
      <c r="Y384">
        <f t="shared" si="145"/>
        <v>1</v>
      </c>
      <c r="Z384">
        <f t="shared" si="146"/>
        <v>0</v>
      </c>
      <c r="AA384">
        <f t="shared" si="147"/>
        <v>0</v>
      </c>
      <c r="AB384">
        <f t="shared" si="130"/>
        <v>0</v>
      </c>
      <c r="AC384">
        <f t="shared" si="131"/>
        <v>1</v>
      </c>
      <c r="AD384">
        <f t="shared" si="132"/>
        <v>0</v>
      </c>
      <c r="AE384">
        <f t="shared" si="133"/>
        <v>0</v>
      </c>
      <c r="AF384">
        <f t="shared" si="134"/>
        <v>0</v>
      </c>
      <c r="AG384">
        <f t="shared" si="135"/>
        <v>0</v>
      </c>
      <c r="AH384">
        <f t="shared" si="148"/>
        <v>1</v>
      </c>
      <c r="AI384">
        <f t="shared" si="155"/>
        <v>0</v>
      </c>
      <c r="AJ384">
        <f t="shared" si="155"/>
        <v>0</v>
      </c>
      <c r="AK384">
        <f t="shared" si="155"/>
        <v>0</v>
      </c>
      <c r="AL384">
        <f t="shared" si="155"/>
        <v>0</v>
      </c>
      <c r="AM384">
        <f t="shared" si="155"/>
        <v>0</v>
      </c>
      <c r="AN384">
        <f t="shared" si="155"/>
        <v>0</v>
      </c>
      <c r="AO384">
        <f t="shared" si="155"/>
        <v>0</v>
      </c>
      <c r="AP384">
        <f t="shared" si="155"/>
        <v>0</v>
      </c>
      <c r="AQ384">
        <f t="shared" si="155"/>
        <v>0</v>
      </c>
      <c r="AR384">
        <f t="shared" si="155"/>
        <v>1</v>
      </c>
      <c r="AS384">
        <f t="shared" si="155"/>
        <v>0</v>
      </c>
      <c r="AT384">
        <f t="shared" si="155"/>
        <v>0</v>
      </c>
      <c r="AU384">
        <f t="shared" si="155"/>
        <v>0</v>
      </c>
      <c r="AV384">
        <f t="shared" si="155"/>
        <v>0</v>
      </c>
      <c r="AW384">
        <f t="shared" si="155"/>
        <v>0</v>
      </c>
      <c r="AX384">
        <f t="shared" si="150"/>
        <v>0</v>
      </c>
      <c r="AY384">
        <f t="shared" si="150"/>
        <v>0</v>
      </c>
      <c r="AZ384">
        <f t="shared" si="150"/>
        <v>1</v>
      </c>
      <c r="BA384">
        <f t="shared" si="151"/>
        <v>0</v>
      </c>
      <c r="BB384">
        <f t="shared" si="152"/>
        <v>1</v>
      </c>
    </row>
    <row r="385" spans="1:54">
      <c r="A385">
        <v>382</v>
      </c>
      <c r="B385" t="s">
        <v>20</v>
      </c>
      <c r="C385" t="s">
        <v>29</v>
      </c>
      <c r="D385" t="s">
        <v>23</v>
      </c>
      <c r="E385" t="s">
        <v>30</v>
      </c>
      <c r="F385" t="s">
        <v>21</v>
      </c>
      <c r="G385" t="s">
        <v>23</v>
      </c>
      <c r="H385" s="3">
        <v>0.57162227233394602</v>
      </c>
      <c r="I385" s="3">
        <v>0.56914512165208497</v>
      </c>
      <c r="J385" s="3">
        <v>0.48742468599192401</v>
      </c>
      <c r="K385" s="3">
        <v>0.52965648323104197</v>
      </c>
      <c r="L385" s="3">
        <v>0.42616367493229401</v>
      </c>
      <c r="M385" s="3">
        <v>0.34447817068780401</v>
      </c>
      <c r="N385" s="3">
        <v>0.62162162162162105</v>
      </c>
      <c r="O385" s="3">
        <v>0.43824258308661601</v>
      </c>
      <c r="P385">
        <f t="shared" si="136"/>
        <v>0</v>
      </c>
      <c r="Q385">
        <f t="shared" si="137"/>
        <v>0</v>
      </c>
      <c r="R385">
        <f t="shared" si="138"/>
        <v>0</v>
      </c>
      <c r="S385">
        <f t="shared" si="139"/>
        <v>0</v>
      </c>
      <c r="T385">
        <f t="shared" si="140"/>
        <v>0</v>
      </c>
      <c r="U385">
        <f t="shared" si="141"/>
        <v>1</v>
      </c>
      <c r="V385">
        <f t="shared" si="142"/>
        <v>0</v>
      </c>
      <c r="W385">
        <f t="shared" si="143"/>
        <v>0</v>
      </c>
      <c r="X385">
        <f t="shared" si="144"/>
        <v>0</v>
      </c>
      <c r="Y385">
        <f t="shared" si="145"/>
        <v>1</v>
      </c>
      <c r="Z385">
        <f t="shared" si="146"/>
        <v>0</v>
      </c>
      <c r="AA385">
        <f t="shared" si="147"/>
        <v>0</v>
      </c>
      <c r="AB385">
        <f t="shared" si="130"/>
        <v>0</v>
      </c>
      <c r="AC385">
        <f t="shared" si="131"/>
        <v>1</v>
      </c>
      <c r="AD385">
        <f t="shared" si="132"/>
        <v>0</v>
      </c>
      <c r="AE385">
        <f t="shared" si="133"/>
        <v>0</v>
      </c>
      <c r="AF385">
        <f t="shared" si="134"/>
        <v>0</v>
      </c>
      <c r="AG385">
        <f t="shared" si="135"/>
        <v>0</v>
      </c>
      <c r="AH385">
        <f t="shared" si="148"/>
        <v>1</v>
      </c>
      <c r="AI385">
        <f t="shared" si="155"/>
        <v>0</v>
      </c>
      <c r="AJ385">
        <f t="shared" si="155"/>
        <v>0</v>
      </c>
      <c r="AK385">
        <f t="shared" si="155"/>
        <v>0</v>
      </c>
      <c r="AL385">
        <f t="shared" si="155"/>
        <v>0</v>
      </c>
      <c r="AM385">
        <f t="shared" si="155"/>
        <v>0</v>
      </c>
      <c r="AN385">
        <f t="shared" si="155"/>
        <v>0</v>
      </c>
      <c r="AO385">
        <f t="shared" si="155"/>
        <v>0</v>
      </c>
      <c r="AP385">
        <f t="shared" si="155"/>
        <v>0</v>
      </c>
      <c r="AQ385">
        <f t="shared" si="155"/>
        <v>0</v>
      </c>
      <c r="AR385">
        <f t="shared" si="155"/>
        <v>0</v>
      </c>
      <c r="AS385">
        <f t="shared" si="155"/>
        <v>0</v>
      </c>
      <c r="AT385">
        <f t="shared" si="155"/>
        <v>0</v>
      </c>
      <c r="AU385">
        <f t="shared" si="155"/>
        <v>0</v>
      </c>
      <c r="AV385">
        <f t="shared" si="155"/>
        <v>0</v>
      </c>
      <c r="AW385">
        <f t="shared" si="155"/>
        <v>0</v>
      </c>
      <c r="AX385">
        <f t="shared" si="150"/>
        <v>0</v>
      </c>
      <c r="AY385">
        <f t="shared" si="150"/>
        <v>0</v>
      </c>
      <c r="AZ385">
        <f t="shared" si="150"/>
        <v>1</v>
      </c>
      <c r="BA385">
        <f t="shared" si="151"/>
        <v>0</v>
      </c>
      <c r="BB385">
        <f t="shared" si="152"/>
        <v>1</v>
      </c>
    </row>
    <row r="386" spans="1:54">
      <c r="A386">
        <v>383</v>
      </c>
      <c r="B386" t="s">
        <v>20</v>
      </c>
      <c r="C386" t="s">
        <v>29</v>
      </c>
      <c r="D386" t="s">
        <v>23</v>
      </c>
      <c r="E386" t="s">
        <v>30</v>
      </c>
      <c r="F386" t="s">
        <v>21</v>
      </c>
      <c r="G386" t="s">
        <v>24</v>
      </c>
      <c r="H386" s="3">
        <v>4.0309234129368703E-2</v>
      </c>
      <c r="I386" s="3">
        <v>3.8979617021378601E-2</v>
      </c>
      <c r="J386" s="3">
        <v>3.4010899024371197E-2</v>
      </c>
      <c r="K386" s="3">
        <v>3.5258019138542103E-2</v>
      </c>
      <c r="L386" s="3">
        <v>2.5705988665939299E-2</v>
      </c>
      <c r="M386" s="3">
        <v>2.0134110840152899E-2</v>
      </c>
      <c r="N386" s="3">
        <v>4.4082605242255699E-2</v>
      </c>
      <c r="O386" s="3">
        <v>2.7605914472943999E-2</v>
      </c>
      <c r="P386">
        <f t="shared" si="136"/>
        <v>0</v>
      </c>
      <c r="Q386">
        <f t="shared" si="137"/>
        <v>0</v>
      </c>
      <c r="R386">
        <f t="shared" si="138"/>
        <v>0</v>
      </c>
      <c r="S386">
        <f t="shared" si="139"/>
        <v>0</v>
      </c>
      <c r="T386">
        <f t="shared" si="140"/>
        <v>0</v>
      </c>
      <c r="U386">
        <f t="shared" si="141"/>
        <v>0</v>
      </c>
      <c r="V386">
        <f t="shared" si="142"/>
        <v>1</v>
      </c>
      <c r="W386">
        <f t="shared" si="143"/>
        <v>0</v>
      </c>
      <c r="X386">
        <f t="shared" si="144"/>
        <v>0</v>
      </c>
      <c r="Y386">
        <f t="shared" si="145"/>
        <v>1</v>
      </c>
      <c r="Z386">
        <f t="shared" si="146"/>
        <v>0</v>
      </c>
      <c r="AA386">
        <f t="shared" si="147"/>
        <v>0</v>
      </c>
      <c r="AB386">
        <f t="shared" si="130"/>
        <v>0</v>
      </c>
      <c r="AC386">
        <f t="shared" si="131"/>
        <v>0</v>
      </c>
      <c r="AD386">
        <f t="shared" si="132"/>
        <v>0</v>
      </c>
      <c r="AE386">
        <f t="shared" si="133"/>
        <v>0</v>
      </c>
      <c r="AF386">
        <f t="shared" si="134"/>
        <v>0</v>
      </c>
      <c r="AG386">
        <f t="shared" si="135"/>
        <v>0</v>
      </c>
      <c r="AH386">
        <f t="shared" si="148"/>
        <v>0</v>
      </c>
      <c r="AI386">
        <f t="shared" si="155"/>
        <v>0</v>
      </c>
      <c r="AJ386">
        <f t="shared" si="155"/>
        <v>0</v>
      </c>
      <c r="AK386">
        <f t="shared" si="155"/>
        <v>0</v>
      </c>
      <c r="AL386">
        <f t="shared" si="155"/>
        <v>0</v>
      </c>
      <c r="AM386">
        <f t="shared" si="155"/>
        <v>0</v>
      </c>
      <c r="AN386">
        <f t="shared" si="155"/>
        <v>0</v>
      </c>
      <c r="AO386">
        <f t="shared" si="155"/>
        <v>0</v>
      </c>
      <c r="AP386">
        <f t="shared" si="155"/>
        <v>0</v>
      </c>
      <c r="AQ386">
        <f t="shared" si="155"/>
        <v>0</v>
      </c>
      <c r="AR386">
        <f t="shared" si="155"/>
        <v>0</v>
      </c>
      <c r="AS386">
        <f t="shared" si="155"/>
        <v>0</v>
      </c>
      <c r="AT386">
        <f t="shared" si="155"/>
        <v>0</v>
      </c>
      <c r="AU386">
        <f t="shared" si="155"/>
        <v>1</v>
      </c>
      <c r="AV386">
        <f t="shared" si="155"/>
        <v>0</v>
      </c>
      <c r="AW386">
        <f t="shared" si="155"/>
        <v>0</v>
      </c>
      <c r="AX386">
        <f t="shared" si="150"/>
        <v>0</v>
      </c>
      <c r="AY386">
        <f t="shared" si="150"/>
        <v>0</v>
      </c>
      <c r="AZ386">
        <f t="shared" si="150"/>
        <v>1</v>
      </c>
      <c r="BA386">
        <f t="shared" si="151"/>
        <v>0</v>
      </c>
      <c r="BB386">
        <f t="shared" si="152"/>
        <v>1</v>
      </c>
    </row>
    <row r="387" spans="1:54">
      <c r="A387">
        <v>384</v>
      </c>
      <c r="B387" t="s">
        <v>20</v>
      </c>
      <c r="C387" t="s">
        <v>29</v>
      </c>
      <c r="D387" t="s">
        <v>23</v>
      </c>
      <c r="E387" t="s">
        <v>30</v>
      </c>
      <c r="F387" t="s">
        <v>21</v>
      </c>
      <c r="G387" t="s">
        <v>25</v>
      </c>
      <c r="H387" s="3">
        <v>3.0609954610243101E-2</v>
      </c>
      <c r="I387" s="3">
        <v>2.9623420209737999E-2</v>
      </c>
      <c r="J387" s="3">
        <v>2.5999049371616401E-2</v>
      </c>
      <c r="K387" s="3">
        <v>2.69441887957006E-2</v>
      </c>
      <c r="L387" s="3">
        <v>2.0108249324828301E-2</v>
      </c>
      <c r="M387" s="3">
        <v>1.5949269308921599E-2</v>
      </c>
      <c r="N387" s="3">
        <v>3.3273381294964002E-2</v>
      </c>
      <c r="O387" s="3">
        <v>2.15389647183423E-2</v>
      </c>
      <c r="P387">
        <f t="shared" si="136"/>
        <v>0</v>
      </c>
      <c r="Q387">
        <f t="shared" si="137"/>
        <v>0</v>
      </c>
      <c r="R387">
        <f t="shared" si="138"/>
        <v>0</v>
      </c>
      <c r="S387">
        <f t="shared" si="139"/>
        <v>0</v>
      </c>
      <c r="T387">
        <f t="shared" si="140"/>
        <v>0</v>
      </c>
      <c r="U387">
        <f t="shared" si="141"/>
        <v>0</v>
      </c>
      <c r="V387">
        <f t="shared" si="142"/>
        <v>0</v>
      </c>
      <c r="W387">
        <f t="shared" si="143"/>
        <v>0</v>
      </c>
      <c r="X387">
        <f t="shared" si="144"/>
        <v>0</v>
      </c>
      <c r="Y387">
        <f t="shared" si="145"/>
        <v>1</v>
      </c>
      <c r="Z387">
        <f t="shared" si="146"/>
        <v>0</v>
      </c>
      <c r="AA387">
        <f t="shared" si="147"/>
        <v>0</v>
      </c>
      <c r="AB387">
        <f t="shared" ref="AB387:AB450" si="156">IF(AND(AND(C387="windows",D387="clang"),AND(F387="windows",G387="clang")),1,0)</f>
        <v>0</v>
      </c>
      <c r="AC387">
        <f t="shared" ref="AC387:AC450" si="157">IF(AND(OR(D387="clang",D387="gcc",D387="msvc"),OR(G387="gcc",G387="clang",G387="msvc")),1,0)</f>
        <v>0</v>
      </c>
      <c r="AD387">
        <f t="shared" ref="AD387:AD450" si="158">IF(AND(OR(D387="go",D387="tgo"),OR(G387="go",G387="tgo")),1,0)</f>
        <v>0</v>
      </c>
      <c r="AE387">
        <f t="shared" ref="AE387:AE450" si="159">IF(AND(OR(D387="rs-pure",D387="rs-sys"),OR(G387="rs-pure",G387="rs-sys")),1,0)</f>
        <v>0</v>
      </c>
      <c r="AF387">
        <f t="shared" ref="AF387:AF450" si="160">IF(C387=F387,1,0)</f>
        <v>0</v>
      </c>
      <c r="AG387">
        <f t="shared" ref="AG387:AG450" si="161">IF(B387=E387,1,0)</f>
        <v>0</v>
      </c>
      <c r="AH387">
        <f t="shared" si="148"/>
        <v>0</v>
      </c>
      <c r="AI387">
        <f t="shared" si="155"/>
        <v>0</v>
      </c>
      <c r="AJ387">
        <f t="shared" si="155"/>
        <v>0</v>
      </c>
      <c r="AK387">
        <f t="shared" si="155"/>
        <v>0</v>
      </c>
      <c r="AL387">
        <f t="shared" si="155"/>
        <v>0</v>
      </c>
      <c r="AM387">
        <f t="shared" si="155"/>
        <v>0</v>
      </c>
      <c r="AN387">
        <f t="shared" si="155"/>
        <v>0</v>
      </c>
      <c r="AO387">
        <f t="shared" si="155"/>
        <v>1</v>
      </c>
      <c r="AP387">
        <f t="shared" si="155"/>
        <v>0</v>
      </c>
      <c r="AQ387">
        <f t="shared" si="155"/>
        <v>0</v>
      </c>
      <c r="AR387">
        <f t="shared" si="155"/>
        <v>0</v>
      </c>
      <c r="AS387">
        <f t="shared" si="155"/>
        <v>0</v>
      </c>
      <c r="AT387">
        <f t="shared" si="155"/>
        <v>0</v>
      </c>
      <c r="AU387">
        <f t="shared" si="155"/>
        <v>0</v>
      </c>
      <c r="AV387">
        <f t="shared" si="155"/>
        <v>0</v>
      </c>
      <c r="AW387">
        <f t="shared" si="155"/>
        <v>0</v>
      </c>
      <c r="AX387">
        <f t="shared" si="150"/>
        <v>0</v>
      </c>
      <c r="AY387">
        <f t="shared" si="150"/>
        <v>0</v>
      </c>
      <c r="AZ387">
        <f t="shared" si="150"/>
        <v>1</v>
      </c>
      <c r="BA387">
        <f t="shared" si="151"/>
        <v>1</v>
      </c>
      <c r="BB387">
        <f t="shared" si="152"/>
        <v>1</v>
      </c>
    </row>
    <row r="388" spans="1:54">
      <c r="A388">
        <v>385</v>
      </c>
      <c r="B388" t="s">
        <v>20</v>
      </c>
      <c r="C388" t="s">
        <v>29</v>
      </c>
      <c r="D388" t="s">
        <v>23</v>
      </c>
      <c r="E388" t="s">
        <v>30</v>
      </c>
      <c r="F388" t="s">
        <v>21</v>
      </c>
      <c r="G388" t="s">
        <v>26</v>
      </c>
      <c r="H388" s="3">
        <v>3.1005192839853798E-2</v>
      </c>
      <c r="I388" s="3">
        <v>3.00605594952255E-2</v>
      </c>
      <c r="J388" s="3">
        <v>2.6349789410979801E-2</v>
      </c>
      <c r="K388" s="3">
        <v>2.7390077359128202E-2</v>
      </c>
      <c r="L388" s="3">
        <v>2.0334402012389199E-2</v>
      </c>
      <c r="M388" s="3">
        <v>1.61142206068077E-2</v>
      </c>
      <c r="N388" s="3">
        <v>3.3687405159332301E-2</v>
      </c>
      <c r="O388" s="3">
        <v>2.18313863389244E-2</v>
      </c>
      <c r="P388">
        <f t="shared" ref="P388:P451" si="162">IF(OR(AND($C388="linux",$D388="clang"),AND($F388="linux",$G388="clang")),1,0)</f>
        <v>0</v>
      </c>
      <c r="Q388">
        <f t="shared" ref="Q388:Q451" si="163">IF(OR(AND($C388="linux",$D388="gcc"),AND($F388="linux",$G388="gcc")),1,0)</f>
        <v>0</v>
      </c>
      <c r="R388">
        <f t="shared" ref="R388:R451" si="164">IF(OR(AND($C388="linux",$D388="go"),AND($F388="linux",$G388="go")),1,0)</f>
        <v>0</v>
      </c>
      <c r="S388">
        <f t="shared" ref="S388:S451" si="165">IF(OR(AND($C388="linux",$D388="tgo"),AND($F388="linux",$G388="tgo")),1,0)</f>
        <v>0</v>
      </c>
      <c r="T388">
        <f t="shared" ref="T388:T451" si="166">IF(OR(AND($C388="darwin",$D388="clang"),AND($F388="darwin",$G388="clang")),1,0)</f>
        <v>0</v>
      </c>
      <c r="U388">
        <f t="shared" ref="U388:U451" si="167">IF(OR(AND($C388="darwin",$D388="gcc"),AND($F388="darwin",$G388="gcc")),1,0)</f>
        <v>0</v>
      </c>
      <c r="V388">
        <f t="shared" ref="V388:V451" si="168">IF(OR(AND($C388="darwin",$D388="go"),AND($F388="darwin",$G388="go")),1,0)</f>
        <v>0</v>
      </c>
      <c r="W388">
        <f t="shared" ref="W388:W451" si="169">IF(OR(AND($C388="darwin",$D388="tgo"),AND($F388="darwin",$G388="tgo")),1,0)</f>
        <v>0</v>
      </c>
      <c r="X388">
        <f t="shared" ref="X388:X451" si="170">IF(OR(AND($C388="windows",$D388="clang"),AND($F388="windows",$G388="clang")),1,0)</f>
        <v>0</v>
      </c>
      <c r="Y388">
        <f t="shared" ref="Y388:Y451" si="171">IF(OR(AND($C388="windows",$D388="gcc"),AND($F388="windows",$G388="gcc")),1,0)</f>
        <v>1</v>
      </c>
      <c r="Z388">
        <f t="shared" ref="Z388:Z451" si="172">IF(OR(AND($C388="windows",$D388="msvc"),AND($F388="windows",$G388="msvc")),1,0)</f>
        <v>0</v>
      </c>
      <c r="AA388">
        <f t="shared" ref="AA388:AA451" si="173">IF(OR(AND($C388="windows",$D388="go"),AND($F388="windows",$G388="go")),1,0)</f>
        <v>0</v>
      </c>
      <c r="AB388">
        <f t="shared" si="156"/>
        <v>0</v>
      </c>
      <c r="AC388">
        <f t="shared" si="157"/>
        <v>0</v>
      </c>
      <c r="AD388">
        <f t="shared" si="158"/>
        <v>0</v>
      </c>
      <c r="AE388">
        <f t="shared" si="159"/>
        <v>0</v>
      </c>
      <c r="AF388">
        <f t="shared" si="160"/>
        <v>0</v>
      </c>
      <c r="AG388">
        <f t="shared" si="161"/>
        <v>0</v>
      </c>
      <c r="AH388">
        <f t="shared" ref="AH388:AH451" si="174">IF(SUM(AC388:AE388)=1,1,0)</f>
        <v>0</v>
      </c>
      <c r="AI388">
        <f t="shared" si="155"/>
        <v>0</v>
      </c>
      <c r="AJ388">
        <f t="shared" si="155"/>
        <v>0</v>
      </c>
      <c r="AK388">
        <f t="shared" si="155"/>
        <v>1</v>
      </c>
      <c r="AL388">
        <f t="shared" si="155"/>
        <v>0</v>
      </c>
      <c r="AM388">
        <f t="shared" si="155"/>
        <v>0</v>
      </c>
      <c r="AN388">
        <f t="shared" si="155"/>
        <v>0</v>
      </c>
      <c r="AO388">
        <f t="shared" si="155"/>
        <v>0</v>
      </c>
      <c r="AP388">
        <f t="shared" si="155"/>
        <v>0</v>
      </c>
      <c r="AQ388">
        <f t="shared" si="155"/>
        <v>0</v>
      </c>
      <c r="AR388">
        <f t="shared" si="155"/>
        <v>0</v>
      </c>
      <c r="AS388">
        <f t="shared" si="155"/>
        <v>0</v>
      </c>
      <c r="AT388">
        <f t="shared" si="155"/>
        <v>0</v>
      </c>
      <c r="AU388">
        <f t="shared" si="155"/>
        <v>0</v>
      </c>
      <c r="AV388">
        <f t="shared" si="155"/>
        <v>0</v>
      </c>
      <c r="AW388">
        <f t="shared" si="155"/>
        <v>0</v>
      </c>
      <c r="AX388">
        <f t="shared" ref="AX388:AZ451" si="175">IF(OR(AND($C388=AX$1,$F388=AX$2),AND($C388=AX$2,$F388=AX$1)),1,0)</f>
        <v>0</v>
      </c>
      <c r="AY388">
        <f t="shared" si="175"/>
        <v>0</v>
      </c>
      <c r="AZ388">
        <f t="shared" si="175"/>
        <v>1</v>
      </c>
      <c r="BA388">
        <f t="shared" ref="BA388:BA451" si="176">IF(SUM(AI388:AQ388)=1,1,0)</f>
        <v>1</v>
      </c>
      <c r="BB388">
        <f t="shared" ref="BB388:BB451" si="177">IF(OR(C388="windows",F388="windows"),1,0)</f>
        <v>1</v>
      </c>
    </row>
    <row r="389" spans="1:54">
      <c r="A389">
        <v>386</v>
      </c>
      <c r="B389" t="s">
        <v>20</v>
      </c>
      <c r="C389" t="s">
        <v>29</v>
      </c>
      <c r="D389" t="s">
        <v>23</v>
      </c>
      <c r="E389" t="s">
        <v>30</v>
      </c>
      <c r="F389" t="s">
        <v>21</v>
      </c>
      <c r="G389" t="s">
        <v>27</v>
      </c>
      <c r="H389" s="3">
        <v>0.10168648153621</v>
      </c>
      <c r="I389" s="3">
        <v>9.8345512276917998E-2</v>
      </c>
      <c r="J389" s="3">
        <v>8.5510998357978402E-2</v>
      </c>
      <c r="K389" s="3">
        <v>8.8354990405447295E-2</v>
      </c>
      <c r="L389" s="3">
        <v>6.5953194023218295E-2</v>
      </c>
      <c r="M389" s="3">
        <v>5.17889547729651E-2</v>
      </c>
      <c r="N389" s="3">
        <v>0.112234580384226</v>
      </c>
      <c r="O389" s="3">
        <v>6.8792512386767299E-2</v>
      </c>
      <c r="P389">
        <f t="shared" si="162"/>
        <v>0</v>
      </c>
      <c r="Q389">
        <f t="shared" si="163"/>
        <v>0</v>
      </c>
      <c r="R389">
        <f t="shared" si="164"/>
        <v>0</v>
      </c>
      <c r="S389">
        <f t="shared" si="165"/>
        <v>0</v>
      </c>
      <c r="T389">
        <f t="shared" si="166"/>
        <v>0</v>
      </c>
      <c r="U389">
        <f t="shared" si="167"/>
        <v>0</v>
      </c>
      <c r="V389">
        <f t="shared" si="168"/>
        <v>0</v>
      </c>
      <c r="W389">
        <f t="shared" si="169"/>
        <v>1</v>
      </c>
      <c r="X389">
        <f t="shared" si="170"/>
        <v>0</v>
      </c>
      <c r="Y389">
        <f t="shared" si="171"/>
        <v>1</v>
      </c>
      <c r="Z389">
        <f t="shared" si="172"/>
        <v>0</v>
      </c>
      <c r="AA389">
        <f t="shared" si="173"/>
        <v>0</v>
      </c>
      <c r="AB389">
        <f t="shared" si="156"/>
        <v>0</v>
      </c>
      <c r="AC389">
        <f t="shared" si="157"/>
        <v>0</v>
      </c>
      <c r="AD389">
        <f t="shared" si="158"/>
        <v>0</v>
      </c>
      <c r="AE389">
        <f t="shared" si="159"/>
        <v>0</v>
      </c>
      <c r="AF389">
        <f t="shared" si="160"/>
        <v>0</v>
      </c>
      <c r="AG389">
        <f t="shared" si="161"/>
        <v>0</v>
      </c>
      <c r="AH389">
        <f t="shared" si="174"/>
        <v>0</v>
      </c>
      <c r="AI389">
        <f t="shared" si="155"/>
        <v>0</v>
      </c>
      <c r="AJ389">
        <f t="shared" si="155"/>
        <v>0</v>
      </c>
      <c r="AK389">
        <f t="shared" si="155"/>
        <v>0</v>
      </c>
      <c r="AL389">
        <f t="shared" si="155"/>
        <v>0</v>
      </c>
      <c r="AM389">
        <f t="shared" si="155"/>
        <v>0</v>
      </c>
      <c r="AN389">
        <f t="shared" si="155"/>
        <v>0</v>
      </c>
      <c r="AO389">
        <f t="shared" si="155"/>
        <v>0</v>
      </c>
      <c r="AP389">
        <f t="shared" si="155"/>
        <v>0</v>
      </c>
      <c r="AQ389">
        <f t="shared" si="155"/>
        <v>0</v>
      </c>
      <c r="AR389">
        <f t="shared" si="155"/>
        <v>0</v>
      </c>
      <c r="AS389">
        <f t="shared" si="155"/>
        <v>0</v>
      </c>
      <c r="AT389">
        <f t="shared" si="155"/>
        <v>0</v>
      </c>
      <c r="AU389">
        <f t="shared" si="155"/>
        <v>0</v>
      </c>
      <c r="AV389">
        <f t="shared" si="155"/>
        <v>1</v>
      </c>
      <c r="AW389">
        <f t="shared" si="155"/>
        <v>0</v>
      </c>
      <c r="AX389">
        <f t="shared" si="175"/>
        <v>0</v>
      </c>
      <c r="AY389">
        <f t="shared" si="175"/>
        <v>0</v>
      </c>
      <c r="AZ389">
        <f t="shared" si="175"/>
        <v>1</v>
      </c>
      <c r="BA389">
        <f t="shared" si="176"/>
        <v>0</v>
      </c>
      <c r="BB389">
        <f t="shared" si="177"/>
        <v>1</v>
      </c>
    </row>
    <row r="390" spans="1:54">
      <c r="A390">
        <v>387</v>
      </c>
      <c r="B390" t="s">
        <v>20</v>
      </c>
      <c r="C390" t="s">
        <v>29</v>
      </c>
      <c r="D390" t="s">
        <v>23</v>
      </c>
      <c r="E390" t="s">
        <v>30</v>
      </c>
      <c r="F390" t="s">
        <v>28</v>
      </c>
      <c r="G390" t="s">
        <v>22</v>
      </c>
      <c r="H390" s="3">
        <v>0.59137575585856095</v>
      </c>
      <c r="I390" s="3">
        <v>0.57218859733995997</v>
      </c>
      <c r="J390" s="3">
        <v>0.49626317560056199</v>
      </c>
      <c r="K390" s="3">
        <v>0.52909092821450499</v>
      </c>
      <c r="L390" s="3">
        <v>0.40625322001077802</v>
      </c>
      <c r="M390" s="3">
        <v>0.32795429271554499</v>
      </c>
      <c r="N390" s="3">
        <v>0.63063063063062996</v>
      </c>
      <c r="O390" s="3">
        <v>0.43355508547489302</v>
      </c>
      <c r="P390">
        <f t="shared" si="162"/>
        <v>1</v>
      </c>
      <c r="Q390">
        <f t="shared" si="163"/>
        <v>0</v>
      </c>
      <c r="R390">
        <f t="shared" si="164"/>
        <v>0</v>
      </c>
      <c r="S390">
        <f t="shared" si="165"/>
        <v>0</v>
      </c>
      <c r="T390">
        <f t="shared" si="166"/>
        <v>0</v>
      </c>
      <c r="U390">
        <f t="shared" si="167"/>
        <v>0</v>
      </c>
      <c r="V390">
        <f t="shared" si="168"/>
        <v>0</v>
      </c>
      <c r="W390">
        <f t="shared" si="169"/>
        <v>0</v>
      </c>
      <c r="X390">
        <f t="shared" si="170"/>
        <v>0</v>
      </c>
      <c r="Y390">
        <f t="shared" si="171"/>
        <v>1</v>
      </c>
      <c r="Z390">
        <f t="shared" si="172"/>
        <v>0</v>
      </c>
      <c r="AA390">
        <f t="shared" si="173"/>
        <v>0</v>
      </c>
      <c r="AB390">
        <f t="shared" si="156"/>
        <v>0</v>
      </c>
      <c r="AC390">
        <f t="shared" si="157"/>
        <v>1</v>
      </c>
      <c r="AD390">
        <f t="shared" si="158"/>
        <v>0</v>
      </c>
      <c r="AE390">
        <f t="shared" si="159"/>
        <v>0</v>
      </c>
      <c r="AF390">
        <f t="shared" si="160"/>
        <v>0</v>
      </c>
      <c r="AG390">
        <f t="shared" si="161"/>
        <v>0</v>
      </c>
      <c r="AH390">
        <f t="shared" si="174"/>
        <v>1</v>
      </c>
      <c r="AI390">
        <f t="shared" si="155"/>
        <v>0</v>
      </c>
      <c r="AJ390">
        <f t="shared" si="155"/>
        <v>0</v>
      </c>
      <c r="AK390">
        <f t="shared" si="155"/>
        <v>0</v>
      </c>
      <c r="AL390">
        <f t="shared" si="155"/>
        <v>0</v>
      </c>
      <c r="AM390">
        <f t="shared" si="155"/>
        <v>0</v>
      </c>
      <c r="AN390">
        <f t="shared" si="155"/>
        <v>0</v>
      </c>
      <c r="AO390">
        <f t="shared" si="155"/>
        <v>0</v>
      </c>
      <c r="AP390">
        <f t="shared" si="155"/>
        <v>0</v>
      </c>
      <c r="AQ390">
        <f t="shared" si="155"/>
        <v>0</v>
      </c>
      <c r="AR390">
        <f t="shared" si="155"/>
        <v>1</v>
      </c>
      <c r="AS390">
        <f t="shared" si="155"/>
        <v>0</v>
      </c>
      <c r="AT390">
        <f t="shared" si="155"/>
        <v>0</v>
      </c>
      <c r="AU390">
        <f t="shared" si="155"/>
        <v>0</v>
      </c>
      <c r="AV390">
        <f t="shared" si="155"/>
        <v>0</v>
      </c>
      <c r="AW390">
        <f t="shared" si="155"/>
        <v>0</v>
      </c>
      <c r="AX390">
        <f t="shared" si="175"/>
        <v>0</v>
      </c>
      <c r="AY390">
        <f t="shared" si="175"/>
        <v>1</v>
      </c>
      <c r="AZ390">
        <f t="shared" si="175"/>
        <v>0</v>
      </c>
      <c r="BA390">
        <f t="shared" si="176"/>
        <v>0</v>
      </c>
      <c r="BB390">
        <f t="shared" si="177"/>
        <v>1</v>
      </c>
    </row>
    <row r="391" spans="1:54">
      <c r="A391">
        <v>388</v>
      </c>
      <c r="B391" t="s">
        <v>20</v>
      </c>
      <c r="C391" t="s">
        <v>29</v>
      </c>
      <c r="D391" t="s">
        <v>23</v>
      </c>
      <c r="E391" t="s">
        <v>30</v>
      </c>
      <c r="F391" t="s">
        <v>28</v>
      </c>
      <c r="G391" t="s">
        <v>23</v>
      </c>
      <c r="H391" s="3">
        <v>0.70097553810202995</v>
      </c>
      <c r="I391" s="3">
        <v>0.68945850987210899</v>
      </c>
      <c r="J391" s="3">
        <v>0.61843652101935098</v>
      </c>
      <c r="K391" s="3">
        <v>0.64862536647838498</v>
      </c>
      <c r="L391" s="3">
        <v>0.55840809063925601</v>
      </c>
      <c r="M391" s="3">
        <v>0.47032729736302997</v>
      </c>
      <c r="N391" s="3">
        <v>0.74774774774774699</v>
      </c>
      <c r="O391" s="3">
        <v>0.57039311354756905</v>
      </c>
      <c r="P391">
        <f t="shared" si="162"/>
        <v>0</v>
      </c>
      <c r="Q391">
        <f t="shared" si="163"/>
        <v>1</v>
      </c>
      <c r="R391">
        <f t="shared" si="164"/>
        <v>0</v>
      </c>
      <c r="S391">
        <f t="shared" si="165"/>
        <v>0</v>
      </c>
      <c r="T391">
        <f t="shared" si="166"/>
        <v>0</v>
      </c>
      <c r="U391">
        <f t="shared" si="167"/>
        <v>0</v>
      </c>
      <c r="V391">
        <f t="shared" si="168"/>
        <v>0</v>
      </c>
      <c r="W391">
        <f t="shared" si="169"/>
        <v>0</v>
      </c>
      <c r="X391">
        <f t="shared" si="170"/>
        <v>0</v>
      </c>
      <c r="Y391">
        <f t="shared" si="171"/>
        <v>1</v>
      </c>
      <c r="Z391">
        <f t="shared" si="172"/>
        <v>0</v>
      </c>
      <c r="AA391">
        <f t="shared" si="173"/>
        <v>0</v>
      </c>
      <c r="AB391">
        <f t="shared" si="156"/>
        <v>0</v>
      </c>
      <c r="AC391">
        <f t="shared" si="157"/>
        <v>1</v>
      </c>
      <c r="AD391">
        <f t="shared" si="158"/>
        <v>0</v>
      </c>
      <c r="AE391">
        <f t="shared" si="159"/>
        <v>0</v>
      </c>
      <c r="AF391">
        <f t="shared" si="160"/>
        <v>0</v>
      </c>
      <c r="AG391">
        <f t="shared" si="161"/>
        <v>0</v>
      </c>
      <c r="AH391">
        <f t="shared" si="174"/>
        <v>1</v>
      </c>
      <c r="AI391">
        <f t="shared" si="155"/>
        <v>0</v>
      </c>
      <c r="AJ391">
        <f t="shared" si="155"/>
        <v>0</v>
      </c>
      <c r="AK391">
        <f t="shared" si="155"/>
        <v>0</v>
      </c>
      <c r="AL391">
        <f t="shared" si="155"/>
        <v>0</v>
      </c>
      <c r="AM391">
        <f t="shared" si="155"/>
        <v>0</v>
      </c>
      <c r="AN391">
        <f t="shared" si="155"/>
        <v>0</v>
      </c>
      <c r="AO391">
        <f t="shared" si="155"/>
        <v>0</v>
      </c>
      <c r="AP391">
        <f t="shared" si="155"/>
        <v>0</v>
      </c>
      <c r="AQ391">
        <f t="shared" si="155"/>
        <v>0</v>
      </c>
      <c r="AR391">
        <f t="shared" si="155"/>
        <v>0</v>
      </c>
      <c r="AS391">
        <f t="shared" si="155"/>
        <v>0</v>
      </c>
      <c r="AT391">
        <f t="shared" si="155"/>
        <v>0</v>
      </c>
      <c r="AU391">
        <f t="shared" si="155"/>
        <v>0</v>
      </c>
      <c r="AV391">
        <f t="shared" si="155"/>
        <v>0</v>
      </c>
      <c r="AW391">
        <f t="shared" si="155"/>
        <v>0</v>
      </c>
      <c r="AX391">
        <f t="shared" si="175"/>
        <v>0</v>
      </c>
      <c r="AY391">
        <f t="shared" si="175"/>
        <v>1</v>
      </c>
      <c r="AZ391">
        <f t="shared" si="175"/>
        <v>0</v>
      </c>
      <c r="BA391">
        <f t="shared" si="176"/>
        <v>0</v>
      </c>
      <c r="BB391">
        <f t="shared" si="177"/>
        <v>1</v>
      </c>
    </row>
    <row r="392" spans="1:54">
      <c r="A392">
        <v>389</v>
      </c>
      <c r="B392" t="s">
        <v>20</v>
      </c>
      <c r="C392" t="s">
        <v>29</v>
      </c>
      <c r="D392" t="s">
        <v>23</v>
      </c>
      <c r="E392" t="s">
        <v>30</v>
      </c>
      <c r="F392" t="s">
        <v>28</v>
      </c>
      <c r="G392" t="s">
        <v>24</v>
      </c>
      <c r="H392" s="3">
        <v>3.9956640508319603E-2</v>
      </c>
      <c r="I392" s="3">
        <v>3.8916123078838301E-2</v>
      </c>
      <c r="J392" s="3">
        <v>3.36590648204875E-2</v>
      </c>
      <c r="K392" s="3">
        <v>3.5071172651483698E-2</v>
      </c>
      <c r="L392" s="3">
        <v>2.5760133488627799E-2</v>
      </c>
      <c r="M392" s="3">
        <v>2.0291629205888201E-2</v>
      </c>
      <c r="N392" s="3">
        <v>4.41527446300716E-2</v>
      </c>
      <c r="O392" s="3">
        <v>2.7164780794347601E-2</v>
      </c>
      <c r="P392">
        <f t="shared" si="162"/>
        <v>0</v>
      </c>
      <c r="Q392">
        <f t="shared" si="163"/>
        <v>0</v>
      </c>
      <c r="R392">
        <f t="shared" si="164"/>
        <v>1</v>
      </c>
      <c r="S392">
        <f t="shared" si="165"/>
        <v>0</v>
      </c>
      <c r="T392">
        <f t="shared" si="166"/>
        <v>0</v>
      </c>
      <c r="U392">
        <f t="shared" si="167"/>
        <v>0</v>
      </c>
      <c r="V392">
        <f t="shared" si="168"/>
        <v>0</v>
      </c>
      <c r="W392">
        <f t="shared" si="169"/>
        <v>0</v>
      </c>
      <c r="X392">
        <f t="shared" si="170"/>
        <v>0</v>
      </c>
      <c r="Y392">
        <f t="shared" si="171"/>
        <v>1</v>
      </c>
      <c r="Z392">
        <f t="shared" si="172"/>
        <v>0</v>
      </c>
      <c r="AA392">
        <f t="shared" si="173"/>
        <v>0</v>
      </c>
      <c r="AB392">
        <f t="shared" si="156"/>
        <v>0</v>
      </c>
      <c r="AC392">
        <f t="shared" si="157"/>
        <v>0</v>
      </c>
      <c r="AD392">
        <f t="shared" si="158"/>
        <v>0</v>
      </c>
      <c r="AE392">
        <f t="shared" si="159"/>
        <v>0</v>
      </c>
      <c r="AF392">
        <f t="shared" si="160"/>
        <v>0</v>
      </c>
      <c r="AG392">
        <f t="shared" si="161"/>
        <v>0</v>
      </c>
      <c r="AH392">
        <f t="shared" si="174"/>
        <v>0</v>
      </c>
      <c r="AI392">
        <f t="shared" ref="AI392:AW408" si="178">IF(OR(AND($D392=AI$1,$G392=AI$2),AND($D392=AI$2,$G392=AI$1)),1,0)</f>
        <v>0</v>
      </c>
      <c r="AJ392">
        <f t="shared" si="178"/>
        <v>0</v>
      </c>
      <c r="AK392">
        <f t="shared" si="178"/>
        <v>0</v>
      </c>
      <c r="AL392">
        <f t="shared" si="178"/>
        <v>0</v>
      </c>
      <c r="AM392">
        <f t="shared" si="178"/>
        <v>0</v>
      </c>
      <c r="AN392">
        <f t="shared" si="178"/>
        <v>0</v>
      </c>
      <c r="AO392">
        <f t="shared" si="178"/>
        <v>0</v>
      </c>
      <c r="AP392">
        <f t="shared" si="178"/>
        <v>0</v>
      </c>
      <c r="AQ392">
        <f t="shared" si="178"/>
        <v>0</v>
      </c>
      <c r="AR392">
        <f t="shared" si="178"/>
        <v>0</v>
      </c>
      <c r="AS392">
        <f t="shared" si="178"/>
        <v>0</v>
      </c>
      <c r="AT392">
        <f t="shared" si="178"/>
        <v>0</v>
      </c>
      <c r="AU392">
        <f t="shared" si="178"/>
        <v>1</v>
      </c>
      <c r="AV392">
        <f t="shared" si="178"/>
        <v>0</v>
      </c>
      <c r="AW392">
        <f t="shared" si="178"/>
        <v>0</v>
      </c>
      <c r="AX392">
        <f t="shared" si="175"/>
        <v>0</v>
      </c>
      <c r="AY392">
        <f t="shared" si="175"/>
        <v>1</v>
      </c>
      <c r="AZ392">
        <f t="shared" si="175"/>
        <v>0</v>
      </c>
      <c r="BA392">
        <f t="shared" si="176"/>
        <v>0</v>
      </c>
      <c r="BB392">
        <f t="shared" si="177"/>
        <v>1</v>
      </c>
    </row>
    <row r="393" spans="1:54">
      <c r="A393">
        <v>390</v>
      </c>
      <c r="B393" t="s">
        <v>20</v>
      </c>
      <c r="C393" t="s">
        <v>29</v>
      </c>
      <c r="D393" t="s">
        <v>23</v>
      </c>
      <c r="E393" t="s">
        <v>30</v>
      </c>
      <c r="F393" t="s">
        <v>28</v>
      </c>
      <c r="G393" t="s">
        <v>25</v>
      </c>
      <c r="H393" s="3">
        <v>3.0331665919501202E-2</v>
      </c>
      <c r="I393" s="3">
        <v>2.9335274501882599E-2</v>
      </c>
      <c r="J393" s="3">
        <v>2.57884515407097E-2</v>
      </c>
      <c r="K393" s="3">
        <v>2.67464042486311E-2</v>
      </c>
      <c r="L393" s="3">
        <v>1.9944752508730401E-2</v>
      </c>
      <c r="M393" s="3">
        <v>1.5857207126242001E-2</v>
      </c>
      <c r="N393" s="3">
        <v>3.2820816085156697E-2</v>
      </c>
      <c r="O393" s="3">
        <v>2.1456574100246099E-2</v>
      </c>
      <c r="P393">
        <f t="shared" si="162"/>
        <v>0</v>
      </c>
      <c r="Q393">
        <f t="shared" si="163"/>
        <v>0</v>
      </c>
      <c r="R393">
        <f t="shared" si="164"/>
        <v>0</v>
      </c>
      <c r="S393">
        <f t="shared" si="165"/>
        <v>0</v>
      </c>
      <c r="T393">
        <f t="shared" si="166"/>
        <v>0</v>
      </c>
      <c r="U393">
        <f t="shared" si="167"/>
        <v>0</v>
      </c>
      <c r="V393">
        <f t="shared" si="168"/>
        <v>0</v>
      </c>
      <c r="W393">
        <f t="shared" si="169"/>
        <v>0</v>
      </c>
      <c r="X393">
        <f t="shared" si="170"/>
        <v>0</v>
      </c>
      <c r="Y393">
        <f t="shared" si="171"/>
        <v>1</v>
      </c>
      <c r="Z393">
        <f t="shared" si="172"/>
        <v>0</v>
      </c>
      <c r="AA393">
        <f t="shared" si="173"/>
        <v>0</v>
      </c>
      <c r="AB393">
        <f t="shared" si="156"/>
        <v>0</v>
      </c>
      <c r="AC393">
        <f t="shared" si="157"/>
        <v>0</v>
      </c>
      <c r="AD393">
        <f t="shared" si="158"/>
        <v>0</v>
      </c>
      <c r="AE393">
        <f t="shared" si="159"/>
        <v>0</v>
      </c>
      <c r="AF393">
        <f t="shared" si="160"/>
        <v>0</v>
      </c>
      <c r="AG393">
        <f t="shared" si="161"/>
        <v>0</v>
      </c>
      <c r="AH393">
        <f t="shared" si="174"/>
        <v>0</v>
      </c>
      <c r="AI393">
        <f t="shared" si="178"/>
        <v>0</v>
      </c>
      <c r="AJ393">
        <f t="shared" si="178"/>
        <v>0</v>
      </c>
      <c r="AK393">
        <f t="shared" si="178"/>
        <v>0</v>
      </c>
      <c r="AL393">
        <f t="shared" si="178"/>
        <v>0</v>
      </c>
      <c r="AM393">
        <f t="shared" si="178"/>
        <v>0</v>
      </c>
      <c r="AN393">
        <f t="shared" si="178"/>
        <v>0</v>
      </c>
      <c r="AO393">
        <f t="shared" si="178"/>
        <v>1</v>
      </c>
      <c r="AP393">
        <f t="shared" si="178"/>
        <v>0</v>
      </c>
      <c r="AQ393">
        <f t="shared" si="178"/>
        <v>0</v>
      </c>
      <c r="AR393">
        <f t="shared" si="178"/>
        <v>0</v>
      </c>
      <c r="AS393">
        <f t="shared" si="178"/>
        <v>0</v>
      </c>
      <c r="AT393">
        <f t="shared" si="178"/>
        <v>0</v>
      </c>
      <c r="AU393">
        <f t="shared" si="178"/>
        <v>0</v>
      </c>
      <c r="AV393">
        <f t="shared" si="178"/>
        <v>0</v>
      </c>
      <c r="AW393">
        <f t="shared" si="178"/>
        <v>0</v>
      </c>
      <c r="AX393">
        <f t="shared" si="175"/>
        <v>0</v>
      </c>
      <c r="AY393">
        <f t="shared" si="175"/>
        <v>1</v>
      </c>
      <c r="AZ393">
        <f t="shared" si="175"/>
        <v>0</v>
      </c>
      <c r="BA393">
        <f t="shared" si="176"/>
        <v>1</v>
      </c>
      <c r="BB393">
        <f t="shared" si="177"/>
        <v>1</v>
      </c>
    </row>
    <row r="394" spans="1:54">
      <c r="A394">
        <v>391</v>
      </c>
      <c r="B394" t="s">
        <v>20</v>
      </c>
      <c r="C394" t="s">
        <v>29</v>
      </c>
      <c r="D394" t="s">
        <v>23</v>
      </c>
      <c r="E394" t="s">
        <v>30</v>
      </c>
      <c r="F394" t="s">
        <v>28</v>
      </c>
      <c r="G394" t="s">
        <v>26</v>
      </c>
      <c r="H394" s="3">
        <v>3.0796162247146801E-2</v>
      </c>
      <c r="I394" s="3">
        <v>2.9885704315748201E-2</v>
      </c>
      <c r="J394" s="3">
        <v>2.62014767957514E-2</v>
      </c>
      <c r="K394" s="3">
        <v>2.7321354765417201E-2</v>
      </c>
      <c r="L394" s="3">
        <v>2.0239867108779699E-2</v>
      </c>
      <c r="M394" s="3">
        <v>1.6104742830736801E-2</v>
      </c>
      <c r="N394" s="3">
        <v>3.3323326328429902E-2</v>
      </c>
      <c r="O394" s="3">
        <v>2.1837875514439602E-2</v>
      </c>
      <c r="P394">
        <f t="shared" si="162"/>
        <v>0</v>
      </c>
      <c r="Q394">
        <f t="shared" si="163"/>
        <v>0</v>
      </c>
      <c r="R394">
        <f t="shared" si="164"/>
        <v>0</v>
      </c>
      <c r="S394">
        <f t="shared" si="165"/>
        <v>0</v>
      </c>
      <c r="T394">
        <f t="shared" si="166"/>
        <v>0</v>
      </c>
      <c r="U394">
        <f t="shared" si="167"/>
        <v>0</v>
      </c>
      <c r="V394">
        <f t="shared" si="168"/>
        <v>0</v>
      </c>
      <c r="W394">
        <f t="shared" si="169"/>
        <v>0</v>
      </c>
      <c r="X394">
        <f t="shared" si="170"/>
        <v>0</v>
      </c>
      <c r="Y394">
        <f t="shared" si="171"/>
        <v>1</v>
      </c>
      <c r="Z394">
        <f t="shared" si="172"/>
        <v>0</v>
      </c>
      <c r="AA394">
        <f t="shared" si="173"/>
        <v>0</v>
      </c>
      <c r="AB394">
        <f t="shared" si="156"/>
        <v>0</v>
      </c>
      <c r="AC394">
        <f t="shared" si="157"/>
        <v>0</v>
      </c>
      <c r="AD394">
        <f t="shared" si="158"/>
        <v>0</v>
      </c>
      <c r="AE394">
        <f t="shared" si="159"/>
        <v>0</v>
      </c>
      <c r="AF394">
        <f t="shared" si="160"/>
        <v>0</v>
      </c>
      <c r="AG394">
        <f t="shared" si="161"/>
        <v>0</v>
      </c>
      <c r="AH394">
        <f t="shared" si="174"/>
        <v>0</v>
      </c>
      <c r="AI394">
        <f t="shared" si="178"/>
        <v>0</v>
      </c>
      <c r="AJ394">
        <f t="shared" si="178"/>
        <v>0</v>
      </c>
      <c r="AK394">
        <f t="shared" si="178"/>
        <v>1</v>
      </c>
      <c r="AL394">
        <f t="shared" si="178"/>
        <v>0</v>
      </c>
      <c r="AM394">
        <f t="shared" si="178"/>
        <v>0</v>
      </c>
      <c r="AN394">
        <f t="shared" si="178"/>
        <v>0</v>
      </c>
      <c r="AO394">
        <f t="shared" si="178"/>
        <v>0</v>
      </c>
      <c r="AP394">
        <f t="shared" si="178"/>
        <v>0</v>
      </c>
      <c r="AQ394">
        <f t="shared" si="178"/>
        <v>0</v>
      </c>
      <c r="AR394">
        <f t="shared" si="178"/>
        <v>0</v>
      </c>
      <c r="AS394">
        <f t="shared" si="178"/>
        <v>0</v>
      </c>
      <c r="AT394">
        <f t="shared" si="178"/>
        <v>0</v>
      </c>
      <c r="AU394">
        <f t="shared" si="178"/>
        <v>0</v>
      </c>
      <c r="AV394">
        <f t="shared" si="178"/>
        <v>0</v>
      </c>
      <c r="AW394">
        <f t="shared" si="178"/>
        <v>0</v>
      </c>
      <c r="AX394">
        <f t="shared" si="175"/>
        <v>0</v>
      </c>
      <c r="AY394">
        <f t="shared" si="175"/>
        <v>1</v>
      </c>
      <c r="AZ394">
        <f t="shared" si="175"/>
        <v>0</v>
      </c>
      <c r="BA394">
        <f t="shared" si="176"/>
        <v>1</v>
      </c>
      <c r="BB394">
        <f t="shared" si="177"/>
        <v>1</v>
      </c>
    </row>
    <row r="395" spans="1:54">
      <c r="A395">
        <v>392</v>
      </c>
      <c r="B395" t="s">
        <v>20</v>
      </c>
      <c r="C395" t="s">
        <v>29</v>
      </c>
      <c r="D395" t="s">
        <v>23</v>
      </c>
      <c r="E395" t="s">
        <v>30</v>
      </c>
      <c r="F395" t="s">
        <v>28</v>
      </c>
      <c r="G395" t="s">
        <v>27</v>
      </c>
      <c r="H395" s="3">
        <v>8.3816685206103095E-2</v>
      </c>
      <c r="I395" s="3">
        <v>8.0328691203127703E-2</v>
      </c>
      <c r="J395" s="3">
        <v>7.0635265330118296E-2</v>
      </c>
      <c r="K395" s="3">
        <v>7.2269640694921103E-2</v>
      </c>
      <c r="L395" s="3">
        <v>5.3643399859570499E-2</v>
      </c>
      <c r="M395" s="3">
        <v>4.2522230334661099E-2</v>
      </c>
      <c r="N395" s="3">
        <v>9.15086562242374E-2</v>
      </c>
      <c r="O395" s="3">
        <v>5.68598680892713E-2</v>
      </c>
      <c r="P395">
        <f t="shared" si="162"/>
        <v>0</v>
      </c>
      <c r="Q395">
        <f t="shared" si="163"/>
        <v>0</v>
      </c>
      <c r="R395">
        <f t="shared" si="164"/>
        <v>0</v>
      </c>
      <c r="S395">
        <f t="shared" si="165"/>
        <v>1</v>
      </c>
      <c r="T395">
        <f t="shared" si="166"/>
        <v>0</v>
      </c>
      <c r="U395">
        <f t="shared" si="167"/>
        <v>0</v>
      </c>
      <c r="V395">
        <f t="shared" si="168"/>
        <v>0</v>
      </c>
      <c r="W395">
        <f t="shared" si="169"/>
        <v>0</v>
      </c>
      <c r="X395">
        <f t="shared" si="170"/>
        <v>0</v>
      </c>
      <c r="Y395">
        <f t="shared" si="171"/>
        <v>1</v>
      </c>
      <c r="Z395">
        <f t="shared" si="172"/>
        <v>0</v>
      </c>
      <c r="AA395">
        <f t="shared" si="173"/>
        <v>0</v>
      </c>
      <c r="AB395">
        <f t="shared" si="156"/>
        <v>0</v>
      </c>
      <c r="AC395">
        <f t="shared" si="157"/>
        <v>0</v>
      </c>
      <c r="AD395">
        <f t="shared" si="158"/>
        <v>0</v>
      </c>
      <c r="AE395">
        <f t="shared" si="159"/>
        <v>0</v>
      </c>
      <c r="AF395">
        <f t="shared" si="160"/>
        <v>0</v>
      </c>
      <c r="AG395">
        <f t="shared" si="161"/>
        <v>0</v>
      </c>
      <c r="AH395">
        <f t="shared" si="174"/>
        <v>0</v>
      </c>
      <c r="AI395">
        <f t="shared" si="178"/>
        <v>0</v>
      </c>
      <c r="AJ395">
        <f t="shared" si="178"/>
        <v>0</v>
      </c>
      <c r="AK395">
        <f t="shared" si="178"/>
        <v>0</v>
      </c>
      <c r="AL395">
        <f t="shared" si="178"/>
        <v>0</v>
      </c>
      <c r="AM395">
        <f t="shared" si="178"/>
        <v>0</v>
      </c>
      <c r="AN395">
        <f t="shared" si="178"/>
        <v>0</v>
      </c>
      <c r="AO395">
        <f t="shared" si="178"/>
        <v>0</v>
      </c>
      <c r="AP395">
        <f t="shared" si="178"/>
        <v>0</v>
      </c>
      <c r="AQ395">
        <f t="shared" si="178"/>
        <v>0</v>
      </c>
      <c r="AR395">
        <f t="shared" si="178"/>
        <v>0</v>
      </c>
      <c r="AS395">
        <f t="shared" si="178"/>
        <v>0</v>
      </c>
      <c r="AT395">
        <f t="shared" si="178"/>
        <v>0</v>
      </c>
      <c r="AU395">
        <f t="shared" si="178"/>
        <v>0</v>
      </c>
      <c r="AV395">
        <f t="shared" si="178"/>
        <v>1</v>
      </c>
      <c r="AW395">
        <f t="shared" si="178"/>
        <v>0</v>
      </c>
      <c r="AX395">
        <f t="shared" si="175"/>
        <v>0</v>
      </c>
      <c r="AY395">
        <f t="shared" si="175"/>
        <v>1</v>
      </c>
      <c r="AZ395">
        <f t="shared" si="175"/>
        <v>0</v>
      </c>
      <c r="BA395">
        <f t="shared" si="176"/>
        <v>0</v>
      </c>
      <c r="BB395">
        <f t="shared" si="177"/>
        <v>1</v>
      </c>
    </row>
    <row r="396" spans="1:54">
      <c r="A396">
        <v>393</v>
      </c>
      <c r="B396" t="s">
        <v>20</v>
      </c>
      <c r="C396" t="s">
        <v>29</v>
      </c>
      <c r="D396" t="s">
        <v>23</v>
      </c>
      <c r="E396" t="s">
        <v>30</v>
      </c>
      <c r="F396" t="s">
        <v>29</v>
      </c>
      <c r="G396" t="s">
        <v>22</v>
      </c>
      <c r="H396" s="3">
        <v>3.99416164742777E-2</v>
      </c>
      <c r="I396" s="3">
        <v>3.9533740378585501E-2</v>
      </c>
      <c r="J396" s="3">
        <v>3.4620246823766999E-2</v>
      </c>
      <c r="K396" s="3">
        <v>3.7021773617390903E-2</v>
      </c>
      <c r="L396" s="3">
        <v>2.7212915775450701E-2</v>
      </c>
      <c r="M396" s="3">
        <v>2.1960820213892E-2</v>
      </c>
      <c r="N396" s="3">
        <v>4.27416249518675E-2</v>
      </c>
      <c r="O396" s="3">
        <v>2.9786618050207499E-2</v>
      </c>
      <c r="P396">
        <f t="shared" si="162"/>
        <v>0</v>
      </c>
      <c r="Q396">
        <f t="shared" si="163"/>
        <v>0</v>
      </c>
      <c r="R396">
        <f t="shared" si="164"/>
        <v>0</v>
      </c>
      <c r="S396">
        <f t="shared" si="165"/>
        <v>0</v>
      </c>
      <c r="T396">
        <f t="shared" si="166"/>
        <v>0</v>
      </c>
      <c r="U396">
        <f t="shared" si="167"/>
        <v>0</v>
      </c>
      <c r="V396">
        <f t="shared" si="168"/>
        <v>0</v>
      </c>
      <c r="W396">
        <f t="shared" si="169"/>
        <v>0</v>
      </c>
      <c r="X396">
        <f t="shared" si="170"/>
        <v>1</v>
      </c>
      <c r="Y396">
        <f t="shared" si="171"/>
        <v>1</v>
      </c>
      <c r="Z396">
        <f t="shared" si="172"/>
        <v>0</v>
      </c>
      <c r="AA396">
        <f t="shared" si="173"/>
        <v>0</v>
      </c>
      <c r="AB396">
        <f t="shared" si="156"/>
        <v>0</v>
      </c>
      <c r="AC396">
        <f t="shared" si="157"/>
        <v>1</v>
      </c>
      <c r="AD396">
        <f t="shared" si="158"/>
        <v>0</v>
      </c>
      <c r="AE396">
        <f t="shared" si="159"/>
        <v>0</v>
      </c>
      <c r="AF396">
        <f t="shared" si="160"/>
        <v>1</v>
      </c>
      <c r="AG396">
        <f t="shared" si="161"/>
        <v>0</v>
      </c>
      <c r="AH396">
        <f t="shared" si="174"/>
        <v>1</v>
      </c>
      <c r="AI396">
        <f t="shared" si="178"/>
        <v>0</v>
      </c>
      <c r="AJ396">
        <f t="shared" si="178"/>
        <v>0</v>
      </c>
      <c r="AK396">
        <f t="shared" si="178"/>
        <v>0</v>
      </c>
      <c r="AL396">
        <f t="shared" si="178"/>
        <v>0</v>
      </c>
      <c r="AM396">
        <f t="shared" si="178"/>
        <v>0</v>
      </c>
      <c r="AN396">
        <f t="shared" si="178"/>
        <v>0</v>
      </c>
      <c r="AO396">
        <f t="shared" si="178"/>
        <v>0</v>
      </c>
      <c r="AP396">
        <f t="shared" si="178"/>
        <v>0</v>
      </c>
      <c r="AQ396">
        <f t="shared" si="178"/>
        <v>0</v>
      </c>
      <c r="AR396">
        <f t="shared" si="178"/>
        <v>1</v>
      </c>
      <c r="AS396">
        <f t="shared" si="178"/>
        <v>0</v>
      </c>
      <c r="AT396">
        <f t="shared" si="178"/>
        <v>0</v>
      </c>
      <c r="AU396">
        <f t="shared" si="178"/>
        <v>0</v>
      </c>
      <c r="AV396">
        <f t="shared" si="178"/>
        <v>0</v>
      </c>
      <c r="AW396">
        <f t="shared" si="178"/>
        <v>0</v>
      </c>
      <c r="AX396">
        <f t="shared" si="175"/>
        <v>0</v>
      </c>
      <c r="AY396">
        <f t="shared" si="175"/>
        <v>0</v>
      </c>
      <c r="AZ396">
        <f t="shared" si="175"/>
        <v>0</v>
      </c>
      <c r="BA396">
        <f t="shared" si="176"/>
        <v>0</v>
      </c>
      <c r="BB396">
        <f t="shared" si="177"/>
        <v>1</v>
      </c>
    </row>
    <row r="397" spans="1:54">
      <c r="A397">
        <v>394</v>
      </c>
      <c r="B397" t="s">
        <v>20</v>
      </c>
      <c r="C397" t="s">
        <v>29</v>
      </c>
      <c r="D397" t="s">
        <v>23</v>
      </c>
      <c r="E397" t="s">
        <v>30</v>
      </c>
      <c r="F397" t="s">
        <v>29</v>
      </c>
      <c r="G397" t="s">
        <v>23</v>
      </c>
      <c r="H397" s="3">
        <v>0.90291220353577994</v>
      </c>
      <c r="I397" s="3">
        <v>0.89613366279352202</v>
      </c>
      <c r="J397" s="3">
        <v>0.79820598484784999</v>
      </c>
      <c r="K397" s="3">
        <v>0.84617623754872495</v>
      </c>
      <c r="L397" s="3">
        <v>0.73683167827323404</v>
      </c>
      <c r="M397" s="3">
        <v>0.62426974022006099</v>
      </c>
      <c r="N397" s="3">
        <v>0.963963963963964</v>
      </c>
      <c r="O397" s="3">
        <v>0.74382371636589195</v>
      </c>
      <c r="P397">
        <f t="shared" si="162"/>
        <v>0</v>
      </c>
      <c r="Q397">
        <f t="shared" si="163"/>
        <v>0</v>
      </c>
      <c r="R397">
        <f t="shared" si="164"/>
        <v>0</v>
      </c>
      <c r="S397">
        <f t="shared" si="165"/>
        <v>0</v>
      </c>
      <c r="T397">
        <f t="shared" si="166"/>
        <v>0</v>
      </c>
      <c r="U397">
        <f t="shared" si="167"/>
        <v>0</v>
      </c>
      <c r="V397">
        <f t="shared" si="168"/>
        <v>0</v>
      </c>
      <c r="W397">
        <f t="shared" si="169"/>
        <v>0</v>
      </c>
      <c r="X397">
        <f t="shared" si="170"/>
        <v>0</v>
      </c>
      <c r="Y397">
        <f t="shared" si="171"/>
        <v>1</v>
      </c>
      <c r="Z397">
        <f t="shared" si="172"/>
        <v>0</v>
      </c>
      <c r="AA397">
        <f t="shared" si="173"/>
        <v>0</v>
      </c>
      <c r="AB397">
        <f t="shared" si="156"/>
        <v>0</v>
      </c>
      <c r="AC397">
        <f t="shared" si="157"/>
        <v>1</v>
      </c>
      <c r="AD397">
        <f t="shared" si="158"/>
        <v>0</v>
      </c>
      <c r="AE397">
        <f t="shared" si="159"/>
        <v>0</v>
      </c>
      <c r="AF397">
        <f t="shared" si="160"/>
        <v>1</v>
      </c>
      <c r="AG397">
        <f t="shared" si="161"/>
        <v>0</v>
      </c>
      <c r="AH397">
        <f t="shared" si="174"/>
        <v>1</v>
      </c>
      <c r="AI397">
        <f t="shared" si="178"/>
        <v>0</v>
      </c>
      <c r="AJ397">
        <f t="shared" si="178"/>
        <v>0</v>
      </c>
      <c r="AK397">
        <f t="shared" si="178"/>
        <v>0</v>
      </c>
      <c r="AL397">
        <f t="shared" si="178"/>
        <v>0</v>
      </c>
      <c r="AM397">
        <f t="shared" si="178"/>
        <v>0</v>
      </c>
      <c r="AN397">
        <f t="shared" si="178"/>
        <v>0</v>
      </c>
      <c r="AO397">
        <f t="shared" si="178"/>
        <v>0</v>
      </c>
      <c r="AP397">
        <f t="shared" si="178"/>
        <v>0</v>
      </c>
      <c r="AQ397">
        <f t="shared" si="178"/>
        <v>0</v>
      </c>
      <c r="AR397">
        <f t="shared" si="178"/>
        <v>0</v>
      </c>
      <c r="AS397">
        <f t="shared" si="178"/>
        <v>0</v>
      </c>
      <c r="AT397">
        <f t="shared" si="178"/>
        <v>0</v>
      </c>
      <c r="AU397">
        <f t="shared" si="178"/>
        <v>0</v>
      </c>
      <c r="AV397">
        <f t="shared" si="178"/>
        <v>0</v>
      </c>
      <c r="AW397">
        <f t="shared" si="178"/>
        <v>0</v>
      </c>
      <c r="AX397">
        <f t="shared" si="175"/>
        <v>0</v>
      </c>
      <c r="AY397">
        <f t="shared" si="175"/>
        <v>0</v>
      </c>
      <c r="AZ397">
        <f t="shared" si="175"/>
        <v>0</v>
      </c>
      <c r="BA397">
        <f t="shared" si="176"/>
        <v>0</v>
      </c>
      <c r="BB397">
        <f t="shared" si="177"/>
        <v>1</v>
      </c>
    </row>
    <row r="398" spans="1:54">
      <c r="A398">
        <v>395</v>
      </c>
      <c r="B398" t="s">
        <v>20</v>
      </c>
      <c r="C398" t="s">
        <v>29</v>
      </c>
      <c r="D398" t="s">
        <v>23</v>
      </c>
      <c r="E398" t="s">
        <v>30</v>
      </c>
      <c r="F398" t="s">
        <v>29</v>
      </c>
      <c r="G398" t="s">
        <v>24</v>
      </c>
      <c r="H398" s="3">
        <v>5.7993352596225303E-2</v>
      </c>
      <c r="I398" s="3">
        <v>5.6110331698875103E-2</v>
      </c>
      <c r="J398" s="3">
        <v>4.8957397179102302E-2</v>
      </c>
      <c r="K398" s="3">
        <v>5.0557917714699599E-2</v>
      </c>
      <c r="L398" s="3">
        <v>3.7497485274518502E-2</v>
      </c>
      <c r="M398" s="3">
        <v>2.9704113342428302E-2</v>
      </c>
      <c r="N398" s="3">
        <v>6.3829787234042507E-2</v>
      </c>
      <c r="O398" s="3">
        <v>3.9715116765507603E-2</v>
      </c>
      <c r="P398">
        <f t="shared" si="162"/>
        <v>0</v>
      </c>
      <c r="Q398">
        <f t="shared" si="163"/>
        <v>0</v>
      </c>
      <c r="R398">
        <f t="shared" si="164"/>
        <v>0</v>
      </c>
      <c r="S398">
        <f t="shared" si="165"/>
        <v>0</v>
      </c>
      <c r="T398">
        <f t="shared" si="166"/>
        <v>0</v>
      </c>
      <c r="U398">
        <f t="shared" si="167"/>
        <v>0</v>
      </c>
      <c r="V398">
        <f t="shared" si="168"/>
        <v>0</v>
      </c>
      <c r="W398">
        <f t="shared" si="169"/>
        <v>0</v>
      </c>
      <c r="X398">
        <f t="shared" si="170"/>
        <v>0</v>
      </c>
      <c r="Y398">
        <f t="shared" si="171"/>
        <v>1</v>
      </c>
      <c r="Z398">
        <f t="shared" si="172"/>
        <v>0</v>
      </c>
      <c r="AA398">
        <f t="shared" si="173"/>
        <v>1</v>
      </c>
      <c r="AB398">
        <f t="shared" si="156"/>
        <v>0</v>
      </c>
      <c r="AC398">
        <f t="shared" si="157"/>
        <v>0</v>
      </c>
      <c r="AD398">
        <f t="shared" si="158"/>
        <v>0</v>
      </c>
      <c r="AE398">
        <f t="shared" si="159"/>
        <v>0</v>
      </c>
      <c r="AF398">
        <f t="shared" si="160"/>
        <v>1</v>
      </c>
      <c r="AG398">
        <f t="shared" si="161"/>
        <v>0</v>
      </c>
      <c r="AH398">
        <f t="shared" si="174"/>
        <v>0</v>
      </c>
      <c r="AI398">
        <f t="shared" si="178"/>
        <v>0</v>
      </c>
      <c r="AJ398">
        <f t="shared" si="178"/>
        <v>0</v>
      </c>
      <c r="AK398">
        <f t="shared" si="178"/>
        <v>0</v>
      </c>
      <c r="AL398">
        <f t="shared" si="178"/>
        <v>0</v>
      </c>
      <c r="AM398">
        <f t="shared" si="178"/>
        <v>0</v>
      </c>
      <c r="AN398">
        <f t="shared" si="178"/>
        <v>0</v>
      </c>
      <c r="AO398">
        <f t="shared" si="178"/>
        <v>0</v>
      </c>
      <c r="AP398">
        <f t="shared" si="178"/>
        <v>0</v>
      </c>
      <c r="AQ398">
        <f t="shared" si="178"/>
        <v>0</v>
      </c>
      <c r="AR398">
        <f t="shared" si="178"/>
        <v>0</v>
      </c>
      <c r="AS398">
        <f t="shared" si="178"/>
        <v>0</v>
      </c>
      <c r="AT398">
        <f t="shared" si="178"/>
        <v>0</v>
      </c>
      <c r="AU398">
        <f t="shared" si="178"/>
        <v>1</v>
      </c>
      <c r="AV398">
        <f t="shared" si="178"/>
        <v>0</v>
      </c>
      <c r="AW398">
        <f t="shared" si="178"/>
        <v>0</v>
      </c>
      <c r="AX398">
        <f t="shared" si="175"/>
        <v>0</v>
      </c>
      <c r="AY398">
        <f t="shared" si="175"/>
        <v>0</v>
      </c>
      <c r="AZ398">
        <f t="shared" si="175"/>
        <v>0</v>
      </c>
      <c r="BA398">
        <f t="shared" si="176"/>
        <v>0</v>
      </c>
      <c r="BB398">
        <f t="shared" si="177"/>
        <v>1</v>
      </c>
    </row>
    <row r="399" spans="1:54">
      <c r="A399">
        <v>396</v>
      </c>
      <c r="B399" t="s">
        <v>20</v>
      </c>
      <c r="C399" t="s">
        <v>29</v>
      </c>
      <c r="D399" t="s">
        <v>23</v>
      </c>
      <c r="E399" t="s">
        <v>30</v>
      </c>
      <c r="F399" t="s">
        <v>29</v>
      </c>
      <c r="G399" t="s">
        <v>31</v>
      </c>
      <c r="H399" s="3">
        <v>0.73319179449059402</v>
      </c>
      <c r="I399" s="3">
        <v>0.72128304642749197</v>
      </c>
      <c r="J399" s="3">
        <v>0.58442018819901398</v>
      </c>
      <c r="K399" s="3">
        <v>0.63432934981261802</v>
      </c>
      <c r="L399" s="3">
        <v>0.467365476873567</v>
      </c>
      <c r="M399" s="3">
        <v>0.35530367487710901</v>
      </c>
      <c r="N399" s="3">
        <v>0.85384615384615303</v>
      </c>
      <c r="O399" s="3">
        <v>0.46049558503294002</v>
      </c>
      <c r="P399">
        <f t="shared" si="162"/>
        <v>0</v>
      </c>
      <c r="Q399">
        <f t="shared" si="163"/>
        <v>0</v>
      </c>
      <c r="R399">
        <f t="shared" si="164"/>
        <v>0</v>
      </c>
      <c r="S399">
        <f t="shared" si="165"/>
        <v>0</v>
      </c>
      <c r="T399">
        <f t="shared" si="166"/>
        <v>0</v>
      </c>
      <c r="U399">
        <f t="shared" si="167"/>
        <v>0</v>
      </c>
      <c r="V399">
        <f t="shared" si="168"/>
        <v>0</v>
      </c>
      <c r="W399">
        <f t="shared" si="169"/>
        <v>0</v>
      </c>
      <c r="X399">
        <f t="shared" si="170"/>
        <v>0</v>
      </c>
      <c r="Y399">
        <f t="shared" si="171"/>
        <v>1</v>
      </c>
      <c r="Z399">
        <f t="shared" si="172"/>
        <v>1</v>
      </c>
      <c r="AA399">
        <f t="shared" si="173"/>
        <v>0</v>
      </c>
      <c r="AB399">
        <f t="shared" si="156"/>
        <v>0</v>
      </c>
      <c r="AC399">
        <f t="shared" si="157"/>
        <v>1</v>
      </c>
      <c r="AD399">
        <f t="shared" si="158"/>
        <v>0</v>
      </c>
      <c r="AE399">
        <f t="shared" si="159"/>
        <v>0</v>
      </c>
      <c r="AF399">
        <f t="shared" si="160"/>
        <v>1</v>
      </c>
      <c r="AG399">
        <f t="shared" si="161"/>
        <v>0</v>
      </c>
      <c r="AH399">
        <f t="shared" si="174"/>
        <v>1</v>
      </c>
      <c r="AI399">
        <f t="shared" si="178"/>
        <v>0</v>
      </c>
      <c r="AJ399">
        <f t="shared" si="178"/>
        <v>0</v>
      </c>
      <c r="AK399">
        <f t="shared" si="178"/>
        <v>0</v>
      </c>
      <c r="AL399">
        <f t="shared" si="178"/>
        <v>0</v>
      </c>
      <c r="AM399">
        <f t="shared" si="178"/>
        <v>0</v>
      </c>
      <c r="AN399">
        <f t="shared" si="178"/>
        <v>0</v>
      </c>
      <c r="AO399">
        <f t="shared" si="178"/>
        <v>0</v>
      </c>
      <c r="AP399">
        <f t="shared" si="178"/>
        <v>0</v>
      </c>
      <c r="AQ399">
        <f t="shared" si="178"/>
        <v>0</v>
      </c>
      <c r="AR399">
        <f t="shared" si="178"/>
        <v>0</v>
      </c>
      <c r="AS399">
        <f t="shared" si="178"/>
        <v>0</v>
      </c>
      <c r="AT399">
        <f t="shared" si="178"/>
        <v>0</v>
      </c>
      <c r="AU399">
        <f t="shared" si="178"/>
        <v>0</v>
      </c>
      <c r="AV399">
        <f t="shared" si="178"/>
        <v>0</v>
      </c>
      <c r="AW399">
        <f t="shared" si="178"/>
        <v>0</v>
      </c>
      <c r="AX399">
        <f t="shared" si="175"/>
        <v>0</v>
      </c>
      <c r="AY399">
        <f t="shared" si="175"/>
        <v>0</v>
      </c>
      <c r="AZ399">
        <f t="shared" si="175"/>
        <v>0</v>
      </c>
      <c r="BA399">
        <f t="shared" si="176"/>
        <v>0</v>
      </c>
      <c r="BB399">
        <f t="shared" si="177"/>
        <v>1</v>
      </c>
    </row>
    <row r="400" spans="1:54">
      <c r="A400">
        <v>397</v>
      </c>
      <c r="B400" t="s">
        <v>20</v>
      </c>
      <c r="C400" t="s">
        <v>29</v>
      </c>
      <c r="D400" t="s">
        <v>23</v>
      </c>
      <c r="E400" t="s">
        <v>30</v>
      </c>
      <c r="F400" t="s">
        <v>29</v>
      </c>
      <c r="G400" t="s">
        <v>25</v>
      </c>
      <c r="H400" s="3">
        <v>5.1311034749959199E-3</v>
      </c>
      <c r="I400" s="3">
        <v>5.0022950235627398E-3</v>
      </c>
      <c r="J400" s="3">
        <v>4.3979728616278402E-3</v>
      </c>
      <c r="K400" s="3">
        <v>4.5739001060123002E-3</v>
      </c>
      <c r="L400" s="3">
        <v>3.4443158831659799E-3</v>
      </c>
      <c r="M400" s="3">
        <v>2.7680573627894998E-3</v>
      </c>
      <c r="N400" s="3">
        <v>5.5720094372772398E-3</v>
      </c>
      <c r="O400" s="3">
        <v>3.66348059676705E-3</v>
      </c>
      <c r="P400">
        <f t="shared" si="162"/>
        <v>0</v>
      </c>
      <c r="Q400">
        <f t="shared" si="163"/>
        <v>0</v>
      </c>
      <c r="R400">
        <f t="shared" si="164"/>
        <v>0</v>
      </c>
      <c r="S400">
        <f t="shared" si="165"/>
        <v>0</v>
      </c>
      <c r="T400">
        <f t="shared" si="166"/>
        <v>0</v>
      </c>
      <c r="U400">
        <f t="shared" si="167"/>
        <v>0</v>
      </c>
      <c r="V400">
        <f t="shared" si="168"/>
        <v>0</v>
      </c>
      <c r="W400">
        <f t="shared" si="169"/>
        <v>0</v>
      </c>
      <c r="X400">
        <f t="shared" si="170"/>
        <v>0</v>
      </c>
      <c r="Y400">
        <f t="shared" si="171"/>
        <v>1</v>
      </c>
      <c r="Z400">
        <f t="shared" si="172"/>
        <v>0</v>
      </c>
      <c r="AA400">
        <f t="shared" si="173"/>
        <v>0</v>
      </c>
      <c r="AB400">
        <f t="shared" si="156"/>
        <v>0</v>
      </c>
      <c r="AC400">
        <f t="shared" si="157"/>
        <v>0</v>
      </c>
      <c r="AD400">
        <f t="shared" si="158"/>
        <v>0</v>
      </c>
      <c r="AE400">
        <f t="shared" si="159"/>
        <v>0</v>
      </c>
      <c r="AF400">
        <f t="shared" si="160"/>
        <v>1</v>
      </c>
      <c r="AG400">
        <f t="shared" si="161"/>
        <v>0</v>
      </c>
      <c r="AH400">
        <f t="shared" si="174"/>
        <v>0</v>
      </c>
      <c r="AI400">
        <f t="shared" si="178"/>
        <v>0</v>
      </c>
      <c r="AJ400">
        <f t="shared" si="178"/>
        <v>0</v>
      </c>
      <c r="AK400">
        <f t="shared" si="178"/>
        <v>0</v>
      </c>
      <c r="AL400">
        <f t="shared" si="178"/>
        <v>0</v>
      </c>
      <c r="AM400">
        <f t="shared" si="178"/>
        <v>0</v>
      </c>
      <c r="AN400">
        <f t="shared" si="178"/>
        <v>0</v>
      </c>
      <c r="AO400">
        <f t="shared" si="178"/>
        <v>1</v>
      </c>
      <c r="AP400">
        <f t="shared" si="178"/>
        <v>0</v>
      </c>
      <c r="AQ400">
        <f t="shared" si="178"/>
        <v>0</v>
      </c>
      <c r="AR400">
        <f t="shared" si="178"/>
        <v>0</v>
      </c>
      <c r="AS400">
        <f t="shared" si="178"/>
        <v>0</v>
      </c>
      <c r="AT400">
        <f t="shared" si="178"/>
        <v>0</v>
      </c>
      <c r="AU400">
        <f t="shared" si="178"/>
        <v>0</v>
      </c>
      <c r="AV400">
        <f t="shared" si="178"/>
        <v>0</v>
      </c>
      <c r="AW400">
        <f t="shared" si="178"/>
        <v>0</v>
      </c>
      <c r="AX400">
        <f t="shared" si="175"/>
        <v>0</v>
      </c>
      <c r="AY400">
        <f t="shared" si="175"/>
        <v>0</v>
      </c>
      <c r="AZ400">
        <f t="shared" si="175"/>
        <v>0</v>
      </c>
      <c r="BA400">
        <f t="shared" si="176"/>
        <v>1</v>
      </c>
      <c r="BB400">
        <f t="shared" si="177"/>
        <v>1</v>
      </c>
    </row>
    <row r="401" spans="1:54">
      <c r="A401">
        <v>398</v>
      </c>
      <c r="B401" t="s">
        <v>20</v>
      </c>
      <c r="C401" t="s">
        <v>29</v>
      </c>
      <c r="D401" t="s">
        <v>23</v>
      </c>
      <c r="E401" t="s">
        <v>30</v>
      </c>
      <c r="F401" t="s">
        <v>29</v>
      </c>
      <c r="G401" t="s">
        <v>26</v>
      </c>
      <c r="H401" s="3">
        <v>5.2494709010455203E-3</v>
      </c>
      <c r="I401" s="3">
        <v>5.1218132226743497E-3</v>
      </c>
      <c r="J401" s="3">
        <v>4.5030314546219002E-3</v>
      </c>
      <c r="K401" s="3">
        <v>4.6876038270626903E-3</v>
      </c>
      <c r="L401" s="3">
        <v>3.5279040437821798E-3</v>
      </c>
      <c r="M401" s="3">
        <v>2.8275865803794199E-3</v>
      </c>
      <c r="N401" s="3">
        <v>5.6981519507186803E-3</v>
      </c>
      <c r="O401" s="3">
        <v>3.7521276431736398E-3</v>
      </c>
      <c r="P401">
        <f t="shared" si="162"/>
        <v>0</v>
      </c>
      <c r="Q401">
        <f t="shared" si="163"/>
        <v>0</v>
      </c>
      <c r="R401">
        <f t="shared" si="164"/>
        <v>0</v>
      </c>
      <c r="S401">
        <f t="shared" si="165"/>
        <v>0</v>
      </c>
      <c r="T401">
        <f t="shared" si="166"/>
        <v>0</v>
      </c>
      <c r="U401">
        <f t="shared" si="167"/>
        <v>0</v>
      </c>
      <c r="V401">
        <f t="shared" si="168"/>
        <v>0</v>
      </c>
      <c r="W401">
        <f t="shared" si="169"/>
        <v>0</v>
      </c>
      <c r="X401">
        <f t="shared" si="170"/>
        <v>0</v>
      </c>
      <c r="Y401">
        <f t="shared" si="171"/>
        <v>1</v>
      </c>
      <c r="Z401">
        <f t="shared" si="172"/>
        <v>0</v>
      </c>
      <c r="AA401">
        <f t="shared" si="173"/>
        <v>0</v>
      </c>
      <c r="AB401">
        <f t="shared" si="156"/>
        <v>0</v>
      </c>
      <c r="AC401">
        <f t="shared" si="157"/>
        <v>0</v>
      </c>
      <c r="AD401">
        <f t="shared" si="158"/>
        <v>0</v>
      </c>
      <c r="AE401">
        <f t="shared" si="159"/>
        <v>0</v>
      </c>
      <c r="AF401">
        <f t="shared" si="160"/>
        <v>1</v>
      </c>
      <c r="AG401">
        <f t="shared" si="161"/>
        <v>0</v>
      </c>
      <c r="AH401">
        <f t="shared" si="174"/>
        <v>0</v>
      </c>
      <c r="AI401">
        <f t="shared" si="178"/>
        <v>0</v>
      </c>
      <c r="AJ401">
        <f t="shared" si="178"/>
        <v>0</v>
      </c>
      <c r="AK401">
        <f t="shared" si="178"/>
        <v>1</v>
      </c>
      <c r="AL401">
        <f t="shared" si="178"/>
        <v>0</v>
      </c>
      <c r="AM401">
        <f t="shared" si="178"/>
        <v>0</v>
      </c>
      <c r="AN401">
        <f t="shared" si="178"/>
        <v>0</v>
      </c>
      <c r="AO401">
        <f t="shared" si="178"/>
        <v>0</v>
      </c>
      <c r="AP401">
        <f t="shared" si="178"/>
        <v>0</v>
      </c>
      <c r="AQ401">
        <f t="shared" si="178"/>
        <v>0</v>
      </c>
      <c r="AR401">
        <f t="shared" si="178"/>
        <v>0</v>
      </c>
      <c r="AS401">
        <f t="shared" si="178"/>
        <v>0</v>
      </c>
      <c r="AT401">
        <f t="shared" si="178"/>
        <v>0</v>
      </c>
      <c r="AU401">
        <f t="shared" si="178"/>
        <v>0</v>
      </c>
      <c r="AV401">
        <f t="shared" si="178"/>
        <v>0</v>
      </c>
      <c r="AW401">
        <f t="shared" si="178"/>
        <v>0</v>
      </c>
      <c r="AX401">
        <f t="shared" si="175"/>
        <v>0</v>
      </c>
      <c r="AY401">
        <f t="shared" si="175"/>
        <v>0</v>
      </c>
      <c r="AZ401">
        <f t="shared" si="175"/>
        <v>0</v>
      </c>
      <c r="BA401">
        <f t="shared" si="176"/>
        <v>1</v>
      </c>
      <c r="BB401">
        <f t="shared" si="177"/>
        <v>1</v>
      </c>
    </row>
    <row r="402" spans="1:54">
      <c r="A402">
        <v>399</v>
      </c>
      <c r="B402" t="s">
        <v>20</v>
      </c>
      <c r="C402" t="s">
        <v>29</v>
      </c>
      <c r="D402" t="s">
        <v>24</v>
      </c>
      <c r="E402" t="s">
        <v>20</v>
      </c>
      <c r="F402" t="s">
        <v>29</v>
      </c>
      <c r="G402" t="s">
        <v>31</v>
      </c>
      <c r="H402" s="3">
        <v>5.2659797078049402E-2</v>
      </c>
      <c r="I402" s="3">
        <v>5.0443343062866901E-2</v>
      </c>
      <c r="J402" s="3">
        <v>4.43162129470644E-2</v>
      </c>
      <c r="K402" s="3">
        <v>4.5504007829307698E-2</v>
      </c>
      <c r="L402" s="3">
        <v>3.5072085849359197E-2</v>
      </c>
      <c r="M402" s="3">
        <v>2.7795027671744001E-2</v>
      </c>
      <c r="N402" s="3">
        <v>5.7609630266551998E-2</v>
      </c>
      <c r="O402" s="3">
        <v>3.6023458497637099E-2</v>
      </c>
      <c r="P402">
        <f t="shared" si="162"/>
        <v>0</v>
      </c>
      <c r="Q402">
        <f t="shared" si="163"/>
        <v>0</v>
      </c>
      <c r="R402">
        <f t="shared" si="164"/>
        <v>0</v>
      </c>
      <c r="S402">
        <f t="shared" si="165"/>
        <v>0</v>
      </c>
      <c r="T402">
        <f t="shared" si="166"/>
        <v>0</v>
      </c>
      <c r="U402">
        <f t="shared" si="167"/>
        <v>0</v>
      </c>
      <c r="V402">
        <f t="shared" si="168"/>
        <v>0</v>
      </c>
      <c r="W402">
        <f t="shared" si="169"/>
        <v>0</v>
      </c>
      <c r="X402">
        <f t="shared" si="170"/>
        <v>0</v>
      </c>
      <c r="Y402">
        <f t="shared" si="171"/>
        <v>0</v>
      </c>
      <c r="Z402">
        <f t="shared" si="172"/>
        <v>1</v>
      </c>
      <c r="AA402">
        <f t="shared" si="173"/>
        <v>1</v>
      </c>
      <c r="AB402">
        <f t="shared" si="156"/>
        <v>0</v>
      </c>
      <c r="AC402">
        <f t="shared" si="157"/>
        <v>0</v>
      </c>
      <c r="AD402">
        <f t="shared" si="158"/>
        <v>0</v>
      </c>
      <c r="AE402">
        <f t="shared" si="159"/>
        <v>0</v>
      </c>
      <c r="AF402">
        <f t="shared" si="160"/>
        <v>1</v>
      </c>
      <c r="AG402">
        <f t="shared" si="161"/>
        <v>1</v>
      </c>
      <c r="AH402">
        <f t="shared" si="174"/>
        <v>0</v>
      </c>
      <c r="AI402">
        <f t="shared" si="178"/>
        <v>0</v>
      </c>
      <c r="AJ402">
        <f t="shared" si="178"/>
        <v>0</v>
      </c>
      <c r="AK402">
        <f t="shared" si="178"/>
        <v>0</v>
      </c>
      <c r="AL402">
        <f t="shared" si="178"/>
        <v>0</v>
      </c>
      <c r="AM402">
        <f t="shared" si="178"/>
        <v>0</v>
      </c>
      <c r="AN402">
        <f t="shared" si="178"/>
        <v>0</v>
      </c>
      <c r="AO402">
        <f t="shared" si="178"/>
        <v>0</v>
      </c>
      <c r="AP402">
        <f t="shared" si="178"/>
        <v>0</v>
      </c>
      <c r="AQ402">
        <f t="shared" si="178"/>
        <v>0</v>
      </c>
      <c r="AR402">
        <f t="shared" si="178"/>
        <v>0</v>
      </c>
      <c r="AS402">
        <f t="shared" si="178"/>
        <v>0</v>
      </c>
      <c r="AT402">
        <f t="shared" si="178"/>
        <v>0</v>
      </c>
      <c r="AU402">
        <f t="shared" si="178"/>
        <v>0</v>
      </c>
      <c r="AV402">
        <f t="shared" si="178"/>
        <v>0</v>
      </c>
      <c r="AW402">
        <f t="shared" si="178"/>
        <v>0</v>
      </c>
      <c r="AX402">
        <f t="shared" si="175"/>
        <v>0</v>
      </c>
      <c r="AY402">
        <f t="shared" si="175"/>
        <v>0</v>
      </c>
      <c r="AZ402">
        <f t="shared" si="175"/>
        <v>0</v>
      </c>
      <c r="BA402">
        <f t="shared" si="176"/>
        <v>0</v>
      </c>
      <c r="BB402">
        <f t="shared" si="177"/>
        <v>1</v>
      </c>
    </row>
    <row r="403" spans="1:54">
      <c r="A403">
        <v>400</v>
      </c>
      <c r="B403" t="s">
        <v>20</v>
      </c>
      <c r="C403" t="s">
        <v>29</v>
      </c>
      <c r="D403" t="s">
        <v>24</v>
      </c>
      <c r="E403" t="s">
        <v>20</v>
      </c>
      <c r="F403" t="s">
        <v>29</v>
      </c>
      <c r="G403" t="s">
        <v>25</v>
      </c>
      <c r="H403" s="3">
        <v>9.4160904821253305E-2</v>
      </c>
      <c r="I403" s="3">
        <v>8.9117733096477497E-2</v>
      </c>
      <c r="J403" s="3">
        <v>8.0070370833694005E-2</v>
      </c>
      <c r="K403" s="3">
        <v>7.9488315660737399E-2</v>
      </c>
      <c r="L403" s="3">
        <v>5.9310548846907798E-2</v>
      </c>
      <c r="M403" s="3">
        <v>4.5843095265878903E-2</v>
      </c>
      <c r="N403" s="3">
        <v>0.102162974675822</v>
      </c>
      <c r="O403" s="3">
        <v>6.3498436593830698E-2</v>
      </c>
      <c r="P403">
        <f t="shared" si="162"/>
        <v>0</v>
      </c>
      <c r="Q403">
        <f t="shared" si="163"/>
        <v>0</v>
      </c>
      <c r="R403">
        <f t="shared" si="164"/>
        <v>0</v>
      </c>
      <c r="S403">
        <f t="shared" si="165"/>
        <v>0</v>
      </c>
      <c r="T403">
        <f t="shared" si="166"/>
        <v>0</v>
      </c>
      <c r="U403">
        <f t="shared" si="167"/>
        <v>0</v>
      </c>
      <c r="V403">
        <f t="shared" si="168"/>
        <v>0</v>
      </c>
      <c r="W403">
        <f t="shared" si="169"/>
        <v>0</v>
      </c>
      <c r="X403">
        <f t="shared" si="170"/>
        <v>0</v>
      </c>
      <c r="Y403">
        <f t="shared" si="171"/>
        <v>0</v>
      </c>
      <c r="Z403">
        <f t="shared" si="172"/>
        <v>0</v>
      </c>
      <c r="AA403">
        <f t="shared" si="173"/>
        <v>1</v>
      </c>
      <c r="AB403">
        <f t="shared" si="156"/>
        <v>0</v>
      </c>
      <c r="AC403">
        <f t="shared" si="157"/>
        <v>0</v>
      </c>
      <c r="AD403">
        <f t="shared" si="158"/>
        <v>0</v>
      </c>
      <c r="AE403">
        <f t="shared" si="159"/>
        <v>0</v>
      </c>
      <c r="AF403">
        <f t="shared" si="160"/>
        <v>1</v>
      </c>
      <c r="AG403">
        <f t="shared" si="161"/>
        <v>1</v>
      </c>
      <c r="AH403">
        <f t="shared" si="174"/>
        <v>0</v>
      </c>
      <c r="AI403">
        <f t="shared" si="178"/>
        <v>0</v>
      </c>
      <c r="AJ403">
        <f t="shared" si="178"/>
        <v>0</v>
      </c>
      <c r="AK403">
        <f t="shared" si="178"/>
        <v>0</v>
      </c>
      <c r="AL403">
        <f t="shared" si="178"/>
        <v>0</v>
      </c>
      <c r="AM403">
        <f t="shared" si="178"/>
        <v>0</v>
      </c>
      <c r="AN403">
        <f t="shared" si="178"/>
        <v>0</v>
      </c>
      <c r="AO403">
        <f t="shared" si="178"/>
        <v>0</v>
      </c>
      <c r="AP403">
        <f t="shared" si="178"/>
        <v>1</v>
      </c>
      <c r="AQ403">
        <f t="shared" si="178"/>
        <v>0</v>
      </c>
      <c r="AR403">
        <f t="shared" si="178"/>
        <v>0</v>
      </c>
      <c r="AS403">
        <f t="shared" si="178"/>
        <v>0</v>
      </c>
      <c r="AT403">
        <f t="shared" si="178"/>
        <v>0</v>
      </c>
      <c r="AU403">
        <f t="shared" si="178"/>
        <v>0</v>
      </c>
      <c r="AV403">
        <f t="shared" si="178"/>
        <v>0</v>
      </c>
      <c r="AW403">
        <f t="shared" si="178"/>
        <v>0</v>
      </c>
      <c r="AX403">
        <f t="shared" si="175"/>
        <v>0</v>
      </c>
      <c r="AY403">
        <f t="shared" si="175"/>
        <v>0</v>
      </c>
      <c r="AZ403">
        <f t="shared" si="175"/>
        <v>0</v>
      </c>
      <c r="BA403">
        <f t="shared" si="176"/>
        <v>1</v>
      </c>
      <c r="BB403">
        <f t="shared" si="177"/>
        <v>1</v>
      </c>
    </row>
    <row r="404" spans="1:54">
      <c r="A404">
        <v>401</v>
      </c>
      <c r="B404" t="s">
        <v>20</v>
      </c>
      <c r="C404" t="s">
        <v>29</v>
      </c>
      <c r="D404" t="s">
        <v>24</v>
      </c>
      <c r="E404" t="s">
        <v>20</v>
      </c>
      <c r="F404" t="s">
        <v>29</v>
      </c>
      <c r="G404" t="s">
        <v>26</v>
      </c>
      <c r="H404" s="3">
        <v>9.6422559590873799E-2</v>
      </c>
      <c r="I404" s="3">
        <v>9.1112119851115198E-2</v>
      </c>
      <c r="J404" s="3">
        <v>8.2022211806535905E-2</v>
      </c>
      <c r="K404" s="3">
        <v>8.11738151823687E-2</v>
      </c>
      <c r="L404" s="3">
        <v>6.0783704594262702E-2</v>
      </c>
      <c r="M404" s="3">
        <v>4.69842784565613E-2</v>
      </c>
      <c r="N404" s="3">
        <v>0.10462229952154301</v>
      </c>
      <c r="O404" s="3">
        <v>6.5042997178369297E-2</v>
      </c>
      <c r="P404">
        <f t="shared" si="162"/>
        <v>0</v>
      </c>
      <c r="Q404">
        <f t="shared" si="163"/>
        <v>0</v>
      </c>
      <c r="R404">
        <f t="shared" si="164"/>
        <v>0</v>
      </c>
      <c r="S404">
        <f t="shared" si="165"/>
        <v>0</v>
      </c>
      <c r="T404">
        <f t="shared" si="166"/>
        <v>0</v>
      </c>
      <c r="U404">
        <f t="shared" si="167"/>
        <v>0</v>
      </c>
      <c r="V404">
        <f t="shared" si="168"/>
        <v>0</v>
      </c>
      <c r="W404">
        <f t="shared" si="169"/>
        <v>0</v>
      </c>
      <c r="X404">
        <f t="shared" si="170"/>
        <v>0</v>
      </c>
      <c r="Y404">
        <f t="shared" si="171"/>
        <v>0</v>
      </c>
      <c r="Z404">
        <f t="shared" si="172"/>
        <v>0</v>
      </c>
      <c r="AA404">
        <f t="shared" si="173"/>
        <v>1</v>
      </c>
      <c r="AB404">
        <f t="shared" si="156"/>
        <v>0</v>
      </c>
      <c r="AC404">
        <f t="shared" si="157"/>
        <v>0</v>
      </c>
      <c r="AD404">
        <f t="shared" si="158"/>
        <v>0</v>
      </c>
      <c r="AE404">
        <f t="shared" si="159"/>
        <v>0</v>
      </c>
      <c r="AF404">
        <f t="shared" si="160"/>
        <v>1</v>
      </c>
      <c r="AG404">
        <f t="shared" si="161"/>
        <v>1</v>
      </c>
      <c r="AH404">
        <f t="shared" si="174"/>
        <v>0</v>
      </c>
      <c r="AI404">
        <f t="shared" si="178"/>
        <v>0</v>
      </c>
      <c r="AJ404">
        <f t="shared" si="178"/>
        <v>0</v>
      </c>
      <c r="AK404">
        <f t="shared" si="178"/>
        <v>0</v>
      </c>
      <c r="AL404">
        <f t="shared" si="178"/>
        <v>1</v>
      </c>
      <c r="AM404">
        <f t="shared" si="178"/>
        <v>0</v>
      </c>
      <c r="AN404">
        <f t="shared" si="178"/>
        <v>0</v>
      </c>
      <c r="AO404">
        <f t="shared" si="178"/>
        <v>0</v>
      </c>
      <c r="AP404">
        <f t="shared" si="178"/>
        <v>0</v>
      </c>
      <c r="AQ404">
        <f t="shared" si="178"/>
        <v>0</v>
      </c>
      <c r="AR404">
        <f t="shared" si="178"/>
        <v>0</v>
      </c>
      <c r="AS404">
        <f t="shared" si="178"/>
        <v>0</v>
      </c>
      <c r="AT404">
        <f t="shared" si="178"/>
        <v>0</v>
      </c>
      <c r="AU404">
        <f t="shared" si="178"/>
        <v>0</v>
      </c>
      <c r="AV404">
        <f t="shared" si="178"/>
        <v>0</v>
      </c>
      <c r="AW404">
        <f t="shared" si="178"/>
        <v>0</v>
      </c>
      <c r="AX404">
        <f t="shared" si="175"/>
        <v>0</v>
      </c>
      <c r="AY404">
        <f t="shared" si="175"/>
        <v>0</v>
      </c>
      <c r="AZ404">
        <f t="shared" si="175"/>
        <v>0</v>
      </c>
      <c r="BA404">
        <f t="shared" si="176"/>
        <v>1</v>
      </c>
      <c r="BB404">
        <f t="shared" si="177"/>
        <v>1</v>
      </c>
    </row>
    <row r="405" spans="1:54">
      <c r="A405">
        <v>402</v>
      </c>
      <c r="B405" t="s">
        <v>20</v>
      </c>
      <c r="C405" t="s">
        <v>29</v>
      </c>
      <c r="D405" t="s">
        <v>24</v>
      </c>
      <c r="E405" t="s">
        <v>30</v>
      </c>
      <c r="F405" t="s">
        <v>21</v>
      </c>
      <c r="G405" t="s">
        <v>22</v>
      </c>
      <c r="H405" s="3">
        <v>2.56845000507076E-2</v>
      </c>
      <c r="I405" s="3">
        <v>2.4387148571063201E-2</v>
      </c>
      <c r="J405" s="3">
        <v>2.16679051851335E-2</v>
      </c>
      <c r="K405" s="3">
        <v>2.2112237210407299E-2</v>
      </c>
      <c r="L405" s="3">
        <v>1.65553251860362E-2</v>
      </c>
      <c r="M405" s="3">
        <v>1.30370375663035E-2</v>
      </c>
      <c r="N405" s="3">
        <v>2.7515047291487502E-2</v>
      </c>
      <c r="O405" s="3">
        <v>1.7666966553458101E-2</v>
      </c>
      <c r="P405">
        <f t="shared" si="162"/>
        <v>0</v>
      </c>
      <c r="Q405">
        <f t="shared" si="163"/>
        <v>0</v>
      </c>
      <c r="R405">
        <f t="shared" si="164"/>
        <v>0</v>
      </c>
      <c r="S405">
        <f t="shared" si="165"/>
        <v>0</v>
      </c>
      <c r="T405">
        <f t="shared" si="166"/>
        <v>1</v>
      </c>
      <c r="U405">
        <f t="shared" si="167"/>
        <v>0</v>
      </c>
      <c r="V405">
        <f t="shared" si="168"/>
        <v>0</v>
      </c>
      <c r="W405">
        <f t="shared" si="169"/>
        <v>0</v>
      </c>
      <c r="X405">
        <f t="shared" si="170"/>
        <v>0</v>
      </c>
      <c r="Y405">
        <f t="shared" si="171"/>
        <v>0</v>
      </c>
      <c r="Z405">
        <f t="shared" si="172"/>
        <v>0</v>
      </c>
      <c r="AA405">
        <f t="shared" si="173"/>
        <v>1</v>
      </c>
      <c r="AB405">
        <f t="shared" si="156"/>
        <v>0</v>
      </c>
      <c r="AC405">
        <f t="shared" si="157"/>
        <v>0</v>
      </c>
      <c r="AD405">
        <f t="shared" si="158"/>
        <v>0</v>
      </c>
      <c r="AE405">
        <f t="shared" si="159"/>
        <v>0</v>
      </c>
      <c r="AF405">
        <f t="shared" si="160"/>
        <v>0</v>
      </c>
      <c r="AG405">
        <f t="shared" si="161"/>
        <v>0</v>
      </c>
      <c r="AH405">
        <f t="shared" si="174"/>
        <v>0</v>
      </c>
      <c r="AI405">
        <f t="shared" si="178"/>
        <v>0</v>
      </c>
      <c r="AJ405">
        <f t="shared" si="178"/>
        <v>0</v>
      </c>
      <c r="AK405">
        <f t="shared" si="178"/>
        <v>0</v>
      </c>
      <c r="AL405">
        <f t="shared" si="178"/>
        <v>0</v>
      </c>
      <c r="AM405">
        <f t="shared" si="178"/>
        <v>0</v>
      </c>
      <c r="AN405">
        <f t="shared" si="178"/>
        <v>0</v>
      </c>
      <c r="AO405">
        <f t="shared" si="178"/>
        <v>0</v>
      </c>
      <c r="AP405">
        <f t="shared" si="178"/>
        <v>0</v>
      </c>
      <c r="AQ405">
        <f t="shared" si="178"/>
        <v>0</v>
      </c>
      <c r="AR405">
        <f t="shared" si="178"/>
        <v>0</v>
      </c>
      <c r="AS405">
        <f t="shared" si="178"/>
        <v>1</v>
      </c>
      <c r="AT405">
        <f t="shared" si="178"/>
        <v>0</v>
      </c>
      <c r="AU405">
        <f t="shared" si="178"/>
        <v>0</v>
      </c>
      <c r="AV405">
        <f t="shared" si="178"/>
        <v>0</v>
      </c>
      <c r="AW405">
        <f t="shared" si="178"/>
        <v>0</v>
      </c>
      <c r="AX405">
        <f t="shared" si="175"/>
        <v>0</v>
      </c>
      <c r="AY405">
        <f t="shared" si="175"/>
        <v>0</v>
      </c>
      <c r="AZ405">
        <f t="shared" si="175"/>
        <v>1</v>
      </c>
      <c r="BA405">
        <f t="shared" si="176"/>
        <v>0</v>
      </c>
      <c r="BB405">
        <f t="shared" si="177"/>
        <v>1</v>
      </c>
    </row>
    <row r="406" spans="1:54">
      <c r="A406">
        <v>403</v>
      </c>
      <c r="B406" t="s">
        <v>20</v>
      </c>
      <c r="C406" t="s">
        <v>29</v>
      </c>
      <c r="D406" t="s">
        <v>24</v>
      </c>
      <c r="E406" t="s">
        <v>30</v>
      </c>
      <c r="F406" t="s">
        <v>21</v>
      </c>
      <c r="G406" t="s">
        <v>23</v>
      </c>
      <c r="H406" s="3">
        <v>2.7434782174373E-2</v>
      </c>
      <c r="I406" s="3">
        <v>2.6272353726315801E-2</v>
      </c>
      <c r="J406" s="3">
        <v>2.28824564882441E-2</v>
      </c>
      <c r="K406" s="3">
        <v>2.37457045119563E-2</v>
      </c>
      <c r="L406" s="3">
        <v>1.6890780868893E-2</v>
      </c>
      <c r="M406" s="3">
        <v>1.2915021880943201E-2</v>
      </c>
      <c r="N406" s="3">
        <v>2.9664660361134899E-2</v>
      </c>
      <c r="O406" s="3">
        <v>1.8335335734472401E-2</v>
      </c>
      <c r="P406">
        <f t="shared" si="162"/>
        <v>0</v>
      </c>
      <c r="Q406">
        <f t="shared" si="163"/>
        <v>0</v>
      </c>
      <c r="R406">
        <f t="shared" si="164"/>
        <v>0</v>
      </c>
      <c r="S406">
        <f t="shared" si="165"/>
        <v>0</v>
      </c>
      <c r="T406">
        <f t="shared" si="166"/>
        <v>0</v>
      </c>
      <c r="U406">
        <f t="shared" si="167"/>
        <v>1</v>
      </c>
      <c r="V406">
        <f t="shared" si="168"/>
        <v>0</v>
      </c>
      <c r="W406">
        <f t="shared" si="169"/>
        <v>0</v>
      </c>
      <c r="X406">
        <f t="shared" si="170"/>
        <v>0</v>
      </c>
      <c r="Y406">
        <f t="shared" si="171"/>
        <v>0</v>
      </c>
      <c r="Z406">
        <f t="shared" si="172"/>
        <v>0</v>
      </c>
      <c r="AA406">
        <f t="shared" si="173"/>
        <v>1</v>
      </c>
      <c r="AB406">
        <f t="shared" si="156"/>
        <v>0</v>
      </c>
      <c r="AC406">
        <f t="shared" si="157"/>
        <v>0</v>
      </c>
      <c r="AD406">
        <f t="shared" si="158"/>
        <v>0</v>
      </c>
      <c r="AE406">
        <f t="shared" si="159"/>
        <v>0</v>
      </c>
      <c r="AF406">
        <f t="shared" si="160"/>
        <v>0</v>
      </c>
      <c r="AG406">
        <f t="shared" si="161"/>
        <v>0</v>
      </c>
      <c r="AH406">
        <f t="shared" si="174"/>
        <v>0</v>
      </c>
      <c r="AI406">
        <f t="shared" si="178"/>
        <v>0</v>
      </c>
      <c r="AJ406">
        <f t="shared" si="178"/>
        <v>0</v>
      </c>
      <c r="AK406">
        <f t="shared" si="178"/>
        <v>0</v>
      </c>
      <c r="AL406">
        <f t="shared" si="178"/>
        <v>0</v>
      </c>
      <c r="AM406">
        <f t="shared" si="178"/>
        <v>0</v>
      </c>
      <c r="AN406">
        <f t="shared" si="178"/>
        <v>0</v>
      </c>
      <c r="AO406">
        <f t="shared" si="178"/>
        <v>0</v>
      </c>
      <c r="AP406">
        <f t="shared" si="178"/>
        <v>0</v>
      </c>
      <c r="AQ406">
        <f t="shared" si="178"/>
        <v>0</v>
      </c>
      <c r="AR406">
        <f t="shared" si="178"/>
        <v>0</v>
      </c>
      <c r="AS406">
        <f t="shared" si="178"/>
        <v>0</v>
      </c>
      <c r="AT406">
        <f t="shared" si="178"/>
        <v>0</v>
      </c>
      <c r="AU406">
        <f t="shared" si="178"/>
        <v>1</v>
      </c>
      <c r="AV406">
        <f t="shared" si="178"/>
        <v>0</v>
      </c>
      <c r="AW406">
        <f t="shared" si="178"/>
        <v>0</v>
      </c>
      <c r="AX406">
        <f t="shared" si="175"/>
        <v>0</v>
      </c>
      <c r="AY406">
        <f t="shared" si="175"/>
        <v>0</v>
      </c>
      <c r="AZ406">
        <f t="shared" si="175"/>
        <v>1</v>
      </c>
      <c r="BA406">
        <f t="shared" si="176"/>
        <v>0</v>
      </c>
      <c r="BB406">
        <f t="shared" si="177"/>
        <v>1</v>
      </c>
    </row>
    <row r="407" spans="1:54">
      <c r="A407">
        <v>404</v>
      </c>
      <c r="B407" t="s">
        <v>20</v>
      </c>
      <c r="C407" t="s">
        <v>29</v>
      </c>
      <c r="D407" t="s">
        <v>24</v>
      </c>
      <c r="E407" t="s">
        <v>30</v>
      </c>
      <c r="F407" t="s">
        <v>21</v>
      </c>
      <c r="G407" t="s">
        <v>24</v>
      </c>
      <c r="H407" s="3">
        <v>0.73465384173314696</v>
      </c>
      <c r="I407" s="3">
        <v>0.82879152230151198</v>
      </c>
      <c r="J407" s="3">
        <v>0.56656212331084699</v>
      </c>
      <c r="K407" s="3">
        <v>0.76102053845208995</v>
      </c>
      <c r="L407" s="3">
        <v>0.47998310613401501</v>
      </c>
      <c r="M407" s="3">
        <v>0.35367382447506401</v>
      </c>
      <c r="N407" s="3">
        <v>0.92374900714853003</v>
      </c>
      <c r="O407" s="3">
        <v>0.44838285823343799</v>
      </c>
      <c r="P407">
        <f t="shared" si="162"/>
        <v>0</v>
      </c>
      <c r="Q407">
        <f t="shared" si="163"/>
        <v>0</v>
      </c>
      <c r="R407">
        <f t="shared" si="164"/>
        <v>0</v>
      </c>
      <c r="S407">
        <f t="shared" si="165"/>
        <v>0</v>
      </c>
      <c r="T407">
        <f t="shared" si="166"/>
        <v>0</v>
      </c>
      <c r="U407">
        <f t="shared" si="167"/>
        <v>0</v>
      </c>
      <c r="V407">
        <f t="shared" si="168"/>
        <v>1</v>
      </c>
      <c r="W407">
        <f t="shared" si="169"/>
        <v>0</v>
      </c>
      <c r="X407">
        <f t="shared" si="170"/>
        <v>0</v>
      </c>
      <c r="Y407">
        <f t="shared" si="171"/>
        <v>0</v>
      </c>
      <c r="Z407">
        <f t="shared" si="172"/>
        <v>0</v>
      </c>
      <c r="AA407">
        <f t="shared" si="173"/>
        <v>1</v>
      </c>
      <c r="AB407">
        <f t="shared" si="156"/>
        <v>0</v>
      </c>
      <c r="AC407">
        <f t="shared" si="157"/>
        <v>0</v>
      </c>
      <c r="AD407">
        <f t="shared" si="158"/>
        <v>1</v>
      </c>
      <c r="AE407">
        <f t="shared" si="159"/>
        <v>0</v>
      </c>
      <c r="AF407">
        <f t="shared" si="160"/>
        <v>0</v>
      </c>
      <c r="AG407">
        <f t="shared" si="161"/>
        <v>0</v>
      </c>
      <c r="AH407">
        <f t="shared" si="174"/>
        <v>1</v>
      </c>
      <c r="AI407">
        <f t="shared" si="178"/>
        <v>0</v>
      </c>
      <c r="AJ407">
        <f t="shared" si="178"/>
        <v>0</v>
      </c>
      <c r="AK407">
        <f t="shared" si="178"/>
        <v>0</v>
      </c>
      <c r="AL407">
        <f t="shared" si="178"/>
        <v>0</v>
      </c>
      <c r="AM407">
        <f t="shared" si="178"/>
        <v>0</v>
      </c>
      <c r="AN407">
        <f t="shared" si="178"/>
        <v>0</v>
      </c>
      <c r="AO407">
        <f t="shared" si="178"/>
        <v>0</v>
      </c>
      <c r="AP407">
        <f t="shared" si="178"/>
        <v>0</v>
      </c>
      <c r="AQ407">
        <f t="shared" si="178"/>
        <v>0</v>
      </c>
      <c r="AR407">
        <f t="shared" si="178"/>
        <v>0</v>
      </c>
      <c r="AS407">
        <f t="shared" si="178"/>
        <v>0</v>
      </c>
      <c r="AT407">
        <f t="shared" si="178"/>
        <v>0</v>
      </c>
      <c r="AU407">
        <f t="shared" si="178"/>
        <v>0</v>
      </c>
      <c r="AV407">
        <f t="shared" si="178"/>
        <v>0</v>
      </c>
      <c r="AW407">
        <f t="shared" si="178"/>
        <v>0</v>
      </c>
      <c r="AX407">
        <f t="shared" si="175"/>
        <v>0</v>
      </c>
      <c r="AY407">
        <f t="shared" si="175"/>
        <v>0</v>
      </c>
      <c r="AZ407">
        <f t="shared" si="175"/>
        <v>1</v>
      </c>
      <c r="BA407">
        <f t="shared" si="176"/>
        <v>0</v>
      </c>
      <c r="BB407">
        <f t="shared" si="177"/>
        <v>1</v>
      </c>
    </row>
    <row r="408" spans="1:54">
      <c r="A408">
        <v>405</v>
      </c>
      <c r="B408" t="s">
        <v>20</v>
      </c>
      <c r="C408" t="s">
        <v>29</v>
      </c>
      <c r="D408" t="s">
        <v>24</v>
      </c>
      <c r="E408" t="s">
        <v>30</v>
      </c>
      <c r="F408" t="s">
        <v>21</v>
      </c>
      <c r="G408" t="s">
        <v>25</v>
      </c>
      <c r="H408" s="3">
        <v>0.607563976133212</v>
      </c>
      <c r="I408" s="3">
        <v>0.58260141913403996</v>
      </c>
      <c r="J408" s="3">
        <v>0.498782385813486</v>
      </c>
      <c r="K408" s="3">
        <v>0.50595767142330905</v>
      </c>
      <c r="L408" s="3">
        <v>0.35843835461447499</v>
      </c>
      <c r="M408" s="3">
        <v>0.26444181586224502</v>
      </c>
      <c r="N408" s="3">
        <v>0.69722793194016197</v>
      </c>
      <c r="O408" s="3">
        <v>0.38471254175123198</v>
      </c>
      <c r="P408">
        <f t="shared" si="162"/>
        <v>0</v>
      </c>
      <c r="Q408">
        <f t="shared" si="163"/>
        <v>0</v>
      </c>
      <c r="R408">
        <f t="shared" si="164"/>
        <v>0</v>
      </c>
      <c r="S408">
        <f t="shared" si="165"/>
        <v>0</v>
      </c>
      <c r="T408">
        <f t="shared" si="166"/>
        <v>0</v>
      </c>
      <c r="U408">
        <f t="shared" si="167"/>
        <v>0</v>
      </c>
      <c r="V408">
        <f t="shared" si="168"/>
        <v>0</v>
      </c>
      <c r="W408">
        <f t="shared" si="169"/>
        <v>0</v>
      </c>
      <c r="X408">
        <f t="shared" si="170"/>
        <v>0</v>
      </c>
      <c r="Y408">
        <f t="shared" si="171"/>
        <v>0</v>
      </c>
      <c r="Z408">
        <f t="shared" si="172"/>
        <v>0</v>
      </c>
      <c r="AA408">
        <f t="shared" si="173"/>
        <v>1</v>
      </c>
      <c r="AB408">
        <f t="shared" si="156"/>
        <v>0</v>
      </c>
      <c r="AC408">
        <f t="shared" si="157"/>
        <v>0</v>
      </c>
      <c r="AD408">
        <f t="shared" si="158"/>
        <v>0</v>
      </c>
      <c r="AE408">
        <f t="shared" si="159"/>
        <v>0</v>
      </c>
      <c r="AF408">
        <f t="shared" si="160"/>
        <v>0</v>
      </c>
      <c r="AG408">
        <f t="shared" si="161"/>
        <v>0</v>
      </c>
      <c r="AH408">
        <f t="shared" si="174"/>
        <v>0</v>
      </c>
      <c r="AI408">
        <f t="shared" si="178"/>
        <v>0</v>
      </c>
      <c r="AJ408">
        <f t="shared" si="178"/>
        <v>0</v>
      </c>
      <c r="AK408">
        <f t="shared" si="178"/>
        <v>0</v>
      </c>
      <c r="AL408">
        <f t="shared" si="178"/>
        <v>0</v>
      </c>
      <c r="AM408">
        <f t="shared" si="178"/>
        <v>0</v>
      </c>
      <c r="AN408">
        <f t="shared" si="178"/>
        <v>0</v>
      </c>
      <c r="AO408">
        <f t="shared" si="178"/>
        <v>0</v>
      </c>
      <c r="AP408">
        <f t="shared" si="178"/>
        <v>1</v>
      </c>
      <c r="AQ408">
        <f t="shared" si="178"/>
        <v>0</v>
      </c>
      <c r="AR408">
        <f t="shared" si="178"/>
        <v>0</v>
      </c>
      <c r="AS408">
        <f t="shared" si="178"/>
        <v>0</v>
      </c>
      <c r="AT408">
        <f t="shared" si="178"/>
        <v>0</v>
      </c>
      <c r="AU408">
        <f t="shared" si="178"/>
        <v>0</v>
      </c>
      <c r="AV408">
        <f t="shared" si="178"/>
        <v>0</v>
      </c>
      <c r="AW408">
        <f t="shared" si="178"/>
        <v>0</v>
      </c>
      <c r="AX408">
        <f t="shared" si="175"/>
        <v>0</v>
      </c>
      <c r="AY408">
        <f t="shared" si="175"/>
        <v>0</v>
      </c>
      <c r="AZ408">
        <f t="shared" si="175"/>
        <v>1</v>
      </c>
      <c r="BA408">
        <f t="shared" si="176"/>
        <v>1</v>
      </c>
      <c r="BB408">
        <f t="shared" si="177"/>
        <v>1</v>
      </c>
    </row>
    <row r="409" spans="1:54">
      <c r="A409">
        <v>406</v>
      </c>
      <c r="B409" t="s">
        <v>20</v>
      </c>
      <c r="C409" t="s">
        <v>29</v>
      </c>
      <c r="D409" t="s">
        <v>24</v>
      </c>
      <c r="E409" t="s">
        <v>30</v>
      </c>
      <c r="F409" t="s">
        <v>21</v>
      </c>
      <c r="G409" t="s">
        <v>26</v>
      </c>
      <c r="H409" s="3">
        <v>0.61390323807742697</v>
      </c>
      <c r="I409" s="3">
        <v>0.58914110234649297</v>
      </c>
      <c r="J409" s="3">
        <v>0.50369336962989897</v>
      </c>
      <c r="K409" s="3">
        <v>0.511238901146574</v>
      </c>
      <c r="L409" s="3">
        <v>0.36260930476303399</v>
      </c>
      <c r="M409" s="3">
        <v>0.26755637075316802</v>
      </c>
      <c r="N409" s="3">
        <v>0.70591805766312599</v>
      </c>
      <c r="O409" s="3">
        <v>0.38836609132745298</v>
      </c>
      <c r="P409">
        <f t="shared" si="162"/>
        <v>0</v>
      </c>
      <c r="Q409">
        <f t="shared" si="163"/>
        <v>0</v>
      </c>
      <c r="R409">
        <f t="shared" si="164"/>
        <v>0</v>
      </c>
      <c r="S409">
        <f t="shared" si="165"/>
        <v>0</v>
      </c>
      <c r="T409">
        <f t="shared" si="166"/>
        <v>0</v>
      </c>
      <c r="U409">
        <f t="shared" si="167"/>
        <v>0</v>
      </c>
      <c r="V409">
        <f t="shared" si="168"/>
        <v>0</v>
      </c>
      <c r="W409">
        <f t="shared" si="169"/>
        <v>0</v>
      </c>
      <c r="X409">
        <f t="shared" si="170"/>
        <v>0</v>
      </c>
      <c r="Y409">
        <f t="shared" si="171"/>
        <v>0</v>
      </c>
      <c r="Z409">
        <f t="shared" si="172"/>
        <v>0</v>
      </c>
      <c r="AA409">
        <f t="shared" si="173"/>
        <v>1</v>
      </c>
      <c r="AB409">
        <f t="shared" si="156"/>
        <v>0</v>
      </c>
      <c r="AC409">
        <f t="shared" si="157"/>
        <v>0</v>
      </c>
      <c r="AD409">
        <f t="shared" si="158"/>
        <v>0</v>
      </c>
      <c r="AE409">
        <f t="shared" si="159"/>
        <v>0</v>
      </c>
      <c r="AF409">
        <f t="shared" si="160"/>
        <v>0</v>
      </c>
      <c r="AG409">
        <f t="shared" si="161"/>
        <v>0</v>
      </c>
      <c r="AH409">
        <f t="shared" si="174"/>
        <v>0</v>
      </c>
      <c r="AI409">
        <f t="shared" ref="AI409:AW425" si="179">IF(OR(AND($D409=AI$1,$G409=AI$2),AND($D409=AI$2,$G409=AI$1)),1,0)</f>
        <v>0</v>
      </c>
      <c r="AJ409">
        <f t="shared" si="179"/>
        <v>0</v>
      </c>
      <c r="AK409">
        <f t="shared" si="179"/>
        <v>0</v>
      </c>
      <c r="AL409">
        <f t="shared" si="179"/>
        <v>1</v>
      </c>
      <c r="AM409">
        <f t="shared" si="179"/>
        <v>0</v>
      </c>
      <c r="AN409">
        <f t="shared" si="179"/>
        <v>0</v>
      </c>
      <c r="AO409">
        <f t="shared" si="179"/>
        <v>0</v>
      </c>
      <c r="AP409">
        <f t="shared" si="179"/>
        <v>0</v>
      </c>
      <c r="AQ409">
        <f t="shared" si="179"/>
        <v>0</v>
      </c>
      <c r="AR409">
        <f t="shared" si="179"/>
        <v>0</v>
      </c>
      <c r="AS409">
        <f t="shared" si="179"/>
        <v>0</v>
      </c>
      <c r="AT409">
        <f t="shared" si="179"/>
        <v>0</v>
      </c>
      <c r="AU409">
        <f t="shared" si="179"/>
        <v>0</v>
      </c>
      <c r="AV409">
        <f t="shared" si="179"/>
        <v>0</v>
      </c>
      <c r="AW409">
        <f t="shared" si="179"/>
        <v>0</v>
      </c>
      <c r="AX409">
        <f t="shared" si="175"/>
        <v>0</v>
      </c>
      <c r="AY409">
        <f t="shared" si="175"/>
        <v>0</v>
      </c>
      <c r="AZ409">
        <f t="shared" si="175"/>
        <v>1</v>
      </c>
      <c r="BA409">
        <f t="shared" si="176"/>
        <v>1</v>
      </c>
      <c r="BB409">
        <f t="shared" si="177"/>
        <v>1</v>
      </c>
    </row>
    <row r="410" spans="1:54">
      <c r="A410">
        <v>407</v>
      </c>
      <c r="B410" t="s">
        <v>20</v>
      </c>
      <c r="C410" t="s">
        <v>29</v>
      </c>
      <c r="D410" t="s">
        <v>24</v>
      </c>
      <c r="E410" t="s">
        <v>30</v>
      </c>
      <c r="F410" t="s">
        <v>21</v>
      </c>
      <c r="G410" t="s">
        <v>27</v>
      </c>
      <c r="H410" s="3">
        <v>0.31166952885008697</v>
      </c>
      <c r="I410" s="3">
        <v>0.26740809225843998</v>
      </c>
      <c r="J410" s="3">
        <v>0.24481715847598801</v>
      </c>
      <c r="K410" s="3">
        <v>0.224349443087519</v>
      </c>
      <c r="L410" s="3">
        <v>0.18576123518955701</v>
      </c>
      <c r="M410" s="3">
        <v>0.137928339312962</v>
      </c>
      <c r="N410" s="3">
        <v>0.42519346517626799</v>
      </c>
      <c r="O410" s="3">
        <v>0.18237048033271999</v>
      </c>
      <c r="P410">
        <f t="shared" si="162"/>
        <v>0</v>
      </c>
      <c r="Q410">
        <f t="shared" si="163"/>
        <v>0</v>
      </c>
      <c r="R410">
        <f t="shared" si="164"/>
        <v>0</v>
      </c>
      <c r="S410">
        <f t="shared" si="165"/>
        <v>0</v>
      </c>
      <c r="T410">
        <f t="shared" si="166"/>
        <v>0</v>
      </c>
      <c r="U410">
        <f t="shared" si="167"/>
        <v>0</v>
      </c>
      <c r="V410">
        <f t="shared" si="168"/>
        <v>0</v>
      </c>
      <c r="W410">
        <f t="shared" si="169"/>
        <v>1</v>
      </c>
      <c r="X410">
        <f t="shared" si="170"/>
        <v>0</v>
      </c>
      <c r="Y410">
        <f t="shared" si="171"/>
        <v>0</v>
      </c>
      <c r="Z410">
        <f t="shared" si="172"/>
        <v>0</v>
      </c>
      <c r="AA410">
        <f t="shared" si="173"/>
        <v>1</v>
      </c>
      <c r="AB410">
        <f t="shared" si="156"/>
        <v>0</v>
      </c>
      <c r="AC410">
        <f t="shared" si="157"/>
        <v>0</v>
      </c>
      <c r="AD410">
        <f t="shared" si="158"/>
        <v>1</v>
      </c>
      <c r="AE410">
        <f t="shared" si="159"/>
        <v>0</v>
      </c>
      <c r="AF410">
        <f t="shared" si="160"/>
        <v>0</v>
      </c>
      <c r="AG410">
        <f t="shared" si="161"/>
        <v>0</v>
      </c>
      <c r="AH410">
        <f t="shared" si="174"/>
        <v>1</v>
      </c>
      <c r="AI410">
        <f t="shared" si="179"/>
        <v>0</v>
      </c>
      <c r="AJ410">
        <f t="shared" si="179"/>
        <v>0</v>
      </c>
      <c r="AK410">
        <f t="shared" si="179"/>
        <v>0</v>
      </c>
      <c r="AL410">
        <f t="shared" si="179"/>
        <v>0</v>
      </c>
      <c r="AM410">
        <f t="shared" si="179"/>
        <v>0</v>
      </c>
      <c r="AN410">
        <f t="shared" si="179"/>
        <v>0</v>
      </c>
      <c r="AO410">
        <f t="shared" si="179"/>
        <v>0</v>
      </c>
      <c r="AP410">
        <f t="shared" si="179"/>
        <v>0</v>
      </c>
      <c r="AQ410">
        <f t="shared" si="179"/>
        <v>0</v>
      </c>
      <c r="AR410">
        <f t="shared" si="179"/>
        <v>0</v>
      </c>
      <c r="AS410">
        <f t="shared" si="179"/>
        <v>0</v>
      </c>
      <c r="AT410">
        <f t="shared" si="179"/>
        <v>0</v>
      </c>
      <c r="AU410">
        <f t="shared" si="179"/>
        <v>0</v>
      </c>
      <c r="AV410">
        <f t="shared" si="179"/>
        <v>0</v>
      </c>
      <c r="AW410">
        <f t="shared" si="179"/>
        <v>1</v>
      </c>
      <c r="AX410">
        <f t="shared" si="175"/>
        <v>0</v>
      </c>
      <c r="AY410">
        <f t="shared" si="175"/>
        <v>0</v>
      </c>
      <c r="AZ410">
        <f t="shared" si="175"/>
        <v>1</v>
      </c>
      <c r="BA410">
        <f t="shared" si="176"/>
        <v>0</v>
      </c>
      <c r="BB410">
        <f t="shared" si="177"/>
        <v>1</v>
      </c>
    </row>
    <row r="411" spans="1:54">
      <c r="A411">
        <v>408</v>
      </c>
      <c r="B411" t="s">
        <v>20</v>
      </c>
      <c r="C411" t="s">
        <v>29</v>
      </c>
      <c r="D411" t="s">
        <v>24</v>
      </c>
      <c r="E411" t="s">
        <v>30</v>
      </c>
      <c r="F411" t="s">
        <v>28</v>
      </c>
      <c r="G411" t="s">
        <v>22</v>
      </c>
      <c r="H411" s="3">
        <v>2.7688877784717202E-2</v>
      </c>
      <c r="I411" s="3">
        <v>2.67763672990016E-2</v>
      </c>
      <c r="J411" s="3">
        <v>2.3648917661927699E-2</v>
      </c>
      <c r="K411" s="3">
        <v>2.4379880468772E-2</v>
      </c>
      <c r="L411" s="3">
        <v>1.80389331614829E-2</v>
      </c>
      <c r="M411" s="3">
        <v>1.42527815999132E-2</v>
      </c>
      <c r="N411" s="3">
        <v>3.0094582975064399E-2</v>
      </c>
      <c r="O411" s="3">
        <v>1.9489944410391299E-2</v>
      </c>
      <c r="P411">
        <f t="shared" si="162"/>
        <v>1</v>
      </c>
      <c r="Q411">
        <f t="shared" si="163"/>
        <v>0</v>
      </c>
      <c r="R411">
        <f t="shared" si="164"/>
        <v>0</v>
      </c>
      <c r="S411">
        <f t="shared" si="165"/>
        <v>0</v>
      </c>
      <c r="T411">
        <f t="shared" si="166"/>
        <v>0</v>
      </c>
      <c r="U411">
        <f t="shared" si="167"/>
        <v>0</v>
      </c>
      <c r="V411">
        <f t="shared" si="168"/>
        <v>0</v>
      </c>
      <c r="W411">
        <f t="shared" si="169"/>
        <v>0</v>
      </c>
      <c r="X411">
        <f t="shared" si="170"/>
        <v>0</v>
      </c>
      <c r="Y411">
        <f t="shared" si="171"/>
        <v>0</v>
      </c>
      <c r="Z411">
        <f t="shared" si="172"/>
        <v>0</v>
      </c>
      <c r="AA411">
        <f t="shared" si="173"/>
        <v>1</v>
      </c>
      <c r="AB411">
        <f t="shared" si="156"/>
        <v>0</v>
      </c>
      <c r="AC411">
        <f t="shared" si="157"/>
        <v>0</v>
      </c>
      <c r="AD411">
        <f t="shared" si="158"/>
        <v>0</v>
      </c>
      <c r="AE411">
        <f t="shared" si="159"/>
        <v>0</v>
      </c>
      <c r="AF411">
        <f t="shared" si="160"/>
        <v>0</v>
      </c>
      <c r="AG411">
        <f t="shared" si="161"/>
        <v>0</v>
      </c>
      <c r="AH411">
        <f t="shared" si="174"/>
        <v>0</v>
      </c>
      <c r="AI411">
        <f t="shared" si="179"/>
        <v>0</v>
      </c>
      <c r="AJ411">
        <f t="shared" si="179"/>
        <v>0</v>
      </c>
      <c r="AK411">
        <f t="shared" si="179"/>
        <v>0</v>
      </c>
      <c r="AL411">
        <f t="shared" si="179"/>
        <v>0</v>
      </c>
      <c r="AM411">
        <f t="shared" si="179"/>
        <v>0</v>
      </c>
      <c r="AN411">
        <f t="shared" si="179"/>
        <v>0</v>
      </c>
      <c r="AO411">
        <f t="shared" si="179"/>
        <v>0</v>
      </c>
      <c r="AP411">
        <f t="shared" si="179"/>
        <v>0</v>
      </c>
      <c r="AQ411">
        <f t="shared" si="179"/>
        <v>0</v>
      </c>
      <c r="AR411">
        <f t="shared" si="179"/>
        <v>0</v>
      </c>
      <c r="AS411">
        <f t="shared" si="179"/>
        <v>1</v>
      </c>
      <c r="AT411">
        <f t="shared" si="179"/>
        <v>0</v>
      </c>
      <c r="AU411">
        <f t="shared" si="179"/>
        <v>0</v>
      </c>
      <c r="AV411">
        <f t="shared" si="179"/>
        <v>0</v>
      </c>
      <c r="AW411">
        <f t="shared" si="179"/>
        <v>0</v>
      </c>
      <c r="AX411">
        <f t="shared" si="175"/>
        <v>0</v>
      </c>
      <c r="AY411">
        <f t="shared" si="175"/>
        <v>1</v>
      </c>
      <c r="AZ411">
        <f t="shared" si="175"/>
        <v>0</v>
      </c>
      <c r="BA411">
        <f t="shared" si="176"/>
        <v>0</v>
      </c>
      <c r="BB411">
        <f t="shared" si="177"/>
        <v>1</v>
      </c>
    </row>
    <row r="412" spans="1:54">
      <c r="A412">
        <v>409</v>
      </c>
      <c r="B412" t="s">
        <v>20</v>
      </c>
      <c r="C412" t="s">
        <v>29</v>
      </c>
      <c r="D412" t="s">
        <v>24</v>
      </c>
      <c r="E412" t="s">
        <v>30</v>
      </c>
      <c r="F412" t="s">
        <v>28</v>
      </c>
      <c r="G412" t="s">
        <v>23</v>
      </c>
      <c r="H412" s="3">
        <v>3.28100816953961E-2</v>
      </c>
      <c r="I412" s="3">
        <v>3.1781376695930598E-2</v>
      </c>
      <c r="J412" s="3">
        <v>2.76822455843681E-2</v>
      </c>
      <c r="K412" s="3">
        <v>2.8970378754042101E-2</v>
      </c>
      <c r="L412" s="3">
        <v>2.10232351389587E-2</v>
      </c>
      <c r="M412" s="3">
        <v>1.6486799090117701E-2</v>
      </c>
      <c r="N412" s="3">
        <v>3.5683576956147801E-2</v>
      </c>
      <c r="O412" s="3">
        <v>2.2649790677986101E-2</v>
      </c>
      <c r="P412">
        <f t="shared" si="162"/>
        <v>0</v>
      </c>
      <c r="Q412">
        <f t="shared" si="163"/>
        <v>1</v>
      </c>
      <c r="R412">
        <f t="shared" si="164"/>
        <v>0</v>
      </c>
      <c r="S412">
        <f t="shared" si="165"/>
        <v>0</v>
      </c>
      <c r="T412">
        <f t="shared" si="166"/>
        <v>0</v>
      </c>
      <c r="U412">
        <f t="shared" si="167"/>
        <v>0</v>
      </c>
      <c r="V412">
        <f t="shared" si="168"/>
        <v>0</v>
      </c>
      <c r="W412">
        <f t="shared" si="169"/>
        <v>0</v>
      </c>
      <c r="X412">
        <f t="shared" si="170"/>
        <v>0</v>
      </c>
      <c r="Y412">
        <f t="shared" si="171"/>
        <v>0</v>
      </c>
      <c r="Z412">
        <f t="shared" si="172"/>
        <v>0</v>
      </c>
      <c r="AA412">
        <f t="shared" si="173"/>
        <v>1</v>
      </c>
      <c r="AB412">
        <f t="shared" si="156"/>
        <v>0</v>
      </c>
      <c r="AC412">
        <f t="shared" si="157"/>
        <v>0</v>
      </c>
      <c r="AD412">
        <f t="shared" si="158"/>
        <v>0</v>
      </c>
      <c r="AE412">
        <f t="shared" si="159"/>
        <v>0</v>
      </c>
      <c r="AF412">
        <f t="shared" si="160"/>
        <v>0</v>
      </c>
      <c r="AG412">
        <f t="shared" si="161"/>
        <v>0</v>
      </c>
      <c r="AH412">
        <f t="shared" si="174"/>
        <v>0</v>
      </c>
      <c r="AI412">
        <f t="shared" si="179"/>
        <v>0</v>
      </c>
      <c r="AJ412">
        <f t="shared" si="179"/>
        <v>0</v>
      </c>
      <c r="AK412">
        <f t="shared" si="179"/>
        <v>0</v>
      </c>
      <c r="AL412">
        <f t="shared" si="179"/>
        <v>0</v>
      </c>
      <c r="AM412">
        <f t="shared" si="179"/>
        <v>0</v>
      </c>
      <c r="AN412">
        <f t="shared" si="179"/>
        <v>0</v>
      </c>
      <c r="AO412">
        <f t="shared" si="179"/>
        <v>0</v>
      </c>
      <c r="AP412">
        <f t="shared" si="179"/>
        <v>0</v>
      </c>
      <c r="AQ412">
        <f t="shared" si="179"/>
        <v>0</v>
      </c>
      <c r="AR412">
        <f t="shared" si="179"/>
        <v>0</v>
      </c>
      <c r="AS412">
        <f t="shared" si="179"/>
        <v>0</v>
      </c>
      <c r="AT412">
        <f t="shared" si="179"/>
        <v>0</v>
      </c>
      <c r="AU412">
        <f t="shared" si="179"/>
        <v>1</v>
      </c>
      <c r="AV412">
        <f t="shared" si="179"/>
        <v>0</v>
      </c>
      <c r="AW412">
        <f t="shared" si="179"/>
        <v>0</v>
      </c>
      <c r="AX412">
        <f t="shared" si="175"/>
        <v>0</v>
      </c>
      <c r="AY412">
        <f t="shared" si="175"/>
        <v>1</v>
      </c>
      <c r="AZ412">
        <f t="shared" si="175"/>
        <v>0</v>
      </c>
      <c r="BA412">
        <f t="shared" si="176"/>
        <v>0</v>
      </c>
      <c r="BB412">
        <f t="shared" si="177"/>
        <v>1</v>
      </c>
    </row>
    <row r="413" spans="1:54">
      <c r="A413">
        <v>410</v>
      </c>
      <c r="B413" t="s">
        <v>20</v>
      </c>
      <c r="C413" t="s">
        <v>29</v>
      </c>
      <c r="D413" t="s">
        <v>24</v>
      </c>
      <c r="E413" t="s">
        <v>30</v>
      </c>
      <c r="F413" t="s">
        <v>28</v>
      </c>
      <c r="G413" t="s">
        <v>24</v>
      </c>
      <c r="H413" s="3">
        <v>0.73440789333217005</v>
      </c>
      <c r="I413" s="3">
        <v>0.84223070095783403</v>
      </c>
      <c r="J413" s="3">
        <v>0.57516744094723604</v>
      </c>
      <c r="K413" s="3">
        <v>0.77988632470848296</v>
      </c>
      <c r="L413" s="3">
        <v>0.52791219113710797</v>
      </c>
      <c r="M413" s="3">
        <v>0.39764015000022401</v>
      </c>
      <c r="N413" s="3">
        <v>0.92521877486077897</v>
      </c>
      <c r="O413" s="3">
        <v>0.474010315355816</v>
      </c>
      <c r="P413">
        <f t="shared" si="162"/>
        <v>0</v>
      </c>
      <c r="Q413">
        <f t="shared" si="163"/>
        <v>0</v>
      </c>
      <c r="R413">
        <f t="shared" si="164"/>
        <v>1</v>
      </c>
      <c r="S413">
        <f t="shared" si="165"/>
        <v>0</v>
      </c>
      <c r="T413">
        <f t="shared" si="166"/>
        <v>0</v>
      </c>
      <c r="U413">
        <f t="shared" si="167"/>
        <v>0</v>
      </c>
      <c r="V413">
        <f t="shared" si="168"/>
        <v>0</v>
      </c>
      <c r="W413">
        <f t="shared" si="169"/>
        <v>0</v>
      </c>
      <c r="X413">
        <f t="shared" si="170"/>
        <v>0</v>
      </c>
      <c r="Y413">
        <f t="shared" si="171"/>
        <v>0</v>
      </c>
      <c r="Z413">
        <f t="shared" si="172"/>
        <v>0</v>
      </c>
      <c r="AA413">
        <f t="shared" si="173"/>
        <v>1</v>
      </c>
      <c r="AB413">
        <f t="shared" si="156"/>
        <v>0</v>
      </c>
      <c r="AC413">
        <f t="shared" si="157"/>
        <v>0</v>
      </c>
      <c r="AD413">
        <f t="shared" si="158"/>
        <v>1</v>
      </c>
      <c r="AE413">
        <f t="shared" si="159"/>
        <v>0</v>
      </c>
      <c r="AF413">
        <f t="shared" si="160"/>
        <v>0</v>
      </c>
      <c r="AG413">
        <f t="shared" si="161"/>
        <v>0</v>
      </c>
      <c r="AH413">
        <f t="shared" si="174"/>
        <v>1</v>
      </c>
      <c r="AI413">
        <f t="shared" si="179"/>
        <v>0</v>
      </c>
      <c r="AJ413">
        <f t="shared" si="179"/>
        <v>0</v>
      </c>
      <c r="AK413">
        <f t="shared" si="179"/>
        <v>0</v>
      </c>
      <c r="AL413">
        <f t="shared" si="179"/>
        <v>0</v>
      </c>
      <c r="AM413">
        <f t="shared" si="179"/>
        <v>0</v>
      </c>
      <c r="AN413">
        <f t="shared" si="179"/>
        <v>0</v>
      </c>
      <c r="AO413">
        <f t="shared" si="179"/>
        <v>0</v>
      </c>
      <c r="AP413">
        <f t="shared" si="179"/>
        <v>0</v>
      </c>
      <c r="AQ413">
        <f t="shared" si="179"/>
        <v>0</v>
      </c>
      <c r="AR413">
        <f t="shared" si="179"/>
        <v>0</v>
      </c>
      <c r="AS413">
        <f t="shared" si="179"/>
        <v>0</v>
      </c>
      <c r="AT413">
        <f t="shared" si="179"/>
        <v>0</v>
      </c>
      <c r="AU413">
        <f t="shared" si="179"/>
        <v>0</v>
      </c>
      <c r="AV413">
        <f t="shared" si="179"/>
        <v>0</v>
      </c>
      <c r="AW413">
        <f t="shared" si="179"/>
        <v>0</v>
      </c>
      <c r="AX413">
        <f t="shared" si="175"/>
        <v>0</v>
      </c>
      <c r="AY413">
        <f t="shared" si="175"/>
        <v>1</v>
      </c>
      <c r="AZ413">
        <f t="shared" si="175"/>
        <v>0</v>
      </c>
      <c r="BA413">
        <f t="shared" si="176"/>
        <v>0</v>
      </c>
      <c r="BB413">
        <f t="shared" si="177"/>
        <v>1</v>
      </c>
    </row>
    <row r="414" spans="1:54">
      <c r="A414">
        <v>411</v>
      </c>
      <c r="B414" t="s">
        <v>20</v>
      </c>
      <c r="C414" t="s">
        <v>29</v>
      </c>
      <c r="D414" t="s">
        <v>24</v>
      </c>
      <c r="E414" t="s">
        <v>30</v>
      </c>
      <c r="F414" t="s">
        <v>28</v>
      </c>
      <c r="G414" t="s">
        <v>25</v>
      </c>
      <c r="H414" s="3">
        <v>0.60173150193082103</v>
      </c>
      <c r="I414" s="3">
        <v>0.57729633418925197</v>
      </c>
      <c r="J414" s="3">
        <v>0.495096914919399</v>
      </c>
      <c r="K414" s="3">
        <v>0.50246765629536405</v>
      </c>
      <c r="L414" s="3">
        <v>0.35583983248120499</v>
      </c>
      <c r="M414" s="3">
        <v>0.26296885283326099</v>
      </c>
      <c r="N414" s="3">
        <v>0.687744642505139</v>
      </c>
      <c r="O414" s="3">
        <v>0.38321027690509901</v>
      </c>
      <c r="P414">
        <f t="shared" si="162"/>
        <v>0</v>
      </c>
      <c r="Q414">
        <f t="shared" si="163"/>
        <v>0</v>
      </c>
      <c r="R414">
        <f t="shared" si="164"/>
        <v>0</v>
      </c>
      <c r="S414">
        <f t="shared" si="165"/>
        <v>0</v>
      </c>
      <c r="T414">
        <f t="shared" si="166"/>
        <v>0</v>
      </c>
      <c r="U414">
        <f t="shared" si="167"/>
        <v>0</v>
      </c>
      <c r="V414">
        <f t="shared" si="168"/>
        <v>0</v>
      </c>
      <c r="W414">
        <f t="shared" si="169"/>
        <v>0</v>
      </c>
      <c r="X414">
        <f t="shared" si="170"/>
        <v>0</v>
      </c>
      <c r="Y414">
        <f t="shared" si="171"/>
        <v>0</v>
      </c>
      <c r="Z414">
        <f t="shared" si="172"/>
        <v>0</v>
      </c>
      <c r="AA414">
        <f t="shared" si="173"/>
        <v>1</v>
      </c>
      <c r="AB414">
        <f t="shared" si="156"/>
        <v>0</v>
      </c>
      <c r="AC414">
        <f t="shared" si="157"/>
        <v>0</v>
      </c>
      <c r="AD414">
        <f t="shared" si="158"/>
        <v>0</v>
      </c>
      <c r="AE414">
        <f t="shared" si="159"/>
        <v>0</v>
      </c>
      <c r="AF414">
        <f t="shared" si="160"/>
        <v>0</v>
      </c>
      <c r="AG414">
        <f t="shared" si="161"/>
        <v>0</v>
      </c>
      <c r="AH414">
        <f t="shared" si="174"/>
        <v>0</v>
      </c>
      <c r="AI414">
        <f t="shared" si="179"/>
        <v>0</v>
      </c>
      <c r="AJ414">
        <f t="shared" si="179"/>
        <v>0</v>
      </c>
      <c r="AK414">
        <f t="shared" si="179"/>
        <v>0</v>
      </c>
      <c r="AL414">
        <f t="shared" si="179"/>
        <v>0</v>
      </c>
      <c r="AM414">
        <f t="shared" si="179"/>
        <v>0</v>
      </c>
      <c r="AN414">
        <f t="shared" si="179"/>
        <v>0</v>
      </c>
      <c r="AO414">
        <f t="shared" si="179"/>
        <v>0</v>
      </c>
      <c r="AP414">
        <f t="shared" si="179"/>
        <v>1</v>
      </c>
      <c r="AQ414">
        <f t="shared" si="179"/>
        <v>0</v>
      </c>
      <c r="AR414">
        <f t="shared" si="179"/>
        <v>0</v>
      </c>
      <c r="AS414">
        <f t="shared" si="179"/>
        <v>0</v>
      </c>
      <c r="AT414">
        <f t="shared" si="179"/>
        <v>0</v>
      </c>
      <c r="AU414">
        <f t="shared" si="179"/>
        <v>0</v>
      </c>
      <c r="AV414">
        <f t="shared" si="179"/>
        <v>0</v>
      </c>
      <c r="AW414">
        <f t="shared" si="179"/>
        <v>0</v>
      </c>
      <c r="AX414">
        <f t="shared" si="175"/>
        <v>0</v>
      </c>
      <c r="AY414">
        <f t="shared" si="175"/>
        <v>1</v>
      </c>
      <c r="AZ414">
        <f t="shared" si="175"/>
        <v>0</v>
      </c>
      <c r="BA414">
        <f t="shared" si="176"/>
        <v>1</v>
      </c>
      <c r="BB414">
        <f t="shared" si="177"/>
        <v>1</v>
      </c>
    </row>
    <row r="415" spans="1:54">
      <c r="A415">
        <v>412</v>
      </c>
      <c r="B415" t="s">
        <v>20</v>
      </c>
      <c r="C415" t="s">
        <v>29</v>
      </c>
      <c r="D415" t="s">
        <v>24</v>
      </c>
      <c r="E415" t="s">
        <v>30</v>
      </c>
      <c r="F415" t="s">
        <v>28</v>
      </c>
      <c r="G415" t="s">
        <v>26</v>
      </c>
      <c r="H415" s="3">
        <v>0.60920573786032695</v>
      </c>
      <c r="I415" s="3">
        <v>0.58510411678013496</v>
      </c>
      <c r="J415" s="3">
        <v>0.50119145808059096</v>
      </c>
      <c r="K415" s="3">
        <v>0.50872011782489202</v>
      </c>
      <c r="L415" s="3">
        <v>0.36098270355349199</v>
      </c>
      <c r="M415" s="3">
        <v>0.26672619614814802</v>
      </c>
      <c r="N415" s="3">
        <v>0.69828880216151301</v>
      </c>
      <c r="O415" s="3">
        <v>0.38800707863066802</v>
      </c>
      <c r="P415">
        <f t="shared" si="162"/>
        <v>0</v>
      </c>
      <c r="Q415">
        <f t="shared" si="163"/>
        <v>0</v>
      </c>
      <c r="R415">
        <f t="shared" si="164"/>
        <v>0</v>
      </c>
      <c r="S415">
        <f t="shared" si="165"/>
        <v>0</v>
      </c>
      <c r="T415">
        <f t="shared" si="166"/>
        <v>0</v>
      </c>
      <c r="U415">
        <f t="shared" si="167"/>
        <v>0</v>
      </c>
      <c r="V415">
        <f t="shared" si="168"/>
        <v>0</v>
      </c>
      <c r="W415">
        <f t="shared" si="169"/>
        <v>0</v>
      </c>
      <c r="X415">
        <f t="shared" si="170"/>
        <v>0</v>
      </c>
      <c r="Y415">
        <f t="shared" si="171"/>
        <v>0</v>
      </c>
      <c r="Z415">
        <f t="shared" si="172"/>
        <v>0</v>
      </c>
      <c r="AA415">
        <f t="shared" si="173"/>
        <v>1</v>
      </c>
      <c r="AB415">
        <f t="shared" si="156"/>
        <v>0</v>
      </c>
      <c r="AC415">
        <f t="shared" si="157"/>
        <v>0</v>
      </c>
      <c r="AD415">
        <f t="shared" si="158"/>
        <v>0</v>
      </c>
      <c r="AE415">
        <f t="shared" si="159"/>
        <v>0</v>
      </c>
      <c r="AF415">
        <f t="shared" si="160"/>
        <v>0</v>
      </c>
      <c r="AG415">
        <f t="shared" si="161"/>
        <v>0</v>
      </c>
      <c r="AH415">
        <f t="shared" si="174"/>
        <v>0</v>
      </c>
      <c r="AI415">
        <f t="shared" si="179"/>
        <v>0</v>
      </c>
      <c r="AJ415">
        <f t="shared" si="179"/>
        <v>0</v>
      </c>
      <c r="AK415">
        <f t="shared" si="179"/>
        <v>0</v>
      </c>
      <c r="AL415">
        <f t="shared" si="179"/>
        <v>1</v>
      </c>
      <c r="AM415">
        <f t="shared" si="179"/>
        <v>0</v>
      </c>
      <c r="AN415">
        <f t="shared" si="179"/>
        <v>0</v>
      </c>
      <c r="AO415">
        <f t="shared" si="179"/>
        <v>0</v>
      </c>
      <c r="AP415">
        <f t="shared" si="179"/>
        <v>0</v>
      </c>
      <c r="AQ415">
        <f t="shared" si="179"/>
        <v>0</v>
      </c>
      <c r="AR415">
        <f t="shared" si="179"/>
        <v>0</v>
      </c>
      <c r="AS415">
        <f t="shared" si="179"/>
        <v>0</v>
      </c>
      <c r="AT415">
        <f t="shared" si="179"/>
        <v>0</v>
      </c>
      <c r="AU415">
        <f t="shared" si="179"/>
        <v>0</v>
      </c>
      <c r="AV415">
        <f t="shared" si="179"/>
        <v>0</v>
      </c>
      <c r="AW415">
        <f t="shared" si="179"/>
        <v>0</v>
      </c>
      <c r="AX415">
        <f t="shared" si="175"/>
        <v>0</v>
      </c>
      <c r="AY415">
        <f t="shared" si="175"/>
        <v>1</v>
      </c>
      <c r="AZ415">
        <f t="shared" si="175"/>
        <v>0</v>
      </c>
      <c r="BA415">
        <f t="shared" si="176"/>
        <v>1</v>
      </c>
      <c r="BB415">
        <f t="shared" si="177"/>
        <v>1</v>
      </c>
    </row>
    <row r="416" spans="1:54">
      <c r="A416">
        <v>413</v>
      </c>
      <c r="B416" t="s">
        <v>20</v>
      </c>
      <c r="C416" t="s">
        <v>29</v>
      </c>
      <c r="D416" t="s">
        <v>24</v>
      </c>
      <c r="E416" t="s">
        <v>30</v>
      </c>
      <c r="F416" t="s">
        <v>28</v>
      </c>
      <c r="G416" t="s">
        <v>27</v>
      </c>
      <c r="H416" s="3">
        <v>0.376563272399349</v>
      </c>
      <c r="I416" s="3">
        <v>0.32596720901133402</v>
      </c>
      <c r="J416" s="3">
        <v>0.28952751342284999</v>
      </c>
      <c r="K416" s="3">
        <v>0.27114938253744603</v>
      </c>
      <c r="L416" s="3">
        <v>0.215824387627436</v>
      </c>
      <c r="M416" s="3">
        <v>0.15890293610983999</v>
      </c>
      <c r="N416" s="3">
        <v>0.52149613069647405</v>
      </c>
      <c r="O416" s="3">
        <v>0.213391037649001</v>
      </c>
      <c r="P416">
        <f t="shared" si="162"/>
        <v>0</v>
      </c>
      <c r="Q416">
        <f t="shared" si="163"/>
        <v>0</v>
      </c>
      <c r="R416">
        <f t="shared" si="164"/>
        <v>0</v>
      </c>
      <c r="S416">
        <f t="shared" si="165"/>
        <v>1</v>
      </c>
      <c r="T416">
        <f t="shared" si="166"/>
        <v>0</v>
      </c>
      <c r="U416">
        <f t="shared" si="167"/>
        <v>0</v>
      </c>
      <c r="V416">
        <f t="shared" si="168"/>
        <v>0</v>
      </c>
      <c r="W416">
        <f t="shared" si="169"/>
        <v>0</v>
      </c>
      <c r="X416">
        <f t="shared" si="170"/>
        <v>0</v>
      </c>
      <c r="Y416">
        <f t="shared" si="171"/>
        <v>0</v>
      </c>
      <c r="Z416">
        <f t="shared" si="172"/>
        <v>0</v>
      </c>
      <c r="AA416">
        <f t="shared" si="173"/>
        <v>1</v>
      </c>
      <c r="AB416">
        <f t="shared" si="156"/>
        <v>0</v>
      </c>
      <c r="AC416">
        <f t="shared" si="157"/>
        <v>0</v>
      </c>
      <c r="AD416">
        <f t="shared" si="158"/>
        <v>1</v>
      </c>
      <c r="AE416">
        <f t="shared" si="159"/>
        <v>0</v>
      </c>
      <c r="AF416">
        <f t="shared" si="160"/>
        <v>0</v>
      </c>
      <c r="AG416">
        <f t="shared" si="161"/>
        <v>0</v>
      </c>
      <c r="AH416">
        <f t="shared" si="174"/>
        <v>1</v>
      </c>
      <c r="AI416">
        <f t="shared" si="179"/>
        <v>0</v>
      </c>
      <c r="AJ416">
        <f t="shared" si="179"/>
        <v>0</v>
      </c>
      <c r="AK416">
        <f t="shared" si="179"/>
        <v>0</v>
      </c>
      <c r="AL416">
        <f t="shared" si="179"/>
        <v>0</v>
      </c>
      <c r="AM416">
        <f t="shared" si="179"/>
        <v>0</v>
      </c>
      <c r="AN416">
        <f t="shared" si="179"/>
        <v>0</v>
      </c>
      <c r="AO416">
        <f t="shared" si="179"/>
        <v>0</v>
      </c>
      <c r="AP416">
        <f t="shared" si="179"/>
        <v>0</v>
      </c>
      <c r="AQ416">
        <f t="shared" si="179"/>
        <v>0</v>
      </c>
      <c r="AR416">
        <f t="shared" si="179"/>
        <v>0</v>
      </c>
      <c r="AS416">
        <f t="shared" si="179"/>
        <v>0</v>
      </c>
      <c r="AT416">
        <f t="shared" si="179"/>
        <v>0</v>
      </c>
      <c r="AU416">
        <f t="shared" si="179"/>
        <v>0</v>
      </c>
      <c r="AV416">
        <f t="shared" si="179"/>
        <v>0</v>
      </c>
      <c r="AW416">
        <f t="shared" si="179"/>
        <v>1</v>
      </c>
      <c r="AX416">
        <f t="shared" si="175"/>
        <v>0</v>
      </c>
      <c r="AY416">
        <f t="shared" si="175"/>
        <v>1</v>
      </c>
      <c r="AZ416">
        <f t="shared" si="175"/>
        <v>0</v>
      </c>
      <c r="BA416">
        <f t="shared" si="176"/>
        <v>0</v>
      </c>
      <c r="BB416">
        <f t="shared" si="177"/>
        <v>1</v>
      </c>
    </row>
    <row r="417" spans="1:54">
      <c r="A417">
        <v>414</v>
      </c>
      <c r="B417" t="s">
        <v>20</v>
      </c>
      <c r="C417" t="s">
        <v>29</v>
      </c>
      <c r="D417" t="s">
        <v>24</v>
      </c>
      <c r="E417" t="s">
        <v>30</v>
      </c>
      <c r="F417" t="s">
        <v>29</v>
      </c>
      <c r="G417" t="s">
        <v>22</v>
      </c>
      <c r="H417" s="3">
        <v>0.75556577121877999</v>
      </c>
      <c r="I417" s="3">
        <v>0.71673575456748695</v>
      </c>
      <c r="J417" s="3">
        <v>0.57650805906731395</v>
      </c>
      <c r="K417" s="3">
        <v>0.60853703876733201</v>
      </c>
      <c r="L417" s="3">
        <v>0.42152960208049201</v>
      </c>
      <c r="M417" s="3">
        <v>0.30807469660125902</v>
      </c>
      <c r="N417" s="3">
        <v>0.89239108471727302</v>
      </c>
      <c r="O417" s="3">
        <v>0.44421262457967903</v>
      </c>
      <c r="P417">
        <f t="shared" si="162"/>
        <v>0</v>
      </c>
      <c r="Q417">
        <f t="shared" si="163"/>
        <v>0</v>
      </c>
      <c r="R417">
        <f t="shared" si="164"/>
        <v>0</v>
      </c>
      <c r="S417">
        <f t="shared" si="165"/>
        <v>0</v>
      </c>
      <c r="T417">
        <f t="shared" si="166"/>
        <v>0</v>
      </c>
      <c r="U417">
        <f t="shared" si="167"/>
        <v>0</v>
      </c>
      <c r="V417">
        <f t="shared" si="168"/>
        <v>0</v>
      </c>
      <c r="W417">
        <f t="shared" si="169"/>
        <v>0</v>
      </c>
      <c r="X417">
        <f t="shared" si="170"/>
        <v>1</v>
      </c>
      <c r="Y417">
        <f t="shared" si="171"/>
        <v>0</v>
      </c>
      <c r="Z417">
        <f t="shared" si="172"/>
        <v>0</v>
      </c>
      <c r="AA417">
        <f t="shared" si="173"/>
        <v>1</v>
      </c>
      <c r="AB417">
        <f t="shared" si="156"/>
        <v>0</v>
      </c>
      <c r="AC417">
        <f t="shared" si="157"/>
        <v>0</v>
      </c>
      <c r="AD417">
        <f t="shared" si="158"/>
        <v>0</v>
      </c>
      <c r="AE417">
        <f t="shared" si="159"/>
        <v>0</v>
      </c>
      <c r="AF417">
        <f t="shared" si="160"/>
        <v>1</v>
      </c>
      <c r="AG417">
        <f t="shared" si="161"/>
        <v>0</v>
      </c>
      <c r="AH417">
        <f t="shared" si="174"/>
        <v>0</v>
      </c>
      <c r="AI417">
        <f t="shared" si="179"/>
        <v>0</v>
      </c>
      <c r="AJ417">
        <f t="shared" si="179"/>
        <v>0</v>
      </c>
      <c r="AK417">
        <f t="shared" si="179"/>
        <v>0</v>
      </c>
      <c r="AL417">
        <f t="shared" si="179"/>
        <v>0</v>
      </c>
      <c r="AM417">
        <f t="shared" si="179"/>
        <v>0</v>
      </c>
      <c r="AN417">
        <f t="shared" si="179"/>
        <v>0</v>
      </c>
      <c r="AO417">
        <f t="shared" si="179"/>
        <v>0</v>
      </c>
      <c r="AP417">
        <f t="shared" si="179"/>
        <v>0</v>
      </c>
      <c r="AQ417">
        <f t="shared" si="179"/>
        <v>0</v>
      </c>
      <c r="AR417">
        <f t="shared" si="179"/>
        <v>0</v>
      </c>
      <c r="AS417">
        <f t="shared" si="179"/>
        <v>1</v>
      </c>
      <c r="AT417">
        <f t="shared" si="179"/>
        <v>0</v>
      </c>
      <c r="AU417">
        <f t="shared" si="179"/>
        <v>0</v>
      </c>
      <c r="AV417">
        <f t="shared" si="179"/>
        <v>0</v>
      </c>
      <c r="AW417">
        <f t="shared" si="179"/>
        <v>0</v>
      </c>
      <c r="AX417">
        <f t="shared" si="175"/>
        <v>0</v>
      </c>
      <c r="AY417">
        <f t="shared" si="175"/>
        <v>0</v>
      </c>
      <c r="AZ417">
        <f t="shared" si="175"/>
        <v>0</v>
      </c>
      <c r="BA417">
        <f t="shared" si="176"/>
        <v>0</v>
      </c>
      <c r="BB417">
        <f t="shared" si="177"/>
        <v>1</v>
      </c>
    </row>
    <row r="418" spans="1:54">
      <c r="A418">
        <v>415</v>
      </c>
      <c r="B418" t="s">
        <v>20</v>
      </c>
      <c r="C418" t="s">
        <v>29</v>
      </c>
      <c r="D418" t="s">
        <v>24</v>
      </c>
      <c r="E418" t="s">
        <v>30</v>
      </c>
      <c r="F418" t="s">
        <v>29</v>
      </c>
      <c r="G418" t="s">
        <v>23</v>
      </c>
      <c r="H418" s="3">
        <v>4.2371123055641599E-2</v>
      </c>
      <c r="I418" s="3">
        <v>4.0436608124188402E-2</v>
      </c>
      <c r="J418" s="3">
        <v>3.5989223138854901E-2</v>
      </c>
      <c r="K418" s="3">
        <v>3.6418352036529898E-2</v>
      </c>
      <c r="L418" s="3">
        <v>2.71300779388505E-2</v>
      </c>
      <c r="M418" s="3">
        <v>2.1368748891912599E-2</v>
      </c>
      <c r="N418" s="3">
        <v>4.6001719690455703E-2</v>
      </c>
      <c r="O418" s="3">
        <v>2.9424407953326601E-2</v>
      </c>
      <c r="P418">
        <f t="shared" si="162"/>
        <v>0</v>
      </c>
      <c r="Q418">
        <f t="shared" si="163"/>
        <v>0</v>
      </c>
      <c r="R418">
        <f t="shared" si="164"/>
        <v>0</v>
      </c>
      <c r="S418">
        <f t="shared" si="165"/>
        <v>0</v>
      </c>
      <c r="T418">
        <f t="shared" si="166"/>
        <v>0</v>
      </c>
      <c r="U418">
        <f t="shared" si="167"/>
        <v>0</v>
      </c>
      <c r="V418">
        <f t="shared" si="168"/>
        <v>0</v>
      </c>
      <c r="W418">
        <f t="shared" si="169"/>
        <v>0</v>
      </c>
      <c r="X418">
        <f t="shared" si="170"/>
        <v>0</v>
      </c>
      <c r="Y418">
        <f t="shared" si="171"/>
        <v>1</v>
      </c>
      <c r="Z418">
        <f t="shared" si="172"/>
        <v>0</v>
      </c>
      <c r="AA418">
        <f t="shared" si="173"/>
        <v>1</v>
      </c>
      <c r="AB418">
        <f t="shared" si="156"/>
        <v>0</v>
      </c>
      <c r="AC418">
        <f t="shared" si="157"/>
        <v>0</v>
      </c>
      <c r="AD418">
        <f t="shared" si="158"/>
        <v>0</v>
      </c>
      <c r="AE418">
        <f t="shared" si="159"/>
        <v>0</v>
      </c>
      <c r="AF418">
        <f t="shared" si="160"/>
        <v>1</v>
      </c>
      <c r="AG418">
        <f t="shared" si="161"/>
        <v>0</v>
      </c>
      <c r="AH418">
        <f t="shared" si="174"/>
        <v>0</v>
      </c>
      <c r="AI418">
        <f t="shared" si="179"/>
        <v>0</v>
      </c>
      <c r="AJ418">
        <f t="shared" si="179"/>
        <v>0</v>
      </c>
      <c r="AK418">
        <f t="shared" si="179"/>
        <v>0</v>
      </c>
      <c r="AL418">
        <f t="shared" si="179"/>
        <v>0</v>
      </c>
      <c r="AM418">
        <f t="shared" si="179"/>
        <v>0</v>
      </c>
      <c r="AN418">
        <f t="shared" si="179"/>
        <v>0</v>
      </c>
      <c r="AO418">
        <f t="shared" si="179"/>
        <v>0</v>
      </c>
      <c r="AP418">
        <f t="shared" si="179"/>
        <v>0</v>
      </c>
      <c r="AQ418">
        <f t="shared" si="179"/>
        <v>0</v>
      </c>
      <c r="AR418">
        <f t="shared" si="179"/>
        <v>0</v>
      </c>
      <c r="AS418">
        <f t="shared" si="179"/>
        <v>0</v>
      </c>
      <c r="AT418">
        <f t="shared" si="179"/>
        <v>0</v>
      </c>
      <c r="AU418">
        <f t="shared" si="179"/>
        <v>1</v>
      </c>
      <c r="AV418">
        <f t="shared" si="179"/>
        <v>0</v>
      </c>
      <c r="AW418">
        <f t="shared" si="179"/>
        <v>0</v>
      </c>
      <c r="AX418">
        <f t="shared" si="175"/>
        <v>0</v>
      </c>
      <c r="AY418">
        <f t="shared" si="175"/>
        <v>0</v>
      </c>
      <c r="AZ418">
        <f t="shared" si="175"/>
        <v>0</v>
      </c>
      <c r="BA418">
        <f t="shared" si="176"/>
        <v>0</v>
      </c>
      <c r="BB418">
        <f t="shared" si="177"/>
        <v>1</v>
      </c>
    </row>
    <row r="419" spans="1:54">
      <c r="A419">
        <v>416</v>
      </c>
      <c r="B419" t="s">
        <v>20</v>
      </c>
      <c r="C419" t="s">
        <v>29</v>
      </c>
      <c r="D419" t="s">
        <v>24</v>
      </c>
      <c r="E419" t="s">
        <v>30</v>
      </c>
      <c r="F419" t="s">
        <v>29</v>
      </c>
      <c r="G419" t="s">
        <v>24</v>
      </c>
      <c r="H419" s="3">
        <v>0.69600185129928405</v>
      </c>
      <c r="I419" s="3">
        <v>0.70780937405238398</v>
      </c>
      <c r="J419" s="3">
        <v>0.59657169395866205</v>
      </c>
      <c r="K419" s="3">
        <v>0.67542553156802598</v>
      </c>
      <c r="L419" s="3">
        <v>0.54341894306253102</v>
      </c>
      <c r="M419" s="3">
        <v>0.45666007106738998</v>
      </c>
      <c r="N419" s="3">
        <v>0.74763542562338703</v>
      </c>
      <c r="O419" s="3">
        <v>0.52838297992401195</v>
      </c>
      <c r="P419">
        <f t="shared" si="162"/>
        <v>0</v>
      </c>
      <c r="Q419">
        <f t="shared" si="163"/>
        <v>0</v>
      </c>
      <c r="R419">
        <f t="shared" si="164"/>
        <v>0</v>
      </c>
      <c r="S419">
        <f t="shared" si="165"/>
        <v>0</v>
      </c>
      <c r="T419">
        <f t="shared" si="166"/>
        <v>0</v>
      </c>
      <c r="U419">
        <f t="shared" si="167"/>
        <v>0</v>
      </c>
      <c r="V419">
        <f t="shared" si="168"/>
        <v>0</v>
      </c>
      <c r="W419">
        <f t="shared" si="169"/>
        <v>0</v>
      </c>
      <c r="X419">
        <f t="shared" si="170"/>
        <v>0</v>
      </c>
      <c r="Y419">
        <f t="shared" si="171"/>
        <v>0</v>
      </c>
      <c r="Z419">
        <f t="shared" si="172"/>
        <v>0</v>
      </c>
      <c r="AA419">
        <f t="shared" si="173"/>
        <v>1</v>
      </c>
      <c r="AB419">
        <f t="shared" si="156"/>
        <v>0</v>
      </c>
      <c r="AC419">
        <f t="shared" si="157"/>
        <v>0</v>
      </c>
      <c r="AD419">
        <f t="shared" si="158"/>
        <v>1</v>
      </c>
      <c r="AE419">
        <f t="shared" si="159"/>
        <v>0</v>
      </c>
      <c r="AF419">
        <f t="shared" si="160"/>
        <v>1</v>
      </c>
      <c r="AG419">
        <f t="shared" si="161"/>
        <v>0</v>
      </c>
      <c r="AH419">
        <f t="shared" si="174"/>
        <v>1</v>
      </c>
      <c r="AI419">
        <f t="shared" si="179"/>
        <v>0</v>
      </c>
      <c r="AJ419">
        <f t="shared" si="179"/>
        <v>0</v>
      </c>
      <c r="AK419">
        <f t="shared" si="179"/>
        <v>0</v>
      </c>
      <c r="AL419">
        <f t="shared" si="179"/>
        <v>0</v>
      </c>
      <c r="AM419">
        <f t="shared" si="179"/>
        <v>0</v>
      </c>
      <c r="AN419">
        <f t="shared" si="179"/>
        <v>0</v>
      </c>
      <c r="AO419">
        <f t="shared" si="179"/>
        <v>0</v>
      </c>
      <c r="AP419">
        <f t="shared" si="179"/>
        <v>0</v>
      </c>
      <c r="AQ419">
        <f t="shared" si="179"/>
        <v>0</v>
      </c>
      <c r="AR419">
        <f t="shared" si="179"/>
        <v>0</v>
      </c>
      <c r="AS419">
        <f t="shared" si="179"/>
        <v>0</v>
      </c>
      <c r="AT419">
        <f t="shared" si="179"/>
        <v>0</v>
      </c>
      <c r="AU419">
        <f t="shared" si="179"/>
        <v>0</v>
      </c>
      <c r="AV419">
        <f t="shared" si="179"/>
        <v>0</v>
      </c>
      <c r="AW419">
        <f t="shared" si="179"/>
        <v>0</v>
      </c>
      <c r="AX419">
        <f t="shared" si="175"/>
        <v>0</v>
      </c>
      <c r="AY419">
        <f t="shared" si="175"/>
        <v>0</v>
      </c>
      <c r="AZ419">
        <f t="shared" si="175"/>
        <v>0</v>
      </c>
      <c r="BA419">
        <f t="shared" si="176"/>
        <v>0</v>
      </c>
      <c r="BB419">
        <f t="shared" si="177"/>
        <v>1</v>
      </c>
    </row>
    <row r="420" spans="1:54">
      <c r="A420">
        <v>417</v>
      </c>
      <c r="B420" t="s">
        <v>20</v>
      </c>
      <c r="C420" t="s">
        <v>29</v>
      </c>
      <c r="D420" t="s">
        <v>24</v>
      </c>
      <c r="E420" t="s">
        <v>30</v>
      </c>
      <c r="F420" t="s">
        <v>29</v>
      </c>
      <c r="G420" t="s">
        <v>31</v>
      </c>
      <c r="H420" s="3">
        <v>5.2085834314319401E-2</v>
      </c>
      <c r="I420" s="3">
        <v>4.8674355572062199E-2</v>
      </c>
      <c r="J420" s="3">
        <v>4.4637097394407098E-2</v>
      </c>
      <c r="K420" s="3">
        <v>4.3787835672007197E-2</v>
      </c>
      <c r="L420" s="3">
        <v>3.5397122597343303E-2</v>
      </c>
      <c r="M420" s="3">
        <v>2.8684381505904102E-2</v>
      </c>
      <c r="N420" s="3">
        <v>5.5889939810833997E-2</v>
      </c>
      <c r="O420" s="3">
        <v>3.6803792509030903E-2</v>
      </c>
      <c r="P420">
        <f t="shared" si="162"/>
        <v>0</v>
      </c>
      <c r="Q420">
        <f t="shared" si="163"/>
        <v>0</v>
      </c>
      <c r="R420">
        <f t="shared" si="164"/>
        <v>0</v>
      </c>
      <c r="S420">
        <f t="shared" si="165"/>
        <v>0</v>
      </c>
      <c r="T420">
        <f t="shared" si="166"/>
        <v>0</v>
      </c>
      <c r="U420">
        <f t="shared" si="167"/>
        <v>0</v>
      </c>
      <c r="V420">
        <f t="shared" si="168"/>
        <v>0</v>
      </c>
      <c r="W420">
        <f t="shared" si="169"/>
        <v>0</v>
      </c>
      <c r="X420">
        <f t="shared" si="170"/>
        <v>0</v>
      </c>
      <c r="Y420">
        <f t="shared" si="171"/>
        <v>0</v>
      </c>
      <c r="Z420">
        <f t="shared" si="172"/>
        <v>1</v>
      </c>
      <c r="AA420">
        <f t="shared" si="173"/>
        <v>1</v>
      </c>
      <c r="AB420">
        <f t="shared" si="156"/>
        <v>0</v>
      </c>
      <c r="AC420">
        <f t="shared" si="157"/>
        <v>0</v>
      </c>
      <c r="AD420">
        <f t="shared" si="158"/>
        <v>0</v>
      </c>
      <c r="AE420">
        <f t="shared" si="159"/>
        <v>0</v>
      </c>
      <c r="AF420">
        <f t="shared" si="160"/>
        <v>1</v>
      </c>
      <c r="AG420">
        <f t="shared" si="161"/>
        <v>0</v>
      </c>
      <c r="AH420">
        <f t="shared" si="174"/>
        <v>0</v>
      </c>
      <c r="AI420">
        <f t="shared" si="179"/>
        <v>0</v>
      </c>
      <c r="AJ420">
        <f t="shared" si="179"/>
        <v>0</v>
      </c>
      <c r="AK420">
        <f t="shared" si="179"/>
        <v>0</v>
      </c>
      <c r="AL420">
        <f t="shared" si="179"/>
        <v>0</v>
      </c>
      <c r="AM420">
        <f t="shared" si="179"/>
        <v>0</v>
      </c>
      <c r="AN420">
        <f t="shared" si="179"/>
        <v>0</v>
      </c>
      <c r="AO420">
        <f t="shared" si="179"/>
        <v>0</v>
      </c>
      <c r="AP420">
        <f t="shared" si="179"/>
        <v>0</v>
      </c>
      <c r="AQ420">
        <f t="shared" si="179"/>
        <v>0</v>
      </c>
      <c r="AR420">
        <f t="shared" si="179"/>
        <v>0</v>
      </c>
      <c r="AS420">
        <f t="shared" si="179"/>
        <v>0</v>
      </c>
      <c r="AT420">
        <f t="shared" si="179"/>
        <v>0</v>
      </c>
      <c r="AU420">
        <f t="shared" si="179"/>
        <v>0</v>
      </c>
      <c r="AV420">
        <f t="shared" si="179"/>
        <v>0</v>
      </c>
      <c r="AW420">
        <f t="shared" si="179"/>
        <v>0</v>
      </c>
      <c r="AX420">
        <f t="shared" si="175"/>
        <v>0</v>
      </c>
      <c r="AY420">
        <f t="shared" si="175"/>
        <v>0</v>
      </c>
      <c r="AZ420">
        <f t="shared" si="175"/>
        <v>0</v>
      </c>
      <c r="BA420">
        <f t="shared" si="176"/>
        <v>0</v>
      </c>
      <c r="BB420">
        <f t="shared" si="177"/>
        <v>1</v>
      </c>
    </row>
    <row r="421" spans="1:54">
      <c r="A421">
        <v>418</v>
      </c>
      <c r="B421" t="s">
        <v>20</v>
      </c>
      <c r="C421" t="s">
        <v>29</v>
      </c>
      <c r="D421" t="s">
        <v>24</v>
      </c>
      <c r="E421" t="s">
        <v>30</v>
      </c>
      <c r="F421" t="s">
        <v>29</v>
      </c>
      <c r="G421" t="s">
        <v>25</v>
      </c>
      <c r="H421" s="3">
        <v>0.107106846198792</v>
      </c>
      <c r="I421" s="3">
        <v>0.10128005489858199</v>
      </c>
      <c r="J421" s="3">
        <v>9.0903223299900096E-2</v>
      </c>
      <c r="K421" s="3">
        <v>8.9962240459167203E-2</v>
      </c>
      <c r="L421" s="3">
        <v>6.7244129920491197E-2</v>
      </c>
      <c r="M421" s="3">
        <v>5.2215883891011901E-2</v>
      </c>
      <c r="N421" s="3">
        <v>0.116758696852567</v>
      </c>
      <c r="O421" s="3">
        <v>7.1670404676694902E-2</v>
      </c>
      <c r="P421">
        <f t="shared" si="162"/>
        <v>0</v>
      </c>
      <c r="Q421">
        <f t="shared" si="163"/>
        <v>0</v>
      </c>
      <c r="R421">
        <f t="shared" si="164"/>
        <v>0</v>
      </c>
      <c r="S421">
        <f t="shared" si="165"/>
        <v>0</v>
      </c>
      <c r="T421">
        <f t="shared" si="166"/>
        <v>0</v>
      </c>
      <c r="U421">
        <f t="shared" si="167"/>
        <v>0</v>
      </c>
      <c r="V421">
        <f t="shared" si="168"/>
        <v>0</v>
      </c>
      <c r="W421">
        <f t="shared" si="169"/>
        <v>0</v>
      </c>
      <c r="X421">
        <f t="shared" si="170"/>
        <v>0</v>
      </c>
      <c r="Y421">
        <f t="shared" si="171"/>
        <v>0</v>
      </c>
      <c r="Z421">
        <f t="shared" si="172"/>
        <v>0</v>
      </c>
      <c r="AA421">
        <f t="shared" si="173"/>
        <v>1</v>
      </c>
      <c r="AB421">
        <f t="shared" si="156"/>
        <v>0</v>
      </c>
      <c r="AC421">
        <f t="shared" si="157"/>
        <v>0</v>
      </c>
      <c r="AD421">
        <f t="shared" si="158"/>
        <v>0</v>
      </c>
      <c r="AE421">
        <f t="shared" si="159"/>
        <v>0</v>
      </c>
      <c r="AF421">
        <f t="shared" si="160"/>
        <v>1</v>
      </c>
      <c r="AG421">
        <f t="shared" si="161"/>
        <v>0</v>
      </c>
      <c r="AH421">
        <f t="shared" si="174"/>
        <v>0</v>
      </c>
      <c r="AI421">
        <f t="shared" si="179"/>
        <v>0</v>
      </c>
      <c r="AJ421">
        <f t="shared" si="179"/>
        <v>0</v>
      </c>
      <c r="AK421">
        <f t="shared" si="179"/>
        <v>0</v>
      </c>
      <c r="AL421">
        <f t="shared" si="179"/>
        <v>0</v>
      </c>
      <c r="AM421">
        <f t="shared" si="179"/>
        <v>0</v>
      </c>
      <c r="AN421">
        <f t="shared" si="179"/>
        <v>0</v>
      </c>
      <c r="AO421">
        <f t="shared" si="179"/>
        <v>0</v>
      </c>
      <c r="AP421">
        <f t="shared" si="179"/>
        <v>1</v>
      </c>
      <c r="AQ421">
        <f t="shared" si="179"/>
        <v>0</v>
      </c>
      <c r="AR421">
        <f t="shared" si="179"/>
        <v>0</v>
      </c>
      <c r="AS421">
        <f t="shared" si="179"/>
        <v>0</v>
      </c>
      <c r="AT421">
        <f t="shared" si="179"/>
        <v>0</v>
      </c>
      <c r="AU421">
        <f t="shared" si="179"/>
        <v>0</v>
      </c>
      <c r="AV421">
        <f t="shared" si="179"/>
        <v>0</v>
      </c>
      <c r="AW421">
        <f t="shared" si="179"/>
        <v>0</v>
      </c>
      <c r="AX421">
        <f t="shared" si="175"/>
        <v>0</v>
      </c>
      <c r="AY421">
        <f t="shared" si="175"/>
        <v>0</v>
      </c>
      <c r="AZ421">
        <f t="shared" si="175"/>
        <v>0</v>
      </c>
      <c r="BA421">
        <f t="shared" si="176"/>
        <v>1</v>
      </c>
      <c r="BB421">
        <f t="shared" si="177"/>
        <v>1</v>
      </c>
    </row>
    <row r="422" spans="1:54">
      <c r="A422">
        <v>419</v>
      </c>
      <c r="B422" t="s">
        <v>20</v>
      </c>
      <c r="C422" t="s">
        <v>29</v>
      </c>
      <c r="D422" t="s">
        <v>24</v>
      </c>
      <c r="E422" t="s">
        <v>30</v>
      </c>
      <c r="F422" t="s">
        <v>29</v>
      </c>
      <c r="G422" t="s">
        <v>26</v>
      </c>
      <c r="H422" s="3">
        <v>0.109532927057877</v>
      </c>
      <c r="I422" s="3">
        <v>0.10343828556165199</v>
      </c>
      <c r="J422" s="3">
        <v>9.2988158876884303E-2</v>
      </c>
      <c r="K422" s="3">
        <v>9.17926750621951E-2</v>
      </c>
      <c r="L422" s="3">
        <v>6.88345534075753E-2</v>
      </c>
      <c r="M422" s="3">
        <v>5.3475856257933302E-2</v>
      </c>
      <c r="N422" s="3">
        <v>0.119404517453798</v>
      </c>
      <c r="O422" s="3">
        <v>7.3323294688428201E-2</v>
      </c>
      <c r="P422">
        <f t="shared" si="162"/>
        <v>0</v>
      </c>
      <c r="Q422">
        <f t="shared" si="163"/>
        <v>0</v>
      </c>
      <c r="R422">
        <f t="shared" si="164"/>
        <v>0</v>
      </c>
      <c r="S422">
        <f t="shared" si="165"/>
        <v>0</v>
      </c>
      <c r="T422">
        <f t="shared" si="166"/>
        <v>0</v>
      </c>
      <c r="U422">
        <f t="shared" si="167"/>
        <v>0</v>
      </c>
      <c r="V422">
        <f t="shared" si="168"/>
        <v>0</v>
      </c>
      <c r="W422">
        <f t="shared" si="169"/>
        <v>0</v>
      </c>
      <c r="X422">
        <f t="shared" si="170"/>
        <v>0</v>
      </c>
      <c r="Y422">
        <f t="shared" si="171"/>
        <v>0</v>
      </c>
      <c r="Z422">
        <f t="shared" si="172"/>
        <v>0</v>
      </c>
      <c r="AA422">
        <f t="shared" si="173"/>
        <v>1</v>
      </c>
      <c r="AB422">
        <f t="shared" si="156"/>
        <v>0</v>
      </c>
      <c r="AC422">
        <f t="shared" si="157"/>
        <v>0</v>
      </c>
      <c r="AD422">
        <f t="shared" si="158"/>
        <v>0</v>
      </c>
      <c r="AE422">
        <f t="shared" si="159"/>
        <v>0</v>
      </c>
      <c r="AF422">
        <f t="shared" si="160"/>
        <v>1</v>
      </c>
      <c r="AG422">
        <f t="shared" si="161"/>
        <v>0</v>
      </c>
      <c r="AH422">
        <f t="shared" si="174"/>
        <v>0</v>
      </c>
      <c r="AI422">
        <f t="shared" si="179"/>
        <v>0</v>
      </c>
      <c r="AJ422">
        <f t="shared" si="179"/>
        <v>0</v>
      </c>
      <c r="AK422">
        <f t="shared" si="179"/>
        <v>0</v>
      </c>
      <c r="AL422">
        <f t="shared" si="179"/>
        <v>1</v>
      </c>
      <c r="AM422">
        <f t="shared" si="179"/>
        <v>0</v>
      </c>
      <c r="AN422">
        <f t="shared" si="179"/>
        <v>0</v>
      </c>
      <c r="AO422">
        <f t="shared" si="179"/>
        <v>0</v>
      </c>
      <c r="AP422">
        <f t="shared" si="179"/>
        <v>0</v>
      </c>
      <c r="AQ422">
        <f t="shared" si="179"/>
        <v>0</v>
      </c>
      <c r="AR422">
        <f t="shared" si="179"/>
        <v>0</v>
      </c>
      <c r="AS422">
        <f t="shared" si="179"/>
        <v>0</v>
      </c>
      <c r="AT422">
        <f t="shared" si="179"/>
        <v>0</v>
      </c>
      <c r="AU422">
        <f t="shared" si="179"/>
        <v>0</v>
      </c>
      <c r="AV422">
        <f t="shared" si="179"/>
        <v>0</v>
      </c>
      <c r="AW422">
        <f t="shared" si="179"/>
        <v>0</v>
      </c>
      <c r="AX422">
        <f t="shared" si="175"/>
        <v>0</v>
      </c>
      <c r="AY422">
        <f t="shared" si="175"/>
        <v>0</v>
      </c>
      <c r="AZ422">
        <f t="shared" si="175"/>
        <v>0</v>
      </c>
      <c r="BA422">
        <f t="shared" si="176"/>
        <v>1</v>
      </c>
      <c r="BB422">
        <f t="shared" si="177"/>
        <v>1</v>
      </c>
    </row>
    <row r="423" spans="1:54">
      <c r="A423">
        <v>420</v>
      </c>
      <c r="B423" t="s">
        <v>20</v>
      </c>
      <c r="C423" t="s">
        <v>29</v>
      </c>
      <c r="D423" t="s">
        <v>31</v>
      </c>
      <c r="E423" t="s">
        <v>20</v>
      </c>
      <c r="F423" t="s">
        <v>29</v>
      </c>
      <c r="G423" t="s">
        <v>25</v>
      </c>
      <c r="H423" s="3">
        <v>5.6000867300392398E-3</v>
      </c>
      <c r="I423" s="3">
        <v>5.4511710576819897E-3</v>
      </c>
      <c r="J423" s="3">
        <v>5.0136684113431303E-3</v>
      </c>
      <c r="K423" s="3">
        <v>5.1252341755051896E-3</v>
      </c>
      <c r="L423" s="3">
        <v>4.2069762059681699E-3</v>
      </c>
      <c r="M423" s="3">
        <v>3.6300226265884002E-3</v>
      </c>
      <c r="N423" s="3">
        <v>5.8857117758158699E-3</v>
      </c>
      <c r="O423" s="3">
        <v>4.4411429304931698E-3</v>
      </c>
      <c r="P423">
        <f t="shared" si="162"/>
        <v>0</v>
      </c>
      <c r="Q423">
        <f t="shared" si="163"/>
        <v>0</v>
      </c>
      <c r="R423">
        <f t="shared" si="164"/>
        <v>0</v>
      </c>
      <c r="S423">
        <f t="shared" si="165"/>
        <v>0</v>
      </c>
      <c r="T423">
        <f t="shared" si="166"/>
        <v>0</v>
      </c>
      <c r="U423">
        <f t="shared" si="167"/>
        <v>0</v>
      </c>
      <c r="V423">
        <f t="shared" si="168"/>
        <v>0</v>
      </c>
      <c r="W423">
        <f t="shared" si="169"/>
        <v>0</v>
      </c>
      <c r="X423">
        <f t="shared" si="170"/>
        <v>0</v>
      </c>
      <c r="Y423">
        <f t="shared" si="171"/>
        <v>0</v>
      </c>
      <c r="Z423">
        <f t="shared" si="172"/>
        <v>1</v>
      </c>
      <c r="AA423">
        <f t="shared" si="173"/>
        <v>0</v>
      </c>
      <c r="AB423">
        <f t="shared" si="156"/>
        <v>0</v>
      </c>
      <c r="AC423">
        <f t="shared" si="157"/>
        <v>0</v>
      </c>
      <c r="AD423">
        <f t="shared" si="158"/>
        <v>0</v>
      </c>
      <c r="AE423">
        <f t="shared" si="159"/>
        <v>0</v>
      </c>
      <c r="AF423">
        <f t="shared" si="160"/>
        <v>1</v>
      </c>
      <c r="AG423">
        <f t="shared" si="161"/>
        <v>1</v>
      </c>
      <c r="AH423">
        <f t="shared" si="174"/>
        <v>0</v>
      </c>
      <c r="AI423">
        <f t="shared" si="179"/>
        <v>0</v>
      </c>
      <c r="AJ423">
        <f t="shared" si="179"/>
        <v>0</v>
      </c>
      <c r="AK423">
        <f t="shared" si="179"/>
        <v>0</v>
      </c>
      <c r="AL423">
        <f t="shared" si="179"/>
        <v>0</v>
      </c>
      <c r="AM423">
        <f t="shared" si="179"/>
        <v>0</v>
      </c>
      <c r="AN423">
        <f t="shared" si="179"/>
        <v>0</v>
      </c>
      <c r="AO423">
        <f t="shared" si="179"/>
        <v>0</v>
      </c>
      <c r="AP423">
        <f t="shared" si="179"/>
        <v>0</v>
      </c>
      <c r="AQ423">
        <f t="shared" si="179"/>
        <v>0</v>
      </c>
      <c r="AR423">
        <f t="shared" si="179"/>
        <v>0</v>
      </c>
      <c r="AS423">
        <f t="shared" si="179"/>
        <v>0</v>
      </c>
      <c r="AT423">
        <f t="shared" si="179"/>
        <v>0</v>
      </c>
      <c r="AU423">
        <f t="shared" si="179"/>
        <v>0</v>
      </c>
      <c r="AV423">
        <f t="shared" si="179"/>
        <v>0</v>
      </c>
      <c r="AW423">
        <f t="shared" si="179"/>
        <v>0</v>
      </c>
      <c r="AX423">
        <f t="shared" si="175"/>
        <v>0</v>
      </c>
      <c r="AY423">
        <f t="shared" si="175"/>
        <v>0</v>
      </c>
      <c r="AZ423">
        <f t="shared" si="175"/>
        <v>0</v>
      </c>
      <c r="BA423">
        <f t="shared" si="176"/>
        <v>0</v>
      </c>
      <c r="BB423">
        <f t="shared" si="177"/>
        <v>1</v>
      </c>
    </row>
    <row r="424" spans="1:54">
      <c r="A424">
        <v>421</v>
      </c>
      <c r="B424" t="s">
        <v>20</v>
      </c>
      <c r="C424" t="s">
        <v>29</v>
      </c>
      <c r="D424" t="s">
        <v>31</v>
      </c>
      <c r="E424" t="s">
        <v>20</v>
      </c>
      <c r="F424" t="s">
        <v>29</v>
      </c>
      <c r="G424" t="s">
        <v>26</v>
      </c>
      <c r="H424" s="3">
        <v>5.7350150634234796E-3</v>
      </c>
      <c r="I424" s="3">
        <v>5.5941101222285903E-3</v>
      </c>
      <c r="J424" s="3">
        <v>5.1448183722943496E-3</v>
      </c>
      <c r="K424" s="3">
        <v>5.2674295847007996E-3</v>
      </c>
      <c r="L424" s="3">
        <v>4.3164916213543998E-3</v>
      </c>
      <c r="M424" s="3">
        <v>3.7262171209200001E-3</v>
      </c>
      <c r="N424" s="3">
        <v>6.0273479668945598E-3</v>
      </c>
      <c r="O424" s="3">
        <v>4.5544680949071098E-3</v>
      </c>
      <c r="P424">
        <f t="shared" si="162"/>
        <v>0</v>
      </c>
      <c r="Q424">
        <f t="shared" si="163"/>
        <v>0</v>
      </c>
      <c r="R424">
        <f t="shared" si="164"/>
        <v>0</v>
      </c>
      <c r="S424">
        <f t="shared" si="165"/>
        <v>0</v>
      </c>
      <c r="T424">
        <f t="shared" si="166"/>
        <v>0</v>
      </c>
      <c r="U424">
        <f t="shared" si="167"/>
        <v>0</v>
      </c>
      <c r="V424">
        <f t="shared" si="168"/>
        <v>0</v>
      </c>
      <c r="W424">
        <f t="shared" si="169"/>
        <v>0</v>
      </c>
      <c r="X424">
        <f t="shared" si="170"/>
        <v>0</v>
      </c>
      <c r="Y424">
        <f t="shared" si="171"/>
        <v>0</v>
      </c>
      <c r="Z424">
        <f t="shared" si="172"/>
        <v>1</v>
      </c>
      <c r="AA424">
        <f t="shared" si="173"/>
        <v>0</v>
      </c>
      <c r="AB424">
        <f t="shared" si="156"/>
        <v>0</v>
      </c>
      <c r="AC424">
        <f t="shared" si="157"/>
        <v>0</v>
      </c>
      <c r="AD424">
        <f t="shared" si="158"/>
        <v>0</v>
      </c>
      <c r="AE424">
        <f t="shared" si="159"/>
        <v>0</v>
      </c>
      <c r="AF424">
        <f t="shared" si="160"/>
        <v>1</v>
      </c>
      <c r="AG424">
        <f t="shared" si="161"/>
        <v>1</v>
      </c>
      <c r="AH424">
        <f t="shared" si="174"/>
        <v>0</v>
      </c>
      <c r="AI424">
        <f t="shared" si="179"/>
        <v>0</v>
      </c>
      <c r="AJ424">
        <f t="shared" si="179"/>
        <v>0</v>
      </c>
      <c r="AK424">
        <f t="shared" si="179"/>
        <v>0</v>
      </c>
      <c r="AL424">
        <f t="shared" si="179"/>
        <v>0</v>
      </c>
      <c r="AM424">
        <f t="shared" si="179"/>
        <v>0</v>
      </c>
      <c r="AN424">
        <f t="shared" si="179"/>
        <v>0</v>
      </c>
      <c r="AO424">
        <f t="shared" si="179"/>
        <v>0</v>
      </c>
      <c r="AP424">
        <f t="shared" si="179"/>
        <v>0</v>
      </c>
      <c r="AQ424">
        <f t="shared" si="179"/>
        <v>0</v>
      </c>
      <c r="AR424">
        <f t="shared" si="179"/>
        <v>0</v>
      </c>
      <c r="AS424">
        <f t="shared" si="179"/>
        <v>0</v>
      </c>
      <c r="AT424">
        <f t="shared" si="179"/>
        <v>0</v>
      </c>
      <c r="AU424">
        <f t="shared" si="179"/>
        <v>0</v>
      </c>
      <c r="AV424">
        <f t="shared" si="179"/>
        <v>0</v>
      </c>
      <c r="AW424">
        <f t="shared" si="179"/>
        <v>0</v>
      </c>
      <c r="AX424">
        <f t="shared" si="175"/>
        <v>0</v>
      </c>
      <c r="AY424">
        <f t="shared" si="175"/>
        <v>0</v>
      </c>
      <c r="AZ424">
        <f t="shared" si="175"/>
        <v>0</v>
      </c>
      <c r="BA424">
        <f t="shared" si="176"/>
        <v>0</v>
      </c>
      <c r="BB424">
        <f t="shared" si="177"/>
        <v>1</v>
      </c>
    </row>
    <row r="425" spans="1:54">
      <c r="A425">
        <v>422</v>
      </c>
      <c r="B425" t="s">
        <v>20</v>
      </c>
      <c r="C425" t="s">
        <v>29</v>
      </c>
      <c r="D425" t="s">
        <v>31</v>
      </c>
      <c r="E425" t="s">
        <v>30</v>
      </c>
      <c r="F425" t="s">
        <v>21</v>
      </c>
      <c r="G425" t="s">
        <v>22</v>
      </c>
      <c r="H425" s="3">
        <v>0.43848564618796099</v>
      </c>
      <c r="I425" s="3">
        <v>0.41537879328972699</v>
      </c>
      <c r="J425" s="3">
        <v>0.354825733983752</v>
      </c>
      <c r="K425" s="3">
        <v>0.37299916662841098</v>
      </c>
      <c r="L425" s="3">
        <v>0.28294999736183801</v>
      </c>
      <c r="M425" s="3">
        <v>0.220338197071514</v>
      </c>
      <c r="N425" s="3">
        <v>0.47761194029850701</v>
      </c>
      <c r="O425" s="3">
        <v>0.29149520493293002</v>
      </c>
      <c r="P425">
        <f t="shared" si="162"/>
        <v>0</v>
      </c>
      <c r="Q425">
        <f t="shared" si="163"/>
        <v>0</v>
      </c>
      <c r="R425">
        <f t="shared" si="164"/>
        <v>0</v>
      </c>
      <c r="S425">
        <f t="shared" si="165"/>
        <v>0</v>
      </c>
      <c r="T425">
        <f t="shared" si="166"/>
        <v>1</v>
      </c>
      <c r="U425">
        <f t="shared" si="167"/>
        <v>0</v>
      </c>
      <c r="V425">
        <f t="shared" si="168"/>
        <v>0</v>
      </c>
      <c r="W425">
        <f t="shared" si="169"/>
        <v>0</v>
      </c>
      <c r="X425">
        <f t="shared" si="170"/>
        <v>0</v>
      </c>
      <c r="Y425">
        <f t="shared" si="171"/>
        <v>0</v>
      </c>
      <c r="Z425">
        <f t="shared" si="172"/>
        <v>1</v>
      </c>
      <c r="AA425">
        <f t="shared" si="173"/>
        <v>0</v>
      </c>
      <c r="AB425">
        <f t="shared" si="156"/>
        <v>0</v>
      </c>
      <c r="AC425">
        <f t="shared" si="157"/>
        <v>1</v>
      </c>
      <c r="AD425">
        <f t="shared" si="158"/>
        <v>0</v>
      </c>
      <c r="AE425">
        <f t="shared" si="159"/>
        <v>0</v>
      </c>
      <c r="AF425">
        <f t="shared" si="160"/>
        <v>0</v>
      </c>
      <c r="AG425">
        <f t="shared" si="161"/>
        <v>0</v>
      </c>
      <c r="AH425">
        <f t="shared" si="174"/>
        <v>1</v>
      </c>
      <c r="AI425">
        <f t="shared" si="179"/>
        <v>0</v>
      </c>
      <c r="AJ425">
        <f t="shared" si="179"/>
        <v>0</v>
      </c>
      <c r="AK425">
        <f t="shared" si="179"/>
        <v>0</v>
      </c>
      <c r="AL425">
        <f t="shared" si="179"/>
        <v>0</v>
      </c>
      <c r="AM425">
        <f t="shared" si="179"/>
        <v>0</v>
      </c>
      <c r="AN425">
        <f t="shared" si="179"/>
        <v>0</v>
      </c>
      <c r="AO425">
        <f t="shared" si="179"/>
        <v>0</v>
      </c>
      <c r="AP425">
        <f t="shared" si="179"/>
        <v>0</v>
      </c>
      <c r="AQ425">
        <f t="shared" si="179"/>
        <v>0</v>
      </c>
      <c r="AR425">
        <f t="shared" si="179"/>
        <v>0</v>
      </c>
      <c r="AS425">
        <f t="shared" si="179"/>
        <v>0</v>
      </c>
      <c r="AT425">
        <f t="shared" si="179"/>
        <v>0</v>
      </c>
      <c r="AU425">
        <f t="shared" si="179"/>
        <v>0</v>
      </c>
      <c r="AV425">
        <f t="shared" si="179"/>
        <v>0</v>
      </c>
      <c r="AW425">
        <f t="shared" si="179"/>
        <v>0</v>
      </c>
      <c r="AX425">
        <f t="shared" si="175"/>
        <v>0</v>
      </c>
      <c r="AY425">
        <f t="shared" si="175"/>
        <v>0</v>
      </c>
      <c r="AZ425">
        <f t="shared" si="175"/>
        <v>1</v>
      </c>
      <c r="BA425">
        <f t="shared" si="176"/>
        <v>0</v>
      </c>
      <c r="BB425">
        <f t="shared" si="177"/>
        <v>1</v>
      </c>
    </row>
    <row r="426" spans="1:54">
      <c r="A426">
        <v>423</v>
      </c>
      <c r="B426" t="s">
        <v>20</v>
      </c>
      <c r="C426" t="s">
        <v>29</v>
      </c>
      <c r="D426" t="s">
        <v>31</v>
      </c>
      <c r="E426" t="s">
        <v>30</v>
      </c>
      <c r="F426" t="s">
        <v>21</v>
      </c>
      <c r="G426" t="s">
        <v>23</v>
      </c>
      <c r="H426" s="3">
        <v>0.47052644921188003</v>
      </c>
      <c r="I426" s="3">
        <v>0.44561874660178002</v>
      </c>
      <c r="J426" s="3">
        <v>0.39111951922855698</v>
      </c>
      <c r="K426" s="3">
        <v>0.39773511876168399</v>
      </c>
      <c r="L426" s="3">
        <v>0.299140963267993</v>
      </c>
      <c r="M426" s="3">
        <v>0.22713907980170001</v>
      </c>
      <c r="N426" s="3">
        <v>0.51492537313432796</v>
      </c>
      <c r="O426" s="3">
        <v>0.31271460640102999</v>
      </c>
      <c r="P426">
        <f t="shared" si="162"/>
        <v>0</v>
      </c>
      <c r="Q426">
        <f t="shared" si="163"/>
        <v>0</v>
      </c>
      <c r="R426">
        <f t="shared" si="164"/>
        <v>0</v>
      </c>
      <c r="S426">
        <f t="shared" si="165"/>
        <v>0</v>
      </c>
      <c r="T426">
        <f t="shared" si="166"/>
        <v>0</v>
      </c>
      <c r="U426">
        <f t="shared" si="167"/>
        <v>1</v>
      </c>
      <c r="V426">
        <f t="shared" si="168"/>
        <v>0</v>
      </c>
      <c r="W426">
        <f t="shared" si="169"/>
        <v>0</v>
      </c>
      <c r="X426">
        <f t="shared" si="170"/>
        <v>0</v>
      </c>
      <c r="Y426">
        <f t="shared" si="171"/>
        <v>0</v>
      </c>
      <c r="Z426">
        <f t="shared" si="172"/>
        <v>1</v>
      </c>
      <c r="AA426">
        <f t="shared" si="173"/>
        <v>0</v>
      </c>
      <c r="AB426">
        <f t="shared" si="156"/>
        <v>0</v>
      </c>
      <c r="AC426">
        <f t="shared" si="157"/>
        <v>1</v>
      </c>
      <c r="AD426">
        <f t="shared" si="158"/>
        <v>0</v>
      </c>
      <c r="AE426">
        <f t="shared" si="159"/>
        <v>0</v>
      </c>
      <c r="AF426">
        <f t="shared" si="160"/>
        <v>0</v>
      </c>
      <c r="AG426">
        <f t="shared" si="161"/>
        <v>0</v>
      </c>
      <c r="AH426">
        <f t="shared" si="174"/>
        <v>1</v>
      </c>
      <c r="AI426">
        <f t="shared" ref="AI426:AW442" si="180">IF(OR(AND($D426=AI$1,$G426=AI$2),AND($D426=AI$2,$G426=AI$1)),1,0)</f>
        <v>0</v>
      </c>
      <c r="AJ426">
        <f t="shared" si="180"/>
        <v>0</v>
      </c>
      <c r="AK426">
        <f t="shared" si="180"/>
        <v>0</v>
      </c>
      <c r="AL426">
        <f t="shared" si="180"/>
        <v>0</v>
      </c>
      <c r="AM426">
        <f t="shared" si="180"/>
        <v>0</v>
      </c>
      <c r="AN426">
        <f t="shared" si="180"/>
        <v>0</v>
      </c>
      <c r="AO426">
        <f t="shared" si="180"/>
        <v>0</v>
      </c>
      <c r="AP426">
        <f t="shared" si="180"/>
        <v>0</v>
      </c>
      <c r="AQ426">
        <f t="shared" si="180"/>
        <v>0</v>
      </c>
      <c r="AR426">
        <f t="shared" si="180"/>
        <v>0</v>
      </c>
      <c r="AS426">
        <f t="shared" si="180"/>
        <v>0</v>
      </c>
      <c r="AT426">
        <f t="shared" si="180"/>
        <v>0</v>
      </c>
      <c r="AU426">
        <f t="shared" si="180"/>
        <v>0</v>
      </c>
      <c r="AV426">
        <f t="shared" si="180"/>
        <v>0</v>
      </c>
      <c r="AW426">
        <f t="shared" si="180"/>
        <v>0</v>
      </c>
      <c r="AX426">
        <f t="shared" si="175"/>
        <v>0</v>
      </c>
      <c r="AY426">
        <f t="shared" si="175"/>
        <v>0</v>
      </c>
      <c r="AZ426">
        <f t="shared" si="175"/>
        <v>1</v>
      </c>
      <c r="BA426">
        <f t="shared" si="176"/>
        <v>0</v>
      </c>
      <c r="BB426">
        <f t="shared" si="177"/>
        <v>1</v>
      </c>
    </row>
    <row r="427" spans="1:54">
      <c r="A427">
        <v>424</v>
      </c>
      <c r="B427" t="s">
        <v>20</v>
      </c>
      <c r="C427" t="s">
        <v>29</v>
      </c>
      <c r="D427" t="s">
        <v>31</v>
      </c>
      <c r="E427" t="s">
        <v>30</v>
      </c>
      <c r="F427" t="s">
        <v>21</v>
      </c>
      <c r="G427" t="s">
        <v>24</v>
      </c>
      <c r="H427" s="3">
        <v>4.8451797357342001E-2</v>
      </c>
      <c r="I427" s="3">
        <v>4.6854338258392303E-2</v>
      </c>
      <c r="J427" s="3">
        <v>4.0757303203153503E-2</v>
      </c>
      <c r="K427" s="3">
        <v>4.2449379404654597E-2</v>
      </c>
      <c r="L427" s="3">
        <v>3.17233054220094E-2</v>
      </c>
      <c r="M427" s="3">
        <v>2.47783152109648E-2</v>
      </c>
      <c r="N427" s="3">
        <v>5.3216838760921301E-2</v>
      </c>
      <c r="O427" s="3">
        <v>3.2666793948217497E-2</v>
      </c>
      <c r="P427">
        <f t="shared" si="162"/>
        <v>0</v>
      </c>
      <c r="Q427">
        <f t="shared" si="163"/>
        <v>0</v>
      </c>
      <c r="R427">
        <f t="shared" si="164"/>
        <v>0</v>
      </c>
      <c r="S427">
        <f t="shared" si="165"/>
        <v>0</v>
      </c>
      <c r="T427">
        <f t="shared" si="166"/>
        <v>0</v>
      </c>
      <c r="U427">
        <f t="shared" si="167"/>
        <v>0</v>
      </c>
      <c r="V427">
        <f t="shared" si="168"/>
        <v>1</v>
      </c>
      <c r="W427">
        <f t="shared" si="169"/>
        <v>0</v>
      </c>
      <c r="X427">
        <f t="shared" si="170"/>
        <v>0</v>
      </c>
      <c r="Y427">
        <f t="shared" si="171"/>
        <v>0</v>
      </c>
      <c r="Z427">
        <f t="shared" si="172"/>
        <v>1</v>
      </c>
      <c r="AA427">
        <f t="shared" si="173"/>
        <v>0</v>
      </c>
      <c r="AB427">
        <f t="shared" si="156"/>
        <v>0</v>
      </c>
      <c r="AC427">
        <f t="shared" si="157"/>
        <v>0</v>
      </c>
      <c r="AD427">
        <f t="shared" si="158"/>
        <v>0</v>
      </c>
      <c r="AE427">
        <f t="shared" si="159"/>
        <v>0</v>
      </c>
      <c r="AF427">
        <f t="shared" si="160"/>
        <v>0</v>
      </c>
      <c r="AG427">
        <f t="shared" si="161"/>
        <v>0</v>
      </c>
      <c r="AH427">
        <f t="shared" si="174"/>
        <v>0</v>
      </c>
      <c r="AI427">
        <f t="shared" si="180"/>
        <v>0</v>
      </c>
      <c r="AJ427">
        <f t="shared" si="180"/>
        <v>0</v>
      </c>
      <c r="AK427">
        <f t="shared" si="180"/>
        <v>0</v>
      </c>
      <c r="AL427">
        <f t="shared" si="180"/>
        <v>0</v>
      </c>
      <c r="AM427">
        <f t="shared" si="180"/>
        <v>0</v>
      </c>
      <c r="AN427">
        <f t="shared" si="180"/>
        <v>0</v>
      </c>
      <c r="AO427">
        <f t="shared" si="180"/>
        <v>0</v>
      </c>
      <c r="AP427">
        <f t="shared" si="180"/>
        <v>0</v>
      </c>
      <c r="AQ427">
        <f t="shared" si="180"/>
        <v>0</v>
      </c>
      <c r="AR427">
        <f t="shared" si="180"/>
        <v>0</v>
      </c>
      <c r="AS427">
        <f t="shared" si="180"/>
        <v>0</v>
      </c>
      <c r="AT427">
        <f t="shared" si="180"/>
        <v>0</v>
      </c>
      <c r="AU427">
        <f t="shared" si="180"/>
        <v>0</v>
      </c>
      <c r="AV427">
        <f t="shared" si="180"/>
        <v>0</v>
      </c>
      <c r="AW427">
        <f t="shared" si="180"/>
        <v>0</v>
      </c>
      <c r="AX427">
        <f t="shared" si="175"/>
        <v>0</v>
      </c>
      <c r="AY427">
        <f t="shared" si="175"/>
        <v>0</v>
      </c>
      <c r="AZ427">
        <f t="shared" si="175"/>
        <v>1</v>
      </c>
      <c r="BA427">
        <f t="shared" si="176"/>
        <v>0</v>
      </c>
      <c r="BB427">
        <f t="shared" si="177"/>
        <v>1</v>
      </c>
    </row>
    <row r="428" spans="1:54">
      <c r="A428">
        <v>425</v>
      </c>
      <c r="B428" t="s">
        <v>20</v>
      </c>
      <c r="C428" t="s">
        <v>29</v>
      </c>
      <c r="D428" t="s">
        <v>31</v>
      </c>
      <c r="E428" t="s">
        <v>30</v>
      </c>
      <c r="F428" t="s">
        <v>21</v>
      </c>
      <c r="G428" t="s">
        <v>25</v>
      </c>
      <c r="H428" s="3">
        <v>3.7270631838972001E-2</v>
      </c>
      <c r="I428" s="3">
        <v>3.5974827647882499E-2</v>
      </c>
      <c r="J428" s="3">
        <v>3.1828455057904097E-2</v>
      </c>
      <c r="K428" s="3">
        <v>3.2929662951534301E-2</v>
      </c>
      <c r="L428" s="3">
        <v>2.48102929095858E-2</v>
      </c>
      <c r="M428" s="3">
        <v>1.9913086163596602E-2</v>
      </c>
      <c r="N428" s="3">
        <v>4.0167865707433997E-2</v>
      </c>
      <c r="O428" s="3">
        <v>2.6428647115720599E-2</v>
      </c>
      <c r="P428">
        <f t="shared" si="162"/>
        <v>0</v>
      </c>
      <c r="Q428">
        <f t="shared" si="163"/>
        <v>0</v>
      </c>
      <c r="R428">
        <f t="shared" si="164"/>
        <v>0</v>
      </c>
      <c r="S428">
        <f t="shared" si="165"/>
        <v>0</v>
      </c>
      <c r="T428">
        <f t="shared" si="166"/>
        <v>0</v>
      </c>
      <c r="U428">
        <f t="shared" si="167"/>
        <v>0</v>
      </c>
      <c r="V428">
        <f t="shared" si="168"/>
        <v>0</v>
      </c>
      <c r="W428">
        <f t="shared" si="169"/>
        <v>0</v>
      </c>
      <c r="X428">
        <f t="shared" si="170"/>
        <v>0</v>
      </c>
      <c r="Y428">
        <f t="shared" si="171"/>
        <v>0</v>
      </c>
      <c r="Z428">
        <f t="shared" si="172"/>
        <v>1</v>
      </c>
      <c r="AA428">
        <f t="shared" si="173"/>
        <v>0</v>
      </c>
      <c r="AB428">
        <f t="shared" si="156"/>
        <v>0</v>
      </c>
      <c r="AC428">
        <f t="shared" si="157"/>
        <v>0</v>
      </c>
      <c r="AD428">
        <f t="shared" si="158"/>
        <v>0</v>
      </c>
      <c r="AE428">
        <f t="shared" si="159"/>
        <v>0</v>
      </c>
      <c r="AF428">
        <f t="shared" si="160"/>
        <v>0</v>
      </c>
      <c r="AG428">
        <f t="shared" si="161"/>
        <v>0</v>
      </c>
      <c r="AH428">
        <f t="shared" si="174"/>
        <v>0</v>
      </c>
      <c r="AI428">
        <f t="shared" si="180"/>
        <v>0</v>
      </c>
      <c r="AJ428">
        <f t="shared" si="180"/>
        <v>0</v>
      </c>
      <c r="AK428">
        <f t="shared" si="180"/>
        <v>0</v>
      </c>
      <c r="AL428">
        <f t="shared" si="180"/>
        <v>0</v>
      </c>
      <c r="AM428">
        <f t="shared" si="180"/>
        <v>0</v>
      </c>
      <c r="AN428">
        <f t="shared" si="180"/>
        <v>0</v>
      </c>
      <c r="AO428">
        <f t="shared" si="180"/>
        <v>0</v>
      </c>
      <c r="AP428">
        <f t="shared" si="180"/>
        <v>0</v>
      </c>
      <c r="AQ428">
        <f t="shared" si="180"/>
        <v>0</v>
      </c>
      <c r="AR428">
        <f t="shared" si="180"/>
        <v>0</v>
      </c>
      <c r="AS428">
        <f t="shared" si="180"/>
        <v>0</v>
      </c>
      <c r="AT428">
        <f t="shared" si="180"/>
        <v>0</v>
      </c>
      <c r="AU428">
        <f t="shared" si="180"/>
        <v>0</v>
      </c>
      <c r="AV428">
        <f t="shared" si="180"/>
        <v>0</v>
      </c>
      <c r="AW428">
        <f t="shared" si="180"/>
        <v>0</v>
      </c>
      <c r="AX428">
        <f t="shared" si="175"/>
        <v>0</v>
      </c>
      <c r="AY428">
        <f t="shared" si="175"/>
        <v>0</v>
      </c>
      <c r="AZ428">
        <f t="shared" si="175"/>
        <v>1</v>
      </c>
      <c r="BA428">
        <f t="shared" si="176"/>
        <v>0</v>
      </c>
      <c r="BB428">
        <f t="shared" si="177"/>
        <v>1</v>
      </c>
    </row>
    <row r="429" spans="1:54">
      <c r="A429">
        <v>426</v>
      </c>
      <c r="B429" t="s">
        <v>20</v>
      </c>
      <c r="C429" t="s">
        <v>29</v>
      </c>
      <c r="D429" t="s">
        <v>31</v>
      </c>
      <c r="E429" t="s">
        <v>30</v>
      </c>
      <c r="F429" t="s">
        <v>21</v>
      </c>
      <c r="G429" t="s">
        <v>26</v>
      </c>
      <c r="H429" s="3">
        <v>3.77295269179201E-2</v>
      </c>
      <c r="I429" s="3">
        <v>3.6466646638109702E-2</v>
      </c>
      <c r="J429" s="3">
        <v>3.22887190785099E-2</v>
      </c>
      <c r="K429" s="3">
        <v>3.3411942631310101E-2</v>
      </c>
      <c r="L429" s="3">
        <v>2.51527899843185E-2</v>
      </c>
      <c r="M429" s="3">
        <v>2.0170557971148601E-2</v>
      </c>
      <c r="N429" s="3">
        <v>4.0667678300455201E-2</v>
      </c>
      <c r="O429" s="3">
        <v>2.6839677436205401E-2</v>
      </c>
      <c r="P429">
        <f t="shared" si="162"/>
        <v>0</v>
      </c>
      <c r="Q429">
        <f t="shared" si="163"/>
        <v>0</v>
      </c>
      <c r="R429">
        <f t="shared" si="164"/>
        <v>0</v>
      </c>
      <c r="S429">
        <f t="shared" si="165"/>
        <v>0</v>
      </c>
      <c r="T429">
        <f t="shared" si="166"/>
        <v>0</v>
      </c>
      <c r="U429">
        <f t="shared" si="167"/>
        <v>0</v>
      </c>
      <c r="V429">
        <f t="shared" si="168"/>
        <v>0</v>
      </c>
      <c r="W429">
        <f t="shared" si="169"/>
        <v>0</v>
      </c>
      <c r="X429">
        <f t="shared" si="170"/>
        <v>0</v>
      </c>
      <c r="Y429">
        <f t="shared" si="171"/>
        <v>0</v>
      </c>
      <c r="Z429">
        <f t="shared" si="172"/>
        <v>1</v>
      </c>
      <c r="AA429">
        <f t="shared" si="173"/>
        <v>0</v>
      </c>
      <c r="AB429">
        <f t="shared" si="156"/>
        <v>0</v>
      </c>
      <c r="AC429">
        <f t="shared" si="157"/>
        <v>0</v>
      </c>
      <c r="AD429">
        <f t="shared" si="158"/>
        <v>0</v>
      </c>
      <c r="AE429">
        <f t="shared" si="159"/>
        <v>0</v>
      </c>
      <c r="AF429">
        <f t="shared" si="160"/>
        <v>0</v>
      </c>
      <c r="AG429">
        <f t="shared" si="161"/>
        <v>0</v>
      </c>
      <c r="AH429">
        <f t="shared" si="174"/>
        <v>0</v>
      </c>
      <c r="AI429">
        <f t="shared" si="180"/>
        <v>0</v>
      </c>
      <c r="AJ429">
        <f t="shared" si="180"/>
        <v>0</v>
      </c>
      <c r="AK429">
        <f t="shared" si="180"/>
        <v>0</v>
      </c>
      <c r="AL429">
        <f t="shared" si="180"/>
        <v>0</v>
      </c>
      <c r="AM429">
        <f t="shared" si="180"/>
        <v>0</v>
      </c>
      <c r="AN429">
        <f t="shared" si="180"/>
        <v>0</v>
      </c>
      <c r="AO429">
        <f t="shared" si="180"/>
        <v>0</v>
      </c>
      <c r="AP429">
        <f t="shared" si="180"/>
        <v>0</v>
      </c>
      <c r="AQ429">
        <f t="shared" si="180"/>
        <v>0</v>
      </c>
      <c r="AR429">
        <f t="shared" si="180"/>
        <v>0</v>
      </c>
      <c r="AS429">
        <f t="shared" si="180"/>
        <v>0</v>
      </c>
      <c r="AT429">
        <f t="shared" si="180"/>
        <v>0</v>
      </c>
      <c r="AU429">
        <f t="shared" si="180"/>
        <v>0</v>
      </c>
      <c r="AV429">
        <f t="shared" si="180"/>
        <v>0</v>
      </c>
      <c r="AW429">
        <f t="shared" si="180"/>
        <v>0</v>
      </c>
      <c r="AX429">
        <f t="shared" si="175"/>
        <v>0</v>
      </c>
      <c r="AY429">
        <f t="shared" si="175"/>
        <v>0</v>
      </c>
      <c r="AZ429">
        <f t="shared" si="175"/>
        <v>1</v>
      </c>
      <c r="BA429">
        <f t="shared" si="176"/>
        <v>0</v>
      </c>
      <c r="BB429">
        <f t="shared" si="177"/>
        <v>1</v>
      </c>
    </row>
    <row r="430" spans="1:54">
      <c r="A430">
        <v>427</v>
      </c>
      <c r="B430" t="s">
        <v>20</v>
      </c>
      <c r="C430" t="s">
        <v>29</v>
      </c>
      <c r="D430" t="s">
        <v>31</v>
      </c>
      <c r="E430" t="s">
        <v>30</v>
      </c>
      <c r="F430" t="s">
        <v>21</v>
      </c>
      <c r="G430" t="s">
        <v>27</v>
      </c>
      <c r="H430" s="3">
        <v>0.123478750061433</v>
      </c>
      <c r="I430" s="3">
        <v>0.118610697427072</v>
      </c>
      <c r="J430" s="3">
        <v>0.103446335756206</v>
      </c>
      <c r="K430" s="3">
        <v>0.106648578563882</v>
      </c>
      <c r="L430" s="3">
        <v>8.1866095731778304E-2</v>
      </c>
      <c r="M430" s="3">
        <v>6.4733294233723093E-2</v>
      </c>
      <c r="N430" s="3">
        <v>0.13549039433771401</v>
      </c>
      <c r="O430" s="3">
        <v>8.3494366100818604E-2</v>
      </c>
      <c r="P430">
        <f t="shared" si="162"/>
        <v>0</v>
      </c>
      <c r="Q430">
        <f t="shared" si="163"/>
        <v>0</v>
      </c>
      <c r="R430">
        <f t="shared" si="164"/>
        <v>0</v>
      </c>
      <c r="S430">
        <f t="shared" si="165"/>
        <v>0</v>
      </c>
      <c r="T430">
        <f t="shared" si="166"/>
        <v>0</v>
      </c>
      <c r="U430">
        <f t="shared" si="167"/>
        <v>0</v>
      </c>
      <c r="V430">
        <f t="shared" si="168"/>
        <v>0</v>
      </c>
      <c r="W430">
        <f t="shared" si="169"/>
        <v>1</v>
      </c>
      <c r="X430">
        <f t="shared" si="170"/>
        <v>0</v>
      </c>
      <c r="Y430">
        <f t="shared" si="171"/>
        <v>0</v>
      </c>
      <c r="Z430">
        <f t="shared" si="172"/>
        <v>1</v>
      </c>
      <c r="AA430">
        <f t="shared" si="173"/>
        <v>0</v>
      </c>
      <c r="AB430">
        <f t="shared" si="156"/>
        <v>0</v>
      </c>
      <c r="AC430">
        <f t="shared" si="157"/>
        <v>0</v>
      </c>
      <c r="AD430">
        <f t="shared" si="158"/>
        <v>0</v>
      </c>
      <c r="AE430">
        <f t="shared" si="159"/>
        <v>0</v>
      </c>
      <c r="AF430">
        <f t="shared" si="160"/>
        <v>0</v>
      </c>
      <c r="AG430">
        <f t="shared" si="161"/>
        <v>0</v>
      </c>
      <c r="AH430">
        <f t="shared" si="174"/>
        <v>0</v>
      </c>
      <c r="AI430">
        <f t="shared" si="180"/>
        <v>0</v>
      </c>
      <c r="AJ430">
        <f t="shared" si="180"/>
        <v>0</v>
      </c>
      <c r="AK430">
        <f t="shared" si="180"/>
        <v>0</v>
      </c>
      <c r="AL430">
        <f t="shared" si="180"/>
        <v>0</v>
      </c>
      <c r="AM430">
        <f t="shared" si="180"/>
        <v>0</v>
      </c>
      <c r="AN430">
        <f t="shared" si="180"/>
        <v>0</v>
      </c>
      <c r="AO430">
        <f t="shared" si="180"/>
        <v>0</v>
      </c>
      <c r="AP430">
        <f t="shared" si="180"/>
        <v>0</v>
      </c>
      <c r="AQ430">
        <f t="shared" si="180"/>
        <v>0</v>
      </c>
      <c r="AR430">
        <f t="shared" si="180"/>
        <v>0</v>
      </c>
      <c r="AS430">
        <f t="shared" si="180"/>
        <v>0</v>
      </c>
      <c r="AT430">
        <f t="shared" si="180"/>
        <v>0</v>
      </c>
      <c r="AU430">
        <f t="shared" si="180"/>
        <v>0</v>
      </c>
      <c r="AV430">
        <f t="shared" si="180"/>
        <v>0</v>
      </c>
      <c r="AW430">
        <f t="shared" si="180"/>
        <v>0</v>
      </c>
      <c r="AX430">
        <f t="shared" si="175"/>
        <v>0</v>
      </c>
      <c r="AY430">
        <f t="shared" si="175"/>
        <v>0</v>
      </c>
      <c r="AZ430">
        <f t="shared" si="175"/>
        <v>1</v>
      </c>
      <c r="BA430">
        <f t="shared" si="176"/>
        <v>0</v>
      </c>
      <c r="BB430">
        <f t="shared" si="177"/>
        <v>1</v>
      </c>
    </row>
    <row r="431" spans="1:54">
      <c r="A431">
        <v>428</v>
      </c>
      <c r="B431" t="s">
        <v>20</v>
      </c>
      <c r="C431" t="s">
        <v>29</v>
      </c>
      <c r="D431" t="s">
        <v>31</v>
      </c>
      <c r="E431" t="s">
        <v>30</v>
      </c>
      <c r="F431" t="s">
        <v>28</v>
      </c>
      <c r="G431" t="s">
        <v>22</v>
      </c>
      <c r="H431" s="3">
        <v>0.46324206489667202</v>
      </c>
      <c r="I431" s="3">
        <v>0.45328436976532199</v>
      </c>
      <c r="J431" s="3">
        <v>0.38045802021546199</v>
      </c>
      <c r="K431" s="3">
        <v>0.407061246207164</v>
      </c>
      <c r="L431" s="3">
        <v>0.30956115104505</v>
      </c>
      <c r="M431" s="3">
        <v>0.23767602775951099</v>
      </c>
      <c r="N431" s="3">
        <v>0.52238805970149205</v>
      </c>
      <c r="O431" s="3">
        <v>0.31223473659239698</v>
      </c>
      <c r="P431">
        <f t="shared" si="162"/>
        <v>1</v>
      </c>
      <c r="Q431">
        <f t="shared" si="163"/>
        <v>0</v>
      </c>
      <c r="R431">
        <f t="shared" si="164"/>
        <v>0</v>
      </c>
      <c r="S431">
        <f t="shared" si="165"/>
        <v>0</v>
      </c>
      <c r="T431">
        <f t="shared" si="166"/>
        <v>0</v>
      </c>
      <c r="U431">
        <f t="shared" si="167"/>
        <v>0</v>
      </c>
      <c r="V431">
        <f t="shared" si="168"/>
        <v>0</v>
      </c>
      <c r="W431">
        <f t="shared" si="169"/>
        <v>0</v>
      </c>
      <c r="X431">
        <f t="shared" si="170"/>
        <v>0</v>
      </c>
      <c r="Y431">
        <f t="shared" si="171"/>
        <v>0</v>
      </c>
      <c r="Z431">
        <f t="shared" si="172"/>
        <v>1</v>
      </c>
      <c r="AA431">
        <f t="shared" si="173"/>
        <v>0</v>
      </c>
      <c r="AB431">
        <f t="shared" si="156"/>
        <v>0</v>
      </c>
      <c r="AC431">
        <f t="shared" si="157"/>
        <v>1</v>
      </c>
      <c r="AD431">
        <f t="shared" si="158"/>
        <v>0</v>
      </c>
      <c r="AE431">
        <f t="shared" si="159"/>
        <v>0</v>
      </c>
      <c r="AF431">
        <f t="shared" si="160"/>
        <v>0</v>
      </c>
      <c r="AG431">
        <f t="shared" si="161"/>
        <v>0</v>
      </c>
      <c r="AH431">
        <f t="shared" si="174"/>
        <v>1</v>
      </c>
      <c r="AI431">
        <f t="shared" si="180"/>
        <v>0</v>
      </c>
      <c r="AJ431">
        <f t="shared" si="180"/>
        <v>0</v>
      </c>
      <c r="AK431">
        <f t="shared" si="180"/>
        <v>0</v>
      </c>
      <c r="AL431">
        <f t="shared" si="180"/>
        <v>0</v>
      </c>
      <c r="AM431">
        <f t="shared" si="180"/>
        <v>0</v>
      </c>
      <c r="AN431">
        <f t="shared" si="180"/>
        <v>0</v>
      </c>
      <c r="AO431">
        <f t="shared" si="180"/>
        <v>0</v>
      </c>
      <c r="AP431">
        <f t="shared" si="180"/>
        <v>0</v>
      </c>
      <c r="AQ431">
        <f t="shared" si="180"/>
        <v>0</v>
      </c>
      <c r="AR431">
        <f t="shared" si="180"/>
        <v>0</v>
      </c>
      <c r="AS431">
        <f t="shared" si="180"/>
        <v>0</v>
      </c>
      <c r="AT431">
        <f t="shared" si="180"/>
        <v>0</v>
      </c>
      <c r="AU431">
        <f t="shared" si="180"/>
        <v>0</v>
      </c>
      <c r="AV431">
        <f t="shared" si="180"/>
        <v>0</v>
      </c>
      <c r="AW431">
        <f t="shared" si="180"/>
        <v>0</v>
      </c>
      <c r="AX431">
        <f t="shared" si="175"/>
        <v>0</v>
      </c>
      <c r="AY431">
        <f t="shared" si="175"/>
        <v>1</v>
      </c>
      <c r="AZ431">
        <f t="shared" si="175"/>
        <v>0</v>
      </c>
      <c r="BA431">
        <f t="shared" si="176"/>
        <v>0</v>
      </c>
      <c r="BB431">
        <f t="shared" si="177"/>
        <v>1</v>
      </c>
    </row>
    <row r="432" spans="1:54">
      <c r="A432">
        <v>429</v>
      </c>
      <c r="B432" t="s">
        <v>20</v>
      </c>
      <c r="C432" t="s">
        <v>29</v>
      </c>
      <c r="D432" t="s">
        <v>31</v>
      </c>
      <c r="E432" t="s">
        <v>30</v>
      </c>
      <c r="F432" t="s">
        <v>28</v>
      </c>
      <c r="G432" t="s">
        <v>23</v>
      </c>
      <c r="H432" s="3">
        <v>0.54242019598098201</v>
      </c>
      <c r="I432" s="3">
        <v>0.53668416338458602</v>
      </c>
      <c r="J432" s="3">
        <v>0.44810676646355901</v>
      </c>
      <c r="K432" s="3">
        <v>0.47982438238952302</v>
      </c>
      <c r="L432" s="3">
        <v>0.35968372924779102</v>
      </c>
      <c r="M432" s="3">
        <v>0.27476483612437902</v>
      </c>
      <c r="N432" s="3">
        <v>0.61940298507462599</v>
      </c>
      <c r="O432" s="3">
        <v>0.35757091226160298</v>
      </c>
      <c r="P432">
        <f t="shared" si="162"/>
        <v>0</v>
      </c>
      <c r="Q432">
        <f t="shared" si="163"/>
        <v>1</v>
      </c>
      <c r="R432">
        <f t="shared" si="164"/>
        <v>0</v>
      </c>
      <c r="S432">
        <f t="shared" si="165"/>
        <v>0</v>
      </c>
      <c r="T432">
        <f t="shared" si="166"/>
        <v>0</v>
      </c>
      <c r="U432">
        <f t="shared" si="167"/>
        <v>0</v>
      </c>
      <c r="V432">
        <f t="shared" si="168"/>
        <v>0</v>
      </c>
      <c r="W432">
        <f t="shared" si="169"/>
        <v>0</v>
      </c>
      <c r="X432">
        <f t="shared" si="170"/>
        <v>0</v>
      </c>
      <c r="Y432">
        <f t="shared" si="171"/>
        <v>0</v>
      </c>
      <c r="Z432">
        <f t="shared" si="172"/>
        <v>1</v>
      </c>
      <c r="AA432">
        <f t="shared" si="173"/>
        <v>0</v>
      </c>
      <c r="AB432">
        <f t="shared" si="156"/>
        <v>0</v>
      </c>
      <c r="AC432">
        <f t="shared" si="157"/>
        <v>1</v>
      </c>
      <c r="AD432">
        <f t="shared" si="158"/>
        <v>0</v>
      </c>
      <c r="AE432">
        <f t="shared" si="159"/>
        <v>0</v>
      </c>
      <c r="AF432">
        <f t="shared" si="160"/>
        <v>0</v>
      </c>
      <c r="AG432">
        <f t="shared" si="161"/>
        <v>0</v>
      </c>
      <c r="AH432">
        <f t="shared" si="174"/>
        <v>1</v>
      </c>
      <c r="AI432">
        <f t="shared" si="180"/>
        <v>0</v>
      </c>
      <c r="AJ432">
        <f t="shared" si="180"/>
        <v>0</v>
      </c>
      <c r="AK432">
        <f t="shared" si="180"/>
        <v>0</v>
      </c>
      <c r="AL432">
        <f t="shared" si="180"/>
        <v>0</v>
      </c>
      <c r="AM432">
        <f t="shared" si="180"/>
        <v>0</v>
      </c>
      <c r="AN432">
        <f t="shared" si="180"/>
        <v>0</v>
      </c>
      <c r="AO432">
        <f t="shared" si="180"/>
        <v>0</v>
      </c>
      <c r="AP432">
        <f t="shared" si="180"/>
        <v>0</v>
      </c>
      <c r="AQ432">
        <f t="shared" si="180"/>
        <v>0</v>
      </c>
      <c r="AR432">
        <f t="shared" si="180"/>
        <v>0</v>
      </c>
      <c r="AS432">
        <f t="shared" si="180"/>
        <v>0</v>
      </c>
      <c r="AT432">
        <f t="shared" si="180"/>
        <v>0</v>
      </c>
      <c r="AU432">
        <f t="shared" si="180"/>
        <v>0</v>
      </c>
      <c r="AV432">
        <f t="shared" si="180"/>
        <v>0</v>
      </c>
      <c r="AW432">
        <f t="shared" si="180"/>
        <v>0</v>
      </c>
      <c r="AX432">
        <f t="shared" si="175"/>
        <v>0</v>
      </c>
      <c r="AY432">
        <f t="shared" si="175"/>
        <v>1</v>
      </c>
      <c r="AZ432">
        <f t="shared" si="175"/>
        <v>0</v>
      </c>
      <c r="BA432">
        <f t="shared" si="176"/>
        <v>0</v>
      </c>
      <c r="BB432">
        <f t="shared" si="177"/>
        <v>1</v>
      </c>
    </row>
    <row r="433" spans="1:54">
      <c r="A433">
        <v>430</v>
      </c>
      <c r="B433" t="s">
        <v>20</v>
      </c>
      <c r="C433" t="s">
        <v>29</v>
      </c>
      <c r="D433" t="s">
        <v>31</v>
      </c>
      <c r="E433" t="s">
        <v>30</v>
      </c>
      <c r="F433" t="s">
        <v>28</v>
      </c>
      <c r="G433" t="s">
        <v>24</v>
      </c>
      <c r="H433" s="3">
        <v>4.8361272863705201E-2</v>
      </c>
      <c r="I433" s="3">
        <v>4.6514914754338998E-2</v>
      </c>
      <c r="J433" s="3">
        <v>4.1073911487757103E-2</v>
      </c>
      <c r="K433" s="3">
        <v>4.1893880892342403E-2</v>
      </c>
      <c r="L433" s="3">
        <v>3.1758636347471898E-2</v>
      </c>
      <c r="M433" s="3">
        <v>2.4863516162174699E-2</v>
      </c>
      <c r="N433" s="3">
        <v>5.3301511535401698E-2</v>
      </c>
      <c r="O433" s="3">
        <v>3.3166465647999799E-2</v>
      </c>
      <c r="P433">
        <f t="shared" si="162"/>
        <v>0</v>
      </c>
      <c r="Q433">
        <f t="shared" si="163"/>
        <v>0</v>
      </c>
      <c r="R433">
        <f t="shared" si="164"/>
        <v>1</v>
      </c>
      <c r="S433">
        <f t="shared" si="165"/>
        <v>0</v>
      </c>
      <c r="T433">
        <f t="shared" si="166"/>
        <v>0</v>
      </c>
      <c r="U433">
        <f t="shared" si="167"/>
        <v>0</v>
      </c>
      <c r="V433">
        <f t="shared" si="168"/>
        <v>0</v>
      </c>
      <c r="W433">
        <f t="shared" si="169"/>
        <v>0</v>
      </c>
      <c r="X433">
        <f t="shared" si="170"/>
        <v>0</v>
      </c>
      <c r="Y433">
        <f t="shared" si="171"/>
        <v>0</v>
      </c>
      <c r="Z433">
        <f t="shared" si="172"/>
        <v>1</v>
      </c>
      <c r="AA433">
        <f t="shared" si="173"/>
        <v>0</v>
      </c>
      <c r="AB433">
        <f t="shared" si="156"/>
        <v>0</v>
      </c>
      <c r="AC433">
        <f t="shared" si="157"/>
        <v>0</v>
      </c>
      <c r="AD433">
        <f t="shared" si="158"/>
        <v>0</v>
      </c>
      <c r="AE433">
        <f t="shared" si="159"/>
        <v>0</v>
      </c>
      <c r="AF433">
        <f t="shared" si="160"/>
        <v>0</v>
      </c>
      <c r="AG433">
        <f t="shared" si="161"/>
        <v>0</v>
      </c>
      <c r="AH433">
        <f t="shared" si="174"/>
        <v>0</v>
      </c>
      <c r="AI433">
        <f t="shared" si="180"/>
        <v>0</v>
      </c>
      <c r="AJ433">
        <f t="shared" si="180"/>
        <v>0</v>
      </c>
      <c r="AK433">
        <f t="shared" si="180"/>
        <v>0</v>
      </c>
      <c r="AL433">
        <f t="shared" si="180"/>
        <v>0</v>
      </c>
      <c r="AM433">
        <f t="shared" si="180"/>
        <v>0</v>
      </c>
      <c r="AN433">
        <f t="shared" si="180"/>
        <v>0</v>
      </c>
      <c r="AO433">
        <f t="shared" si="180"/>
        <v>0</v>
      </c>
      <c r="AP433">
        <f t="shared" si="180"/>
        <v>0</v>
      </c>
      <c r="AQ433">
        <f t="shared" si="180"/>
        <v>0</v>
      </c>
      <c r="AR433">
        <f t="shared" si="180"/>
        <v>0</v>
      </c>
      <c r="AS433">
        <f t="shared" si="180"/>
        <v>0</v>
      </c>
      <c r="AT433">
        <f t="shared" si="180"/>
        <v>0</v>
      </c>
      <c r="AU433">
        <f t="shared" si="180"/>
        <v>0</v>
      </c>
      <c r="AV433">
        <f t="shared" si="180"/>
        <v>0</v>
      </c>
      <c r="AW433">
        <f t="shared" si="180"/>
        <v>0</v>
      </c>
      <c r="AX433">
        <f t="shared" si="175"/>
        <v>0</v>
      </c>
      <c r="AY433">
        <f t="shared" si="175"/>
        <v>1</v>
      </c>
      <c r="AZ433">
        <f t="shared" si="175"/>
        <v>0</v>
      </c>
      <c r="BA433">
        <f t="shared" si="176"/>
        <v>0</v>
      </c>
      <c r="BB433">
        <f t="shared" si="177"/>
        <v>1</v>
      </c>
    </row>
    <row r="434" spans="1:54">
      <c r="A434">
        <v>431</v>
      </c>
      <c r="B434" t="s">
        <v>20</v>
      </c>
      <c r="C434" t="s">
        <v>29</v>
      </c>
      <c r="D434" t="s">
        <v>31</v>
      </c>
      <c r="E434" t="s">
        <v>30</v>
      </c>
      <c r="F434" t="s">
        <v>28</v>
      </c>
      <c r="G434" t="s">
        <v>25</v>
      </c>
      <c r="H434" s="3">
        <v>3.6908331431569498E-2</v>
      </c>
      <c r="I434" s="3">
        <v>3.5482448948614798E-2</v>
      </c>
      <c r="J434" s="3">
        <v>3.1503381535979098E-2</v>
      </c>
      <c r="K434" s="3">
        <v>3.2462099862293502E-2</v>
      </c>
      <c r="L434" s="3">
        <v>2.4703664694186101E-2</v>
      </c>
      <c r="M434" s="3">
        <v>1.9883454116265901E-2</v>
      </c>
      <c r="N434" s="3">
        <v>3.9621525724423401E-2</v>
      </c>
      <c r="O434" s="3">
        <v>2.6259432673170598E-2</v>
      </c>
      <c r="P434">
        <f t="shared" si="162"/>
        <v>0</v>
      </c>
      <c r="Q434">
        <f t="shared" si="163"/>
        <v>0</v>
      </c>
      <c r="R434">
        <f t="shared" si="164"/>
        <v>0</v>
      </c>
      <c r="S434">
        <f t="shared" si="165"/>
        <v>0</v>
      </c>
      <c r="T434">
        <f t="shared" si="166"/>
        <v>0</v>
      </c>
      <c r="U434">
        <f t="shared" si="167"/>
        <v>0</v>
      </c>
      <c r="V434">
        <f t="shared" si="168"/>
        <v>0</v>
      </c>
      <c r="W434">
        <f t="shared" si="169"/>
        <v>0</v>
      </c>
      <c r="X434">
        <f t="shared" si="170"/>
        <v>0</v>
      </c>
      <c r="Y434">
        <f t="shared" si="171"/>
        <v>0</v>
      </c>
      <c r="Z434">
        <f t="shared" si="172"/>
        <v>1</v>
      </c>
      <c r="AA434">
        <f t="shared" si="173"/>
        <v>0</v>
      </c>
      <c r="AB434">
        <f t="shared" si="156"/>
        <v>0</v>
      </c>
      <c r="AC434">
        <f t="shared" si="157"/>
        <v>0</v>
      </c>
      <c r="AD434">
        <f t="shared" si="158"/>
        <v>0</v>
      </c>
      <c r="AE434">
        <f t="shared" si="159"/>
        <v>0</v>
      </c>
      <c r="AF434">
        <f t="shared" si="160"/>
        <v>0</v>
      </c>
      <c r="AG434">
        <f t="shared" si="161"/>
        <v>0</v>
      </c>
      <c r="AH434">
        <f t="shared" si="174"/>
        <v>0</v>
      </c>
      <c r="AI434">
        <f t="shared" si="180"/>
        <v>0</v>
      </c>
      <c r="AJ434">
        <f t="shared" si="180"/>
        <v>0</v>
      </c>
      <c r="AK434">
        <f t="shared" si="180"/>
        <v>0</v>
      </c>
      <c r="AL434">
        <f t="shared" si="180"/>
        <v>0</v>
      </c>
      <c r="AM434">
        <f t="shared" si="180"/>
        <v>0</v>
      </c>
      <c r="AN434">
        <f t="shared" si="180"/>
        <v>0</v>
      </c>
      <c r="AO434">
        <f t="shared" si="180"/>
        <v>0</v>
      </c>
      <c r="AP434">
        <f t="shared" si="180"/>
        <v>0</v>
      </c>
      <c r="AQ434">
        <f t="shared" si="180"/>
        <v>0</v>
      </c>
      <c r="AR434">
        <f t="shared" si="180"/>
        <v>0</v>
      </c>
      <c r="AS434">
        <f t="shared" si="180"/>
        <v>0</v>
      </c>
      <c r="AT434">
        <f t="shared" si="180"/>
        <v>0</v>
      </c>
      <c r="AU434">
        <f t="shared" si="180"/>
        <v>0</v>
      </c>
      <c r="AV434">
        <f t="shared" si="180"/>
        <v>0</v>
      </c>
      <c r="AW434">
        <f t="shared" si="180"/>
        <v>0</v>
      </c>
      <c r="AX434">
        <f t="shared" si="175"/>
        <v>0</v>
      </c>
      <c r="AY434">
        <f t="shared" si="175"/>
        <v>1</v>
      </c>
      <c r="AZ434">
        <f t="shared" si="175"/>
        <v>0</v>
      </c>
      <c r="BA434">
        <f t="shared" si="176"/>
        <v>0</v>
      </c>
      <c r="BB434">
        <f t="shared" si="177"/>
        <v>1</v>
      </c>
    </row>
    <row r="435" spans="1:54">
      <c r="A435">
        <v>432</v>
      </c>
      <c r="B435" t="s">
        <v>20</v>
      </c>
      <c r="C435" t="s">
        <v>29</v>
      </c>
      <c r="D435" t="s">
        <v>31</v>
      </c>
      <c r="E435" t="s">
        <v>30</v>
      </c>
      <c r="F435" t="s">
        <v>28</v>
      </c>
      <c r="G435" t="s">
        <v>26</v>
      </c>
      <c r="H435" s="3">
        <v>3.7473659639406597E-2</v>
      </c>
      <c r="I435" s="3">
        <v>3.6097042484895203E-2</v>
      </c>
      <c r="J435" s="3">
        <v>3.2066011868521198E-2</v>
      </c>
      <c r="K435" s="3">
        <v>3.3079108986074003E-2</v>
      </c>
      <c r="L435" s="3">
        <v>2.5137508033884901E-2</v>
      </c>
      <c r="M435" s="3">
        <v>2.0220135178567099E-2</v>
      </c>
      <c r="N435" s="3">
        <v>4.0228159711798203E-2</v>
      </c>
      <c r="O435" s="3">
        <v>2.6737251348486101E-2</v>
      </c>
      <c r="P435">
        <f t="shared" si="162"/>
        <v>0</v>
      </c>
      <c r="Q435">
        <f t="shared" si="163"/>
        <v>0</v>
      </c>
      <c r="R435">
        <f t="shared" si="164"/>
        <v>0</v>
      </c>
      <c r="S435">
        <f t="shared" si="165"/>
        <v>0</v>
      </c>
      <c r="T435">
        <f t="shared" si="166"/>
        <v>0</v>
      </c>
      <c r="U435">
        <f t="shared" si="167"/>
        <v>0</v>
      </c>
      <c r="V435">
        <f t="shared" si="168"/>
        <v>0</v>
      </c>
      <c r="W435">
        <f t="shared" si="169"/>
        <v>0</v>
      </c>
      <c r="X435">
        <f t="shared" si="170"/>
        <v>0</v>
      </c>
      <c r="Y435">
        <f t="shared" si="171"/>
        <v>0</v>
      </c>
      <c r="Z435">
        <f t="shared" si="172"/>
        <v>1</v>
      </c>
      <c r="AA435">
        <f t="shared" si="173"/>
        <v>0</v>
      </c>
      <c r="AB435">
        <f t="shared" si="156"/>
        <v>0</v>
      </c>
      <c r="AC435">
        <f t="shared" si="157"/>
        <v>0</v>
      </c>
      <c r="AD435">
        <f t="shared" si="158"/>
        <v>0</v>
      </c>
      <c r="AE435">
        <f t="shared" si="159"/>
        <v>0</v>
      </c>
      <c r="AF435">
        <f t="shared" si="160"/>
        <v>0</v>
      </c>
      <c r="AG435">
        <f t="shared" si="161"/>
        <v>0</v>
      </c>
      <c r="AH435">
        <f t="shared" si="174"/>
        <v>0</v>
      </c>
      <c r="AI435">
        <f t="shared" si="180"/>
        <v>0</v>
      </c>
      <c r="AJ435">
        <f t="shared" si="180"/>
        <v>0</v>
      </c>
      <c r="AK435">
        <f t="shared" si="180"/>
        <v>0</v>
      </c>
      <c r="AL435">
        <f t="shared" si="180"/>
        <v>0</v>
      </c>
      <c r="AM435">
        <f t="shared" si="180"/>
        <v>0</v>
      </c>
      <c r="AN435">
        <f t="shared" si="180"/>
        <v>0</v>
      </c>
      <c r="AO435">
        <f t="shared" si="180"/>
        <v>0</v>
      </c>
      <c r="AP435">
        <f t="shared" si="180"/>
        <v>0</v>
      </c>
      <c r="AQ435">
        <f t="shared" si="180"/>
        <v>0</v>
      </c>
      <c r="AR435">
        <f t="shared" si="180"/>
        <v>0</v>
      </c>
      <c r="AS435">
        <f t="shared" si="180"/>
        <v>0</v>
      </c>
      <c r="AT435">
        <f t="shared" si="180"/>
        <v>0</v>
      </c>
      <c r="AU435">
        <f t="shared" si="180"/>
        <v>0</v>
      </c>
      <c r="AV435">
        <f t="shared" si="180"/>
        <v>0</v>
      </c>
      <c r="AW435">
        <f t="shared" si="180"/>
        <v>0</v>
      </c>
      <c r="AX435">
        <f t="shared" si="175"/>
        <v>0</v>
      </c>
      <c r="AY435">
        <f t="shared" si="175"/>
        <v>1</v>
      </c>
      <c r="AZ435">
        <f t="shared" si="175"/>
        <v>0</v>
      </c>
      <c r="BA435">
        <f t="shared" si="176"/>
        <v>0</v>
      </c>
      <c r="BB435">
        <f t="shared" si="177"/>
        <v>1</v>
      </c>
    </row>
    <row r="436" spans="1:54">
      <c r="A436">
        <v>433</v>
      </c>
      <c r="B436" t="s">
        <v>20</v>
      </c>
      <c r="C436" t="s">
        <v>29</v>
      </c>
      <c r="D436" t="s">
        <v>31</v>
      </c>
      <c r="E436" t="s">
        <v>30</v>
      </c>
      <c r="F436" t="s">
        <v>28</v>
      </c>
      <c r="G436" t="s">
        <v>27</v>
      </c>
      <c r="H436" s="3">
        <v>0.100113469550327</v>
      </c>
      <c r="I436" s="3">
        <v>9.6361372260151096E-2</v>
      </c>
      <c r="J436" s="3">
        <v>8.3655851549187393E-2</v>
      </c>
      <c r="K436" s="3">
        <v>8.6441786450983105E-2</v>
      </c>
      <c r="L436" s="3">
        <v>6.6115137165297599E-2</v>
      </c>
      <c r="M436" s="3">
        <v>5.2472287036016703E-2</v>
      </c>
      <c r="N436" s="3">
        <v>0.110469909315746</v>
      </c>
      <c r="O436" s="3">
        <v>6.7564383660881494E-2</v>
      </c>
      <c r="P436">
        <f t="shared" si="162"/>
        <v>0</v>
      </c>
      <c r="Q436">
        <f t="shared" si="163"/>
        <v>0</v>
      </c>
      <c r="R436">
        <f t="shared" si="164"/>
        <v>0</v>
      </c>
      <c r="S436">
        <f t="shared" si="165"/>
        <v>1</v>
      </c>
      <c r="T436">
        <f t="shared" si="166"/>
        <v>0</v>
      </c>
      <c r="U436">
        <f t="shared" si="167"/>
        <v>0</v>
      </c>
      <c r="V436">
        <f t="shared" si="168"/>
        <v>0</v>
      </c>
      <c r="W436">
        <f t="shared" si="169"/>
        <v>0</v>
      </c>
      <c r="X436">
        <f t="shared" si="170"/>
        <v>0</v>
      </c>
      <c r="Y436">
        <f t="shared" si="171"/>
        <v>0</v>
      </c>
      <c r="Z436">
        <f t="shared" si="172"/>
        <v>1</v>
      </c>
      <c r="AA436">
        <f t="shared" si="173"/>
        <v>0</v>
      </c>
      <c r="AB436">
        <f t="shared" si="156"/>
        <v>0</v>
      </c>
      <c r="AC436">
        <f t="shared" si="157"/>
        <v>0</v>
      </c>
      <c r="AD436">
        <f t="shared" si="158"/>
        <v>0</v>
      </c>
      <c r="AE436">
        <f t="shared" si="159"/>
        <v>0</v>
      </c>
      <c r="AF436">
        <f t="shared" si="160"/>
        <v>0</v>
      </c>
      <c r="AG436">
        <f t="shared" si="161"/>
        <v>0</v>
      </c>
      <c r="AH436">
        <f t="shared" si="174"/>
        <v>0</v>
      </c>
      <c r="AI436">
        <f t="shared" si="180"/>
        <v>0</v>
      </c>
      <c r="AJ436">
        <f t="shared" si="180"/>
        <v>0</v>
      </c>
      <c r="AK436">
        <f t="shared" si="180"/>
        <v>0</v>
      </c>
      <c r="AL436">
        <f t="shared" si="180"/>
        <v>0</v>
      </c>
      <c r="AM436">
        <f t="shared" si="180"/>
        <v>0</v>
      </c>
      <c r="AN436">
        <f t="shared" si="180"/>
        <v>0</v>
      </c>
      <c r="AO436">
        <f t="shared" si="180"/>
        <v>0</v>
      </c>
      <c r="AP436">
        <f t="shared" si="180"/>
        <v>0</v>
      </c>
      <c r="AQ436">
        <f t="shared" si="180"/>
        <v>0</v>
      </c>
      <c r="AR436">
        <f t="shared" si="180"/>
        <v>0</v>
      </c>
      <c r="AS436">
        <f t="shared" si="180"/>
        <v>0</v>
      </c>
      <c r="AT436">
        <f t="shared" si="180"/>
        <v>0</v>
      </c>
      <c r="AU436">
        <f t="shared" si="180"/>
        <v>0</v>
      </c>
      <c r="AV436">
        <f t="shared" si="180"/>
        <v>0</v>
      </c>
      <c r="AW436">
        <f t="shared" si="180"/>
        <v>0</v>
      </c>
      <c r="AX436">
        <f t="shared" si="175"/>
        <v>0</v>
      </c>
      <c r="AY436">
        <f t="shared" si="175"/>
        <v>1</v>
      </c>
      <c r="AZ436">
        <f t="shared" si="175"/>
        <v>0</v>
      </c>
      <c r="BA436">
        <f t="shared" si="176"/>
        <v>0</v>
      </c>
      <c r="BB436">
        <f t="shared" si="177"/>
        <v>1</v>
      </c>
    </row>
    <row r="437" spans="1:54">
      <c r="A437">
        <v>434</v>
      </c>
      <c r="B437" t="s">
        <v>20</v>
      </c>
      <c r="C437" t="s">
        <v>29</v>
      </c>
      <c r="D437" t="s">
        <v>31</v>
      </c>
      <c r="E437" t="s">
        <v>30</v>
      </c>
      <c r="F437" t="s">
        <v>29</v>
      </c>
      <c r="G437" t="s">
        <v>22</v>
      </c>
      <c r="H437" s="3">
        <v>4.8838243973091E-2</v>
      </c>
      <c r="I437" s="3">
        <v>4.7718486733834803E-2</v>
      </c>
      <c r="J437" s="3">
        <v>4.2832747673405197E-2</v>
      </c>
      <c r="K437" s="3">
        <v>4.48095549817841E-2</v>
      </c>
      <c r="L437" s="3">
        <v>3.5273399032056799E-2</v>
      </c>
      <c r="M437" s="3">
        <v>2.9268823054373599E-2</v>
      </c>
      <c r="N437" s="3">
        <v>5.1597997689641802E-2</v>
      </c>
      <c r="O437" s="3">
        <v>3.7099660565463898E-2</v>
      </c>
      <c r="P437">
        <f t="shared" si="162"/>
        <v>0</v>
      </c>
      <c r="Q437">
        <f t="shared" si="163"/>
        <v>0</v>
      </c>
      <c r="R437">
        <f t="shared" si="164"/>
        <v>0</v>
      </c>
      <c r="S437">
        <f t="shared" si="165"/>
        <v>0</v>
      </c>
      <c r="T437">
        <f t="shared" si="166"/>
        <v>0</v>
      </c>
      <c r="U437">
        <f t="shared" si="167"/>
        <v>0</v>
      </c>
      <c r="V437">
        <f t="shared" si="168"/>
        <v>0</v>
      </c>
      <c r="W437">
        <f t="shared" si="169"/>
        <v>0</v>
      </c>
      <c r="X437">
        <f t="shared" si="170"/>
        <v>1</v>
      </c>
      <c r="Y437">
        <f t="shared" si="171"/>
        <v>0</v>
      </c>
      <c r="Z437">
        <f t="shared" si="172"/>
        <v>1</v>
      </c>
      <c r="AA437">
        <f t="shared" si="173"/>
        <v>0</v>
      </c>
      <c r="AB437">
        <f t="shared" si="156"/>
        <v>0</v>
      </c>
      <c r="AC437">
        <f t="shared" si="157"/>
        <v>1</v>
      </c>
      <c r="AD437">
        <f t="shared" si="158"/>
        <v>0</v>
      </c>
      <c r="AE437">
        <f t="shared" si="159"/>
        <v>0</v>
      </c>
      <c r="AF437">
        <f t="shared" si="160"/>
        <v>1</v>
      </c>
      <c r="AG437">
        <f t="shared" si="161"/>
        <v>0</v>
      </c>
      <c r="AH437">
        <f t="shared" si="174"/>
        <v>1</v>
      </c>
      <c r="AI437">
        <f t="shared" si="180"/>
        <v>0</v>
      </c>
      <c r="AJ437">
        <f t="shared" si="180"/>
        <v>0</v>
      </c>
      <c r="AK437">
        <f t="shared" si="180"/>
        <v>0</v>
      </c>
      <c r="AL437">
        <f t="shared" si="180"/>
        <v>0</v>
      </c>
      <c r="AM437">
        <f t="shared" si="180"/>
        <v>0</v>
      </c>
      <c r="AN437">
        <f t="shared" si="180"/>
        <v>0</v>
      </c>
      <c r="AO437">
        <f t="shared" si="180"/>
        <v>0</v>
      </c>
      <c r="AP437">
        <f t="shared" si="180"/>
        <v>0</v>
      </c>
      <c r="AQ437">
        <f t="shared" si="180"/>
        <v>0</v>
      </c>
      <c r="AR437">
        <f t="shared" si="180"/>
        <v>0</v>
      </c>
      <c r="AS437">
        <f t="shared" si="180"/>
        <v>0</v>
      </c>
      <c r="AT437">
        <f t="shared" si="180"/>
        <v>0</v>
      </c>
      <c r="AU437">
        <f t="shared" si="180"/>
        <v>0</v>
      </c>
      <c r="AV437">
        <f t="shared" si="180"/>
        <v>0</v>
      </c>
      <c r="AW437">
        <f t="shared" si="180"/>
        <v>0</v>
      </c>
      <c r="AX437">
        <f t="shared" si="175"/>
        <v>0</v>
      </c>
      <c r="AY437">
        <f t="shared" si="175"/>
        <v>0</v>
      </c>
      <c r="AZ437">
        <f t="shared" si="175"/>
        <v>0</v>
      </c>
      <c r="BA437">
        <f t="shared" si="176"/>
        <v>0</v>
      </c>
      <c r="BB437">
        <f t="shared" si="177"/>
        <v>1</v>
      </c>
    </row>
    <row r="438" spans="1:54">
      <c r="A438">
        <v>435</v>
      </c>
      <c r="B438" t="s">
        <v>20</v>
      </c>
      <c r="C438" t="s">
        <v>29</v>
      </c>
      <c r="D438" t="s">
        <v>31</v>
      </c>
      <c r="E438" t="s">
        <v>30</v>
      </c>
      <c r="F438" t="s">
        <v>29</v>
      </c>
      <c r="G438" t="s">
        <v>23</v>
      </c>
      <c r="H438" s="3">
        <v>0.70090673206884602</v>
      </c>
      <c r="I438" s="3">
        <v>0.68071497631524103</v>
      </c>
      <c r="J438" s="3">
        <v>0.57877724915270601</v>
      </c>
      <c r="K438" s="3">
        <v>0.60084844432398099</v>
      </c>
      <c r="L438" s="3">
        <v>0.45342494997566302</v>
      </c>
      <c r="M438" s="3">
        <v>0.34340369804764098</v>
      </c>
      <c r="N438" s="3">
        <v>0.79850746268656703</v>
      </c>
      <c r="O438" s="3">
        <v>0.46054296835591702</v>
      </c>
      <c r="P438">
        <f t="shared" si="162"/>
        <v>0</v>
      </c>
      <c r="Q438">
        <f t="shared" si="163"/>
        <v>0</v>
      </c>
      <c r="R438">
        <f t="shared" si="164"/>
        <v>0</v>
      </c>
      <c r="S438">
        <f t="shared" si="165"/>
        <v>0</v>
      </c>
      <c r="T438">
        <f t="shared" si="166"/>
        <v>0</v>
      </c>
      <c r="U438">
        <f t="shared" si="167"/>
        <v>0</v>
      </c>
      <c r="V438">
        <f t="shared" si="168"/>
        <v>0</v>
      </c>
      <c r="W438">
        <f t="shared" si="169"/>
        <v>0</v>
      </c>
      <c r="X438">
        <f t="shared" si="170"/>
        <v>0</v>
      </c>
      <c r="Y438">
        <f t="shared" si="171"/>
        <v>1</v>
      </c>
      <c r="Z438">
        <f t="shared" si="172"/>
        <v>1</v>
      </c>
      <c r="AA438">
        <f t="shared" si="173"/>
        <v>0</v>
      </c>
      <c r="AB438">
        <f t="shared" si="156"/>
        <v>0</v>
      </c>
      <c r="AC438">
        <f t="shared" si="157"/>
        <v>1</v>
      </c>
      <c r="AD438">
        <f t="shared" si="158"/>
        <v>0</v>
      </c>
      <c r="AE438">
        <f t="shared" si="159"/>
        <v>0</v>
      </c>
      <c r="AF438">
        <f t="shared" si="160"/>
        <v>1</v>
      </c>
      <c r="AG438">
        <f t="shared" si="161"/>
        <v>0</v>
      </c>
      <c r="AH438">
        <f t="shared" si="174"/>
        <v>1</v>
      </c>
      <c r="AI438">
        <f t="shared" si="180"/>
        <v>0</v>
      </c>
      <c r="AJ438">
        <f t="shared" si="180"/>
        <v>0</v>
      </c>
      <c r="AK438">
        <f t="shared" si="180"/>
        <v>0</v>
      </c>
      <c r="AL438">
        <f t="shared" si="180"/>
        <v>0</v>
      </c>
      <c r="AM438">
        <f t="shared" si="180"/>
        <v>0</v>
      </c>
      <c r="AN438">
        <f t="shared" si="180"/>
        <v>0</v>
      </c>
      <c r="AO438">
        <f t="shared" si="180"/>
        <v>0</v>
      </c>
      <c r="AP438">
        <f t="shared" si="180"/>
        <v>0</v>
      </c>
      <c r="AQ438">
        <f t="shared" si="180"/>
        <v>0</v>
      </c>
      <c r="AR438">
        <f t="shared" si="180"/>
        <v>0</v>
      </c>
      <c r="AS438">
        <f t="shared" si="180"/>
        <v>0</v>
      </c>
      <c r="AT438">
        <f t="shared" si="180"/>
        <v>0</v>
      </c>
      <c r="AU438">
        <f t="shared" si="180"/>
        <v>0</v>
      </c>
      <c r="AV438">
        <f t="shared" si="180"/>
        <v>0</v>
      </c>
      <c r="AW438">
        <f t="shared" si="180"/>
        <v>0</v>
      </c>
      <c r="AX438">
        <f t="shared" si="175"/>
        <v>0</v>
      </c>
      <c r="AY438">
        <f t="shared" si="175"/>
        <v>0</v>
      </c>
      <c r="AZ438">
        <f t="shared" si="175"/>
        <v>0</v>
      </c>
      <c r="BA438">
        <f t="shared" si="176"/>
        <v>0</v>
      </c>
      <c r="BB438">
        <f t="shared" si="177"/>
        <v>1</v>
      </c>
    </row>
    <row r="439" spans="1:54">
      <c r="A439">
        <v>436</v>
      </c>
      <c r="B439" t="s">
        <v>20</v>
      </c>
      <c r="C439" t="s">
        <v>29</v>
      </c>
      <c r="D439" t="s">
        <v>31</v>
      </c>
      <c r="E439" t="s">
        <v>30</v>
      </c>
      <c r="F439" t="s">
        <v>29</v>
      </c>
      <c r="G439" t="s">
        <v>24</v>
      </c>
      <c r="H439" s="3">
        <v>6.9833975749143101E-2</v>
      </c>
      <c r="I439" s="3">
        <v>6.6802729643164999E-2</v>
      </c>
      <c r="J439" s="3">
        <v>5.8925072875859102E-2</v>
      </c>
      <c r="K439" s="3">
        <v>5.99323585397828E-2</v>
      </c>
      <c r="L439" s="3">
        <v>4.5543756720813199E-2</v>
      </c>
      <c r="M439" s="3">
        <v>3.5377589119618802E-2</v>
      </c>
      <c r="N439" s="3">
        <v>7.70557791834387E-2</v>
      </c>
      <c r="O439" s="3">
        <v>4.7447198282844702E-2</v>
      </c>
      <c r="P439">
        <f t="shared" si="162"/>
        <v>0</v>
      </c>
      <c r="Q439">
        <f t="shared" si="163"/>
        <v>0</v>
      </c>
      <c r="R439">
        <f t="shared" si="164"/>
        <v>0</v>
      </c>
      <c r="S439">
        <f t="shared" si="165"/>
        <v>0</v>
      </c>
      <c r="T439">
        <f t="shared" si="166"/>
        <v>0</v>
      </c>
      <c r="U439">
        <f t="shared" si="167"/>
        <v>0</v>
      </c>
      <c r="V439">
        <f t="shared" si="168"/>
        <v>0</v>
      </c>
      <c r="W439">
        <f t="shared" si="169"/>
        <v>0</v>
      </c>
      <c r="X439">
        <f t="shared" si="170"/>
        <v>0</v>
      </c>
      <c r="Y439">
        <f t="shared" si="171"/>
        <v>0</v>
      </c>
      <c r="Z439">
        <f t="shared" si="172"/>
        <v>1</v>
      </c>
      <c r="AA439">
        <f t="shared" si="173"/>
        <v>1</v>
      </c>
      <c r="AB439">
        <f t="shared" si="156"/>
        <v>0</v>
      </c>
      <c r="AC439">
        <f t="shared" si="157"/>
        <v>0</v>
      </c>
      <c r="AD439">
        <f t="shared" si="158"/>
        <v>0</v>
      </c>
      <c r="AE439">
        <f t="shared" si="159"/>
        <v>0</v>
      </c>
      <c r="AF439">
        <f t="shared" si="160"/>
        <v>1</v>
      </c>
      <c r="AG439">
        <f t="shared" si="161"/>
        <v>0</v>
      </c>
      <c r="AH439">
        <f t="shared" si="174"/>
        <v>0</v>
      </c>
      <c r="AI439">
        <f t="shared" si="180"/>
        <v>0</v>
      </c>
      <c r="AJ439">
        <f t="shared" si="180"/>
        <v>0</v>
      </c>
      <c r="AK439">
        <f t="shared" si="180"/>
        <v>0</v>
      </c>
      <c r="AL439">
        <f t="shared" si="180"/>
        <v>0</v>
      </c>
      <c r="AM439">
        <f t="shared" si="180"/>
        <v>0</v>
      </c>
      <c r="AN439">
        <f t="shared" si="180"/>
        <v>0</v>
      </c>
      <c r="AO439">
        <f t="shared" si="180"/>
        <v>0</v>
      </c>
      <c r="AP439">
        <f t="shared" si="180"/>
        <v>0</v>
      </c>
      <c r="AQ439">
        <f t="shared" si="180"/>
        <v>0</v>
      </c>
      <c r="AR439">
        <f t="shared" si="180"/>
        <v>0</v>
      </c>
      <c r="AS439">
        <f t="shared" si="180"/>
        <v>0</v>
      </c>
      <c r="AT439">
        <f t="shared" si="180"/>
        <v>0</v>
      </c>
      <c r="AU439">
        <f t="shared" si="180"/>
        <v>0</v>
      </c>
      <c r="AV439">
        <f t="shared" si="180"/>
        <v>0</v>
      </c>
      <c r="AW439">
        <f t="shared" si="180"/>
        <v>0</v>
      </c>
      <c r="AX439">
        <f t="shared" si="175"/>
        <v>0</v>
      </c>
      <c r="AY439">
        <f t="shared" si="175"/>
        <v>0</v>
      </c>
      <c r="AZ439">
        <f t="shared" si="175"/>
        <v>0</v>
      </c>
      <c r="BA439">
        <f t="shared" si="176"/>
        <v>0</v>
      </c>
      <c r="BB439">
        <f t="shared" si="177"/>
        <v>1</v>
      </c>
    </row>
    <row r="440" spans="1:54">
      <c r="A440">
        <v>437</v>
      </c>
      <c r="B440" t="s">
        <v>20</v>
      </c>
      <c r="C440" t="s">
        <v>29</v>
      </c>
      <c r="D440" t="s">
        <v>31</v>
      </c>
      <c r="E440" t="s">
        <v>30</v>
      </c>
      <c r="F440" t="s">
        <v>29</v>
      </c>
      <c r="G440" t="s">
        <v>31</v>
      </c>
      <c r="H440" s="3">
        <v>0.866937868105639</v>
      </c>
      <c r="I440" s="3">
        <v>0.849792808539369</v>
      </c>
      <c r="J440" s="3">
        <v>0.73956148392908805</v>
      </c>
      <c r="K440" s="3">
        <v>0.77878348067911196</v>
      </c>
      <c r="L440" s="3">
        <v>0.68255658687654397</v>
      </c>
      <c r="M440" s="3">
        <v>0.56419045681941404</v>
      </c>
      <c r="N440" s="3">
        <v>0.97014925373134298</v>
      </c>
      <c r="O440" s="3">
        <v>0.65349464062394902</v>
      </c>
      <c r="P440">
        <f t="shared" si="162"/>
        <v>0</v>
      </c>
      <c r="Q440">
        <f t="shared" si="163"/>
        <v>0</v>
      </c>
      <c r="R440">
        <f t="shared" si="164"/>
        <v>0</v>
      </c>
      <c r="S440">
        <f t="shared" si="165"/>
        <v>0</v>
      </c>
      <c r="T440">
        <f t="shared" si="166"/>
        <v>0</v>
      </c>
      <c r="U440">
        <f t="shared" si="167"/>
        <v>0</v>
      </c>
      <c r="V440">
        <f t="shared" si="168"/>
        <v>0</v>
      </c>
      <c r="W440">
        <f t="shared" si="169"/>
        <v>0</v>
      </c>
      <c r="X440">
        <f t="shared" si="170"/>
        <v>0</v>
      </c>
      <c r="Y440">
        <f t="shared" si="171"/>
        <v>0</v>
      </c>
      <c r="Z440">
        <f t="shared" si="172"/>
        <v>1</v>
      </c>
      <c r="AA440">
        <f t="shared" si="173"/>
        <v>0</v>
      </c>
      <c r="AB440">
        <f t="shared" si="156"/>
        <v>0</v>
      </c>
      <c r="AC440">
        <f t="shared" si="157"/>
        <v>1</v>
      </c>
      <c r="AD440">
        <f t="shared" si="158"/>
        <v>0</v>
      </c>
      <c r="AE440">
        <f t="shared" si="159"/>
        <v>0</v>
      </c>
      <c r="AF440">
        <f t="shared" si="160"/>
        <v>1</v>
      </c>
      <c r="AG440">
        <f t="shared" si="161"/>
        <v>0</v>
      </c>
      <c r="AH440">
        <f t="shared" si="174"/>
        <v>1</v>
      </c>
      <c r="AI440">
        <f t="shared" si="180"/>
        <v>0</v>
      </c>
      <c r="AJ440">
        <f t="shared" si="180"/>
        <v>0</v>
      </c>
      <c r="AK440">
        <f t="shared" si="180"/>
        <v>0</v>
      </c>
      <c r="AL440">
        <f t="shared" si="180"/>
        <v>0</v>
      </c>
      <c r="AM440">
        <f t="shared" si="180"/>
        <v>0</v>
      </c>
      <c r="AN440">
        <f t="shared" si="180"/>
        <v>0</v>
      </c>
      <c r="AO440">
        <f t="shared" si="180"/>
        <v>0</v>
      </c>
      <c r="AP440">
        <f t="shared" si="180"/>
        <v>0</v>
      </c>
      <c r="AQ440">
        <f t="shared" si="180"/>
        <v>0</v>
      </c>
      <c r="AR440">
        <f t="shared" si="180"/>
        <v>0</v>
      </c>
      <c r="AS440">
        <f t="shared" si="180"/>
        <v>0</v>
      </c>
      <c r="AT440">
        <f t="shared" si="180"/>
        <v>0</v>
      </c>
      <c r="AU440">
        <f t="shared" si="180"/>
        <v>0</v>
      </c>
      <c r="AV440">
        <f t="shared" si="180"/>
        <v>0</v>
      </c>
      <c r="AW440">
        <f t="shared" si="180"/>
        <v>0</v>
      </c>
      <c r="AX440">
        <f t="shared" si="175"/>
        <v>0</v>
      </c>
      <c r="AY440">
        <f t="shared" si="175"/>
        <v>0</v>
      </c>
      <c r="AZ440">
        <f t="shared" si="175"/>
        <v>0</v>
      </c>
      <c r="BA440">
        <f t="shared" si="176"/>
        <v>0</v>
      </c>
      <c r="BB440">
        <f t="shared" si="177"/>
        <v>1</v>
      </c>
    </row>
    <row r="441" spans="1:54">
      <c r="A441">
        <v>438</v>
      </c>
      <c r="B441" t="s">
        <v>20</v>
      </c>
      <c r="C441" t="s">
        <v>29</v>
      </c>
      <c r="D441" t="s">
        <v>31</v>
      </c>
      <c r="E441" t="s">
        <v>30</v>
      </c>
      <c r="F441" t="s">
        <v>29</v>
      </c>
      <c r="G441" t="s">
        <v>25</v>
      </c>
      <c r="H441" s="3">
        <v>6.3080797136776702E-3</v>
      </c>
      <c r="I441" s="3">
        <v>6.1421396987464899E-3</v>
      </c>
      <c r="J441" s="3">
        <v>5.5079119917788699E-3</v>
      </c>
      <c r="K441" s="3">
        <v>5.7085420525272096E-3</v>
      </c>
      <c r="L441" s="3">
        <v>4.5258903535087998E-3</v>
      </c>
      <c r="M441" s="3">
        <v>3.7889993746443502E-3</v>
      </c>
      <c r="N441" s="3">
        <v>6.7265699513076602E-3</v>
      </c>
      <c r="O441" s="3">
        <v>4.73939593539764E-3</v>
      </c>
      <c r="P441">
        <f t="shared" si="162"/>
        <v>0</v>
      </c>
      <c r="Q441">
        <f t="shared" si="163"/>
        <v>0</v>
      </c>
      <c r="R441">
        <f t="shared" si="164"/>
        <v>0</v>
      </c>
      <c r="S441">
        <f t="shared" si="165"/>
        <v>0</v>
      </c>
      <c r="T441">
        <f t="shared" si="166"/>
        <v>0</v>
      </c>
      <c r="U441">
        <f t="shared" si="167"/>
        <v>0</v>
      </c>
      <c r="V441">
        <f t="shared" si="168"/>
        <v>0</v>
      </c>
      <c r="W441">
        <f t="shared" si="169"/>
        <v>0</v>
      </c>
      <c r="X441">
        <f t="shared" si="170"/>
        <v>0</v>
      </c>
      <c r="Y441">
        <f t="shared" si="171"/>
        <v>0</v>
      </c>
      <c r="Z441">
        <f t="shared" si="172"/>
        <v>1</v>
      </c>
      <c r="AA441">
        <f t="shared" si="173"/>
        <v>0</v>
      </c>
      <c r="AB441">
        <f t="shared" si="156"/>
        <v>0</v>
      </c>
      <c r="AC441">
        <f t="shared" si="157"/>
        <v>0</v>
      </c>
      <c r="AD441">
        <f t="shared" si="158"/>
        <v>0</v>
      </c>
      <c r="AE441">
        <f t="shared" si="159"/>
        <v>0</v>
      </c>
      <c r="AF441">
        <f t="shared" si="160"/>
        <v>1</v>
      </c>
      <c r="AG441">
        <f t="shared" si="161"/>
        <v>0</v>
      </c>
      <c r="AH441">
        <f t="shared" si="174"/>
        <v>0</v>
      </c>
      <c r="AI441">
        <f t="shared" si="180"/>
        <v>0</v>
      </c>
      <c r="AJ441">
        <f t="shared" si="180"/>
        <v>0</v>
      </c>
      <c r="AK441">
        <f t="shared" si="180"/>
        <v>0</v>
      </c>
      <c r="AL441">
        <f t="shared" si="180"/>
        <v>0</v>
      </c>
      <c r="AM441">
        <f t="shared" si="180"/>
        <v>0</v>
      </c>
      <c r="AN441">
        <f t="shared" si="180"/>
        <v>0</v>
      </c>
      <c r="AO441">
        <f t="shared" si="180"/>
        <v>0</v>
      </c>
      <c r="AP441">
        <f t="shared" si="180"/>
        <v>0</v>
      </c>
      <c r="AQ441">
        <f t="shared" si="180"/>
        <v>0</v>
      </c>
      <c r="AR441">
        <f t="shared" si="180"/>
        <v>0</v>
      </c>
      <c r="AS441">
        <f t="shared" si="180"/>
        <v>0</v>
      </c>
      <c r="AT441">
        <f t="shared" si="180"/>
        <v>0</v>
      </c>
      <c r="AU441">
        <f t="shared" si="180"/>
        <v>0</v>
      </c>
      <c r="AV441">
        <f t="shared" si="180"/>
        <v>0</v>
      </c>
      <c r="AW441">
        <f t="shared" si="180"/>
        <v>0</v>
      </c>
      <c r="AX441">
        <f t="shared" si="175"/>
        <v>0</v>
      </c>
      <c r="AY441">
        <f t="shared" si="175"/>
        <v>0</v>
      </c>
      <c r="AZ441">
        <f t="shared" si="175"/>
        <v>0</v>
      </c>
      <c r="BA441">
        <f t="shared" si="176"/>
        <v>0</v>
      </c>
      <c r="BB441">
        <f t="shared" si="177"/>
        <v>1</v>
      </c>
    </row>
    <row r="442" spans="1:54">
      <c r="A442">
        <v>439</v>
      </c>
      <c r="B442" t="s">
        <v>20</v>
      </c>
      <c r="C442" t="s">
        <v>29</v>
      </c>
      <c r="D442" t="s">
        <v>31</v>
      </c>
      <c r="E442" t="s">
        <v>30</v>
      </c>
      <c r="F442" t="s">
        <v>29</v>
      </c>
      <c r="G442" t="s">
        <v>26</v>
      </c>
      <c r="H442" s="3">
        <v>6.4618163330593401E-3</v>
      </c>
      <c r="I442" s="3">
        <v>6.3045961267353097E-3</v>
      </c>
      <c r="J442" s="3">
        <v>5.6607239292915503E-3</v>
      </c>
      <c r="K442" s="3">
        <v>5.8759840945188102E-3</v>
      </c>
      <c r="L442" s="3">
        <v>4.6468269313516197E-3</v>
      </c>
      <c r="M442" s="3">
        <v>3.8906759189086901E-3</v>
      </c>
      <c r="N442" s="3">
        <v>6.8788501026693996E-3</v>
      </c>
      <c r="O442" s="3">
        <v>4.8815254434345402E-3</v>
      </c>
      <c r="P442">
        <f t="shared" si="162"/>
        <v>0</v>
      </c>
      <c r="Q442">
        <f t="shared" si="163"/>
        <v>0</v>
      </c>
      <c r="R442">
        <f t="shared" si="164"/>
        <v>0</v>
      </c>
      <c r="S442">
        <f t="shared" si="165"/>
        <v>0</v>
      </c>
      <c r="T442">
        <f t="shared" si="166"/>
        <v>0</v>
      </c>
      <c r="U442">
        <f t="shared" si="167"/>
        <v>0</v>
      </c>
      <c r="V442">
        <f t="shared" si="168"/>
        <v>0</v>
      </c>
      <c r="W442">
        <f t="shared" si="169"/>
        <v>0</v>
      </c>
      <c r="X442">
        <f t="shared" si="170"/>
        <v>0</v>
      </c>
      <c r="Y442">
        <f t="shared" si="171"/>
        <v>0</v>
      </c>
      <c r="Z442">
        <f t="shared" si="172"/>
        <v>1</v>
      </c>
      <c r="AA442">
        <f t="shared" si="173"/>
        <v>0</v>
      </c>
      <c r="AB442">
        <f t="shared" si="156"/>
        <v>0</v>
      </c>
      <c r="AC442">
        <f t="shared" si="157"/>
        <v>0</v>
      </c>
      <c r="AD442">
        <f t="shared" si="158"/>
        <v>0</v>
      </c>
      <c r="AE442">
        <f t="shared" si="159"/>
        <v>0</v>
      </c>
      <c r="AF442">
        <f t="shared" si="160"/>
        <v>1</v>
      </c>
      <c r="AG442">
        <f t="shared" si="161"/>
        <v>0</v>
      </c>
      <c r="AH442">
        <f t="shared" si="174"/>
        <v>0</v>
      </c>
      <c r="AI442">
        <f t="shared" si="180"/>
        <v>0</v>
      </c>
      <c r="AJ442">
        <f t="shared" si="180"/>
        <v>0</v>
      </c>
      <c r="AK442">
        <f t="shared" si="180"/>
        <v>0</v>
      </c>
      <c r="AL442">
        <f t="shared" si="180"/>
        <v>0</v>
      </c>
      <c r="AM442">
        <f t="shared" si="180"/>
        <v>0</v>
      </c>
      <c r="AN442">
        <f t="shared" si="180"/>
        <v>0</v>
      </c>
      <c r="AO442">
        <f t="shared" si="180"/>
        <v>0</v>
      </c>
      <c r="AP442">
        <f t="shared" si="180"/>
        <v>0</v>
      </c>
      <c r="AQ442">
        <f t="shared" si="180"/>
        <v>0</v>
      </c>
      <c r="AR442">
        <f t="shared" si="180"/>
        <v>0</v>
      </c>
      <c r="AS442">
        <f t="shared" si="180"/>
        <v>0</v>
      </c>
      <c r="AT442">
        <f t="shared" si="180"/>
        <v>0</v>
      </c>
      <c r="AU442">
        <f t="shared" si="180"/>
        <v>0</v>
      </c>
      <c r="AV442">
        <f t="shared" si="180"/>
        <v>0</v>
      </c>
      <c r="AW442">
        <f t="shared" si="180"/>
        <v>0</v>
      </c>
      <c r="AX442">
        <f t="shared" si="175"/>
        <v>0</v>
      </c>
      <c r="AY442">
        <f t="shared" si="175"/>
        <v>0</v>
      </c>
      <c r="AZ442">
        <f t="shared" si="175"/>
        <v>0</v>
      </c>
      <c r="BA442">
        <f t="shared" si="176"/>
        <v>0</v>
      </c>
      <c r="BB442">
        <f t="shared" si="177"/>
        <v>1</v>
      </c>
    </row>
    <row r="443" spans="1:54">
      <c r="A443">
        <v>440</v>
      </c>
      <c r="B443" t="s">
        <v>20</v>
      </c>
      <c r="C443" t="s">
        <v>29</v>
      </c>
      <c r="D443" t="s">
        <v>25</v>
      </c>
      <c r="E443" t="s">
        <v>20</v>
      </c>
      <c r="F443" t="s">
        <v>29</v>
      </c>
      <c r="G443" t="s">
        <v>26</v>
      </c>
      <c r="H443" s="3">
        <v>0.974958043478242</v>
      </c>
      <c r="I443" s="3">
        <v>0.97449664300354899</v>
      </c>
      <c r="J443" s="3">
        <v>0.97214720012352795</v>
      </c>
      <c r="K443" s="3">
        <v>0.97304138930575901</v>
      </c>
      <c r="L443" s="3">
        <v>0.97093423603489903</v>
      </c>
      <c r="M443" s="3">
        <v>0.96877278020467095</v>
      </c>
      <c r="N443" s="3">
        <v>0.97650107611894399</v>
      </c>
      <c r="O443" s="3">
        <v>0.97015658002042104</v>
      </c>
      <c r="P443">
        <f t="shared" si="162"/>
        <v>0</v>
      </c>
      <c r="Q443">
        <f t="shared" si="163"/>
        <v>0</v>
      </c>
      <c r="R443">
        <f t="shared" si="164"/>
        <v>0</v>
      </c>
      <c r="S443">
        <f t="shared" si="165"/>
        <v>0</v>
      </c>
      <c r="T443">
        <f t="shared" si="166"/>
        <v>0</v>
      </c>
      <c r="U443">
        <f t="shared" si="167"/>
        <v>0</v>
      </c>
      <c r="V443">
        <f t="shared" si="168"/>
        <v>0</v>
      </c>
      <c r="W443">
        <f t="shared" si="169"/>
        <v>0</v>
      </c>
      <c r="X443">
        <f t="shared" si="170"/>
        <v>0</v>
      </c>
      <c r="Y443">
        <f t="shared" si="171"/>
        <v>0</v>
      </c>
      <c r="Z443">
        <f t="shared" si="172"/>
        <v>0</v>
      </c>
      <c r="AA443">
        <f t="shared" si="173"/>
        <v>0</v>
      </c>
      <c r="AB443">
        <f t="shared" si="156"/>
        <v>0</v>
      </c>
      <c r="AC443">
        <f t="shared" si="157"/>
        <v>0</v>
      </c>
      <c r="AD443">
        <f t="shared" si="158"/>
        <v>0</v>
      </c>
      <c r="AE443">
        <f t="shared" si="159"/>
        <v>1</v>
      </c>
      <c r="AF443">
        <f t="shared" si="160"/>
        <v>1</v>
      </c>
      <c r="AG443">
        <f t="shared" si="161"/>
        <v>1</v>
      </c>
      <c r="AH443">
        <f t="shared" si="174"/>
        <v>1</v>
      </c>
      <c r="AI443">
        <f t="shared" ref="AI443:AW459" si="181">IF(OR(AND($D443=AI$1,$G443=AI$2),AND($D443=AI$2,$G443=AI$1)),1,0)</f>
        <v>1</v>
      </c>
      <c r="AJ443">
        <f t="shared" si="181"/>
        <v>0</v>
      </c>
      <c r="AK443">
        <f t="shared" si="181"/>
        <v>0</v>
      </c>
      <c r="AL443">
        <f t="shared" si="181"/>
        <v>0</v>
      </c>
      <c r="AM443">
        <f t="shared" si="181"/>
        <v>0</v>
      </c>
      <c r="AN443">
        <f t="shared" si="181"/>
        <v>0</v>
      </c>
      <c r="AO443">
        <f t="shared" si="181"/>
        <v>0</v>
      </c>
      <c r="AP443">
        <f t="shared" si="181"/>
        <v>0</v>
      </c>
      <c r="AQ443">
        <f t="shared" si="181"/>
        <v>0</v>
      </c>
      <c r="AR443">
        <f t="shared" si="181"/>
        <v>0</v>
      </c>
      <c r="AS443">
        <f t="shared" si="181"/>
        <v>0</v>
      </c>
      <c r="AT443">
        <f t="shared" si="181"/>
        <v>0</v>
      </c>
      <c r="AU443">
        <f t="shared" si="181"/>
        <v>0</v>
      </c>
      <c r="AV443">
        <f t="shared" si="181"/>
        <v>0</v>
      </c>
      <c r="AW443">
        <f t="shared" si="181"/>
        <v>0</v>
      </c>
      <c r="AX443">
        <f t="shared" si="175"/>
        <v>0</v>
      </c>
      <c r="AY443">
        <f t="shared" si="175"/>
        <v>0</v>
      </c>
      <c r="AZ443">
        <f t="shared" si="175"/>
        <v>0</v>
      </c>
      <c r="BA443">
        <f t="shared" si="176"/>
        <v>1</v>
      </c>
      <c r="BB443">
        <f t="shared" si="177"/>
        <v>1</v>
      </c>
    </row>
    <row r="444" spans="1:54">
      <c r="A444">
        <v>441</v>
      </c>
      <c r="B444" t="s">
        <v>20</v>
      </c>
      <c r="C444" t="s">
        <v>29</v>
      </c>
      <c r="D444" t="s">
        <v>25</v>
      </c>
      <c r="E444" t="s">
        <v>30</v>
      </c>
      <c r="F444" t="s">
        <v>21</v>
      </c>
      <c r="G444" t="s">
        <v>22</v>
      </c>
      <c r="H444" s="3">
        <v>2.6259868230796499E-3</v>
      </c>
      <c r="I444" s="3">
        <v>2.54515989074718E-3</v>
      </c>
      <c r="J444" s="3">
        <v>2.2626418253367301E-3</v>
      </c>
      <c r="K444" s="3">
        <v>2.3397336634203101E-3</v>
      </c>
      <c r="L444" s="3">
        <v>1.7380167803607001E-3</v>
      </c>
      <c r="M444" s="3">
        <v>1.3878147960484099E-3</v>
      </c>
      <c r="N444" s="3">
        <v>2.8110862212851898E-3</v>
      </c>
      <c r="O444" s="3">
        <v>1.8787876673723399E-3</v>
      </c>
      <c r="P444">
        <f t="shared" si="162"/>
        <v>0</v>
      </c>
      <c r="Q444">
        <f t="shared" si="163"/>
        <v>0</v>
      </c>
      <c r="R444">
        <f t="shared" si="164"/>
        <v>0</v>
      </c>
      <c r="S444">
        <f t="shared" si="165"/>
        <v>0</v>
      </c>
      <c r="T444">
        <f t="shared" si="166"/>
        <v>1</v>
      </c>
      <c r="U444">
        <f t="shared" si="167"/>
        <v>0</v>
      </c>
      <c r="V444">
        <f t="shared" si="168"/>
        <v>0</v>
      </c>
      <c r="W444">
        <f t="shared" si="169"/>
        <v>0</v>
      </c>
      <c r="X444">
        <f t="shared" si="170"/>
        <v>0</v>
      </c>
      <c r="Y444">
        <f t="shared" si="171"/>
        <v>0</v>
      </c>
      <c r="Z444">
        <f t="shared" si="172"/>
        <v>0</v>
      </c>
      <c r="AA444">
        <f t="shared" si="173"/>
        <v>0</v>
      </c>
      <c r="AB444">
        <f t="shared" si="156"/>
        <v>0</v>
      </c>
      <c r="AC444">
        <f t="shared" si="157"/>
        <v>0</v>
      </c>
      <c r="AD444">
        <f t="shared" si="158"/>
        <v>0</v>
      </c>
      <c r="AE444">
        <f t="shared" si="159"/>
        <v>0</v>
      </c>
      <c r="AF444">
        <f t="shared" si="160"/>
        <v>0</v>
      </c>
      <c r="AG444">
        <f t="shared" si="161"/>
        <v>0</v>
      </c>
      <c r="AH444">
        <f t="shared" si="174"/>
        <v>0</v>
      </c>
      <c r="AI444">
        <f t="shared" si="181"/>
        <v>0</v>
      </c>
      <c r="AJ444">
        <f t="shared" si="181"/>
        <v>0</v>
      </c>
      <c r="AK444">
        <f t="shared" si="181"/>
        <v>0</v>
      </c>
      <c r="AL444">
        <f t="shared" si="181"/>
        <v>0</v>
      </c>
      <c r="AM444">
        <f t="shared" si="181"/>
        <v>0</v>
      </c>
      <c r="AN444">
        <f t="shared" si="181"/>
        <v>1</v>
      </c>
      <c r="AO444">
        <f t="shared" si="181"/>
        <v>0</v>
      </c>
      <c r="AP444">
        <f t="shared" si="181"/>
        <v>0</v>
      </c>
      <c r="AQ444">
        <f t="shared" si="181"/>
        <v>0</v>
      </c>
      <c r="AR444">
        <f t="shared" si="181"/>
        <v>0</v>
      </c>
      <c r="AS444">
        <f t="shared" si="181"/>
        <v>0</v>
      </c>
      <c r="AT444">
        <f t="shared" si="181"/>
        <v>0</v>
      </c>
      <c r="AU444">
        <f t="shared" si="181"/>
        <v>0</v>
      </c>
      <c r="AV444">
        <f t="shared" si="181"/>
        <v>0</v>
      </c>
      <c r="AW444">
        <f t="shared" si="181"/>
        <v>0</v>
      </c>
      <c r="AX444">
        <f t="shared" si="175"/>
        <v>0</v>
      </c>
      <c r="AY444">
        <f t="shared" si="175"/>
        <v>0</v>
      </c>
      <c r="AZ444">
        <f t="shared" si="175"/>
        <v>1</v>
      </c>
      <c r="BA444">
        <f t="shared" si="176"/>
        <v>1</v>
      </c>
      <c r="BB444">
        <f t="shared" si="177"/>
        <v>1</v>
      </c>
    </row>
    <row r="445" spans="1:54">
      <c r="A445">
        <v>442</v>
      </c>
      <c r="B445" t="s">
        <v>20</v>
      </c>
      <c r="C445" t="s">
        <v>29</v>
      </c>
      <c r="D445" t="s">
        <v>25</v>
      </c>
      <c r="E445" t="s">
        <v>30</v>
      </c>
      <c r="F445" t="s">
        <v>21</v>
      </c>
      <c r="G445" t="s">
        <v>23</v>
      </c>
      <c r="H445" s="3">
        <v>2.8131987043495598E-3</v>
      </c>
      <c r="I445" s="3">
        <v>2.7031588890106899E-3</v>
      </c>
      <c r="J445" s="3">
        <v>2.38841892461853E-3</v>
      </c>
      <c r="K445" s="3">
        <v>2.45450825249927E-3</v>
      </c>
      <c r="L445" s="3">
        <v>1.7852449832496901E-3</v>
      </c>
      <c r="M445" s="3">
        <v>1.39815012193926E-3</v>
      </c>
      <c r="N445" s="3">
        <v>3.0307023323230902E-3</v>
      </c>
      <c r="O445" s="3">
        <v>1.9278100965945499E-3</v>
      </c>
      <c r="P445">
        <f t="shared" si="162"/>
        <v>0</v>
      </c>
      <c r="Q445">
        <f t="shared" si="163"/>
        <v>0</v>
      </c>
      <c r="R445">
        <f t="shared" si="164"/>
        <v>0</v>
      </c>
      <c r="S445">
        <f t="shared" si="165"/>
        <v>0</v>
      </c>
      <c r="T445">
        <f t="shared" si="166"/>
        <v>0</v>
      </c>
      <c r="U445">
        <f t="shared" si="167"/>
        <v>1</v>
      </c>
      <c r="V445">
        <f t="shared" si="168"/>
        <v>0</v>
      </c>
      <c r="W445">
        <f t="shared" si="169"/>
        <v>0</v>
      </c>
      <c r="X445">
        <f t="shared" si="170"/>
        <v>0</v>
      </c>
      <c r="Y445">
        <f t="shared" si="171"/>
        <v>0</v>
      </c>
      <c r="Z445">
        <f t="shared" si="172"/>
        <v>0</v>
      </c>
      <c r="AA445">
        <f t="shared" si="173"/>
        <v>0</v>
      </c>
      <c r="AB445">
        <f t="shared" si="156"/>
        <v>0</v>
      </c>
      <c r="AC445">
        <f t="shared" si="157"/>
        <v>0</v>
      </c>
      <c r="AD445">
        <f t="shared" si="158"/>
        <v>0</v>
      </c>
      <c r="AE445">
        <f t="shared" si="159"/>
        <v>0</v>
      </c>
      <c r="AF445">
        <f t="shared" si="160"/>
        <v>0</v>
      </c>
      <c r="AG445">
        <f t="shared" si="161"/>
        <v>0</v>
      </c>
      <c r="AH445">
        <f t="shared" si="174"/>
        <v>0</v>
      </c>
      <c r="AI445">
        <f t="shared" si="181"/>
        <v>0</v>
      </c>
      <c r="AJ445">
        <f t="shared" si="181"/>
        <v>0</v>
      </c>
      <c r="AK445">
        <f t="shared" si="181"/>
        <v>0</v>
      </c>
      <c r="AL445">
        <f t="shared" si="181"/>
        <v>0</v>
      </c>
      <c r="AM445">
        <f t="shared" si="181"/>
        <v>0</v>
      </c>
      <c r="AN445">
        <f t="shared" si="181"/>
        <v>0</v>
      </c>
      <c r="AO445">
        <f t="shared" si="181"/>
        <v>1</v>
      </c>
      <c r="AP445">
        <f t="shared" si="181"/>
        <v>0</v>
      </c>
      <c r="AQ445">
        <f t="shared" si="181"/>
        <v>0</v>
      </c>
      <c r="AR445">
        <f t="shared" si="181"/>
        <v>0</v>
      </c>
      <c r="AS445">
        <f t="shared" si="181"/>
        <v>0</v>
      </c>
      <c r="AT445">
        <f t="shared" si="181"/>
        <v>0</v>
      </c>
      <c r="AU445">
        <f t="shared" si="181"/>
        <v>0</v>
      </c>
      <c r="AV445">
        <f t="shared" si="181"/>
        <v>0</v>
      </c>
      <c r="AW445">
        <f t="shared" si="181"/>
        <v>0</v>
      </c>
      <c r="AX445">
        <f t="shared" si="175"/>
        <v>0</v>
      </c>
      <c r="AY445">
        <f t="shared" si="175"/>
        <v>0</v>
      </c>
      <c r="AZ445">
        <f t="shared" si="175"/>
        <v>1</v>
      </c>
      <c r="BA445">
        <f t="shared" si="176"/>
        <v>1</v>
      </c>
      <c r="BB445">
        <f t="shared" si="177"/>
        <v>1</v>
      </c>
    </row>
    <row r="446" spans="1:54">
      <c r="A446">
        <v>443</v>
      </c>
      <c r="B446" t="s">
        <v>20</v>
      </c>
      <c r="C446" t="s">
        <v>29</v>
      </c>
      <c r="D446" t="s">
        <v>25</v>
      </c>
      <c r="E446" t="s">
        <v>30</v>
      </c>
      <c r="F446" t="s">
        <v>21</v>
      </c>
      <c r="G446" t="s">
        <v>24</v>
      </c>
      <c r="H446" s="3">
        <v>9.4082101215994807E-2</v>
      </c>
      <c r="I446" s="3">
        <v>9.6659986500992501E-2</v>
      </c>
      <c r="J446" s="3">
        <v>6.9088223939220705E-2</v>
      </c>
      <c r="K446" s="3">
        <v>8.6573070350832004E-2</v>
      </c>
      <c r="L446" s="3">
        <v>5.2331910363402602E-2</v>
      </c>
      <c r="M446" s="3">
        <v>4.0385417012769299E-2</v>
      </c>
      <c r="N446" s="3">
        <v>0.11059676381337499</v>
      </c>
      <c r="O446" s="3">
        <v>5.1999131683325102E-2</v>
      </c>
      <c r="P446">
        <f t="shared" si="162"/>
        <v>0</v>
      </c>
      <c r="Q446">
        <f t="shared" si="163"/>
        <v>0</v>
      </c>
      <c r="R446">
        <f t="shared" si="164"/>
        <v>0</v>
      </c>
      <c r="S446">
        <f t="shared" si="165"/>
        <v>0</v>
      </c>
      <c r="T446">
        <f t="shared" si="166"/>
        <v>0</v>
      </c>
      <c r="U446">
        <f t="shared" si="167"/>
        <v>0</v>
      </c>
      <c r="V446">
        <f t="shared" si="168"/>
        <v>1</v>
      </c>
      <c r="W446">
        <f t="shared" si="169"/>
        <v>0</v>
      </c>
      <c r="X446">
        <f t="shared" si="170"/>
        <v>0</v>
      </c>
      <c r="Y446">
        <f t="shared" si="171"/>
        <v>0</v>
      </c>
      <c r="Z446">
        <f t="shared" si="172"/>
        <v>0</v>
      </c>
      <c r="AA446">
        <f t="shared" si="173"/>
        <v>0</v>
      </c>
      <c r="AB446">
        <f t="shared" si="156"/>
        <v>0</v>
      </c>
      <c r="AC446">
        <f t="shared" si="157"/>
        <v>0</v>
      </c>
      <c r="AD446">
        <f t="shared" si="158"/>
        <v>0</v>
      </c>
      <c r="AE446">
        <f t="shared" si="159"/>
        <v>0</v>
      </c>
      <c r="AF446">
        <f t="shared" si="160"/>
        <v>0</v>
      </c>
      <c r="AG446">
        <f t="shared" si="161"/>
        <v>0</v>
      </c>
      <c r="AH446">
        <f t="shared" si="174"/>
        <v>0</v>
      </c>
      <c r="AI446">
        <f t="shared" si="181"/>
        <v>0</v>
      </c>
      <c r="AJ446">
        <f t="shared" si="181"/>
        <v>0</v>
      </c>
      <c r="AK446">
        <f t="shared" si="181"/>
        <v>0</v>
      </c>
      <c r="AL446">
        <f t="shared" si="181"/>
        <v>0</v>
      </c>
      <c r="AM446">
        <f t="shared" si="181"/>
        <v>0</v>
      </c>
      <c r="AN446">
        <f t="shared" si="181"/>
        <v>0</v>
      </c>
      <c r="AO446">
        <f t="shared" si="181"/>
        <v>0</v>
      </c>
      <c r="AP446">
        <f t="shared" si="181"/>
        <v>1</v>
      </c>
      <c r="AQ446">
        <f t="shared" si="181"/>
        <v>0</v>
      </c>
      <c r="AR446">
        <f t="shared" si="181"/>
        <v>0</v>
      </c>
      <c r="AS446">
        <f t="shared" si="181"/>
        <v>0</v>
      </c>
      <c r="AT446">
        <f t="shared" si="181"/>
        <v>0</v>
      </c>
      <c r="AU446">
        <f t="shared" si="181"/>
        <v>0</v>
      </c>
      <c r="AV446">
        <f t="shared" si="181"/>
        <v>0</v>
      </c>
      <c r="AW446">
        <f t="shared" si="181"/>
        <v>0</v>
      </c>
      <c r="AX446">
        <f t="shared" si="175"/>
        <v>0</v>
      </c>
      <c r="AY446">
        <f t="shared" si="175"/>
        <v>0</v>
      </c>
      <c r="AZ446">
        <f t="shared" si="175"/>
        <v>1</v>
      </c>
      <c r="BA446">
        <f t="shared" si="176"/>
        <v>1</v>
      </c>
      <c r="BB446">
        <f t="shared" si="177"/>
        <v>1</v>
      </c>
    </row>
    <row r="447" spans="1:54">
      <c r="A447">
        <v>444</v>
      </c>
      <c r="B447" t="s">
        <v>20</v>
      </c>
      <c r="C447" t="s">
        <v>29</v>
      </c>
      <c r="D447" t="s">
        <v>25</v>
      </c>
      <c r="E447" t="s">
        <v>30</v>
      </c>
      <c r="F447" t="s">
        <v>21</v>
      </c>
      <c r="G447" t="s">
        <v>25</v>
      </c>
      <c r="H447" s="3">
        <v>0.133925227012193</v>
      </c>
      <c r="I447" s="3">
        <v>0.13224471402688701</v>
      </c>
      <c r="J447" s="3">
        <v>0.111060674338661</v>
      </c>
      <c r="K447" s="3">
        <v>0.121668519012332</v>
      </c>
      <c r="L447" s="3">
        <v>9.1866127339368497E-2</v>
      </c>
      <c r="M447" s="3">
        <v>7.5048061136068406E-2</v>
      </c>
      <c r="N447" s="3">
        <v>0.14652786928448999</v>
      </c>
      <c r="O447" s="3">
        <v>9.2081477804801498E-2</v>
      </c>
      <c r="P447">
        <f t="shared" si="162"/>
        <v>0</v>
      </c>
      <c r="Q447">
        <f t="shared" si="163"/>
        <v>0</v>
      </c>
      <c r="R447">
        <f t="shared" si="164"/>
        <v>0</v>
      </c>
      <c r="S447">
        <f t="shared" si="165"/>
        <v>0</v>
      </c>
      <c r="T447">
        <f t="shared" si="166"/>
        <v>0</v>
      </c>
      <c r="U447">
        <f t="shared" si="167"/>
        <v>0</v>
      </c>
      <c r="V447">
        <f t="shared" si="168"/>
        <v>0</v>
      </c>
      <c r="W447">
        <f t="shared" si="169"/>
        <v>0</v>
      </c>
      <c r="X447">
        <f t="shared" si="170"/>
        <v>0</v>
      </c>
      <c r="Y447">
        <f t="shared" si="171"/>
        <v>0</v>
      </c>
      <c r="Z447">
        <f t="shared" si="172"/>
        <v>0</v>
      </c>
      <c r="AA447">
        <f t="shared" si="173"/>
        <v>0</v>
      </c>
      <c r="AB447">
        <f t="shared" si="156"/>
        <v>0</v>
      </c>
      <c r="AC447">
        <f t="shared" si="157"/>
        <v>0</v>
      </c>
      <c r="AD447">
        <f t="shared" si="158"/>
        <v>0</v>
      </c>
      <c r="AE447">
        <f t="shared" si="159"/>
        <v>1</v>
      </c>
      <c r="AF447">
        <f t="shared" si="160"/>
        <v>0</v>
      </c>
      <c r="AG447">
        <f t="shared" si="161"/>
        <v>0</v>
      </c>
      <c r="AH447">
        <f t="shared" si="174"/>
        <v>1</v>
      </c>
      <c r="AI447">
        <f t="shared" si="181"/>
        <v>0</v>
      </c>
      <c r="AJ447">
        <f t="shared" si="181"/>
        <v>0</v>
      </c>
      <c r="AK447">
        <f t="shared" si="181"/>
        <v>0</v>
      </c>
      <c r="AL447">
        <f t="shared" si="181"/>
        <v>0</v>
      </c>
      <c r="AM447">
        <f t="shared" si="181"/>
        <v>0</v>
      </c>
      <c r="AN447">
        <f t="shared" si="181"/>
        <v>0</v>
      </c>
      <c r="AO447">
        <f t="shared" si="181"/>
        <v>0</v>
      </c>
      <c r="AP447">
        <f t="shared" si="181"/>
        <v>0</v>
      </c>
      <c r="AQ447">
        <f t="shared" si="181"/>
        <v>0</v>
      </c>
      <c r="AR447">
        <f t="shared" si="181"/>
        <v>0</v>
      </c>
      <c r="AS447">
        <f t="shared" si="181"/>
        <v>0</v>
      </c>
      <c r="AT447">
        <f t="shared" si="181"/>
        <v>0</v>
      </c>
      <c r="AU447">
        <f t="shared" si="181"/>
        <v>0</v>
      </c>
      <c r="AV447">
        <f t="shared" si="181"/>
        <v>0</v>
      </c>
      <c r="AW447">
        <f t="shared" si="181"/>
        <v>0</v>
      </c>
      <c r="AX447">
        <f t="shared" si="175"/>
        <v>0</v>
      </c>
      <c r="AY447">
        <f t="shared" si="175"/>
        <v>0</v>
      </c>
      <c r="AZ447">
        <f t="shared" si="175"/>
        <v>1</v>
      </c>
      <c r="BA447">
        <f t="shared" si="176"/>
        <v>0</v>
      </c>
      <c r="BB447">
        <f t="shared" si="177"/>
        <v>1</v>
      </c>
    </row>
    <row r="448" spans="1:54">
      <c r="A448">
        <v>445</v>
      </c>
      <c r="B448" t="s">
        <v>20</v>
      </c>
      <c r="C448" t="s">
        <v>29</v>
      </c>
      <c r="D448" t="s">
        <v>25</v>
      </c>
      <c r="E448" t="s">
        <v>30</v>
      </c>
      <c r="F448" t="s">
        <v>21</v>
      </c>
      <c r="G448" t="s">
        <v>26</v>
      </c>
      <c r="H448" s="3">
        <v>0.132480829663395</v>
      </c>
      <c r="I448" s="3">
        <v>0.13086873538118901</v>
      </c>
      <c r="J448" s="3">
        <v>0.11003229392460299</v>
      </c>
      <c r="K448" s="3">
        <v>0.120572251441835</v>
      </c>
      <c r="L448" s="3">
        <v>9.1126149359747499E-2</v>
      </c>
      <c r="M448" s="3">
        <v>7.4534031547960095E-2</v>
      </c>
      <c r="N448" s="3">
        <v>0.14472701717397901</v>
      </c>
      <c r="O448" s="3">
        <v>9.1461770686991795E-2</v>
      </c>
      <c r="P448">
        <f t="shared" si="162"/>
        <v>0</v>
      </c>
      <c r="Q448">
        <f t="shared" si="163"/>
        <v>0</v>
      </c>
      <c r="R448">
        <f t="shared" si="164"/>
        <v>0</v>
      </c>
      <c r="S448">
        <f t="shared" si="165"/>
        <v>0</v>
      </c>
      <c r="T448">
        <f t="shared" si="166"/>
        <v>0</v>
      </c>
      <c r="U448">
        <f t="shared" si="167"/>
        <v>0</v>
      </c>
      <c r="V448">
        <f t="shared" si="168"/>
        <v>0</v>
      </c>
      <c r="W448">
        <f t="shared" si="169"/>
        <v>0</v>
      </c>
      <c r="X448">
        <f t="shared" si="170"/>
        <v>0</v>
      </c>
      <c r="Y448">
        <f t="shared" si="171"/>
        <v>0</v>
      </c>
      <c r="Z448">
        <f t="shared" si="172"/>
        <v>0</v>
      </c>
      <c r="AA448">
        <f t="shared" si="173"/>
        <v>0</v>
      </c>
      <c r="AB448">
        <f t="shared" si="156"/>
        <v>0</v>
      </c>
      <c r="AC448">
        <f t="shared" si="157"/>
        <v>0</v>
      </c>
      <c r="AD448">
        <f t="shared" si="158"/>
        <v>0</v>
      </c>
      <c r="AE448">
        <f t="shared" si="159"/>
        <v>1</v>
      </c>
      <c r="AF448">
        <f t="shared" si="160"/>
        <v>0</v>
      </c>
      <c r="AG448">
        <f t="shared" si="161"/>
        <v>0</v>
      </c>
      <c r="AH448">
        <f t="shared" si="174"/>
        <v>1</v>
      </c>
      <c r="AI448">
        <f t="shared" si="181"/>
        <v>1</v>
      </c>
      <c r="AJ448">
        <f t="shared" si="181"/>
        <v>0</v>
      </c>
      <c r="AK448">
        <f t="shared" si="181"/>
        <v>0</v>
      </c>
      <c r="AL448">
        <f t="shared" si="181"/>
        <v>0</v>
      </c>
      <c r="AM448">
        <f t="shared" si="181"/>
        <v>0</v>
      </c>
      <c r="AN448">
        <f t="shared" si="181"/>
        <v>0</v>
      </c>
      <c r="AO448">
        <f t="shared" si="181"/>
        <v>0</v>
      </c>
      <c r="AP448">
        <f t="shared" si="181"/>
        <v>0</v>
      </c>
      <c r="AQ448">
        <f t="shared" si="181"/>
        <v>0</v>
      </c>
      <c r="AR448">
        <f t="shared" si="181"/>
        <v>0</v>
      </c>
      <c r="AS448">
        <f t="shared" si="181"/>
        <v>0</v>
      </c>
      <c r="AT448">
        <f t="shared" si="181"/>
        <v>0</v>
      </c>
      <c r="AU448">
        <f t="shared" si="181"/>
        <v>0</v>
      </c>
      <c r="AV448">
        <f t="shared" si="181"/>
        <v>0</v>
      </c>
      <c r="AW448">
        <f t="shared" si="181"/>
        <v>0</v>
      </c>
      <c r="AX448">
        <f t="shared" si="175"/>
        <v>0</v>
      </c>
      <c r="AY448">
        <f t="shared" si="175"/>
        <v>0</v>
      </c>
      <c r="AZ448">
        <f t="shared" si="175"/>
        <v>1</v>
      </c>
      <c r="BA448">
        <f t="shared" si="176"/>
        <v>1</v>
      </c>
      <c r="BB448">
        <f t="shared" si="177"/>
        <v>1</v>
      </c>
    </row>
    <row r="449" spans="1:54">
      <c r="A449">
        <v>446</v>
      </c>
      <c r="B449" t="s">
        <v>20</v>
      </c>
      <c r="C449" t="s">
        <v>29</v>
      </c>
      <c r="D449" t="s">
        <v>25</v>
      </c>
      <c r="E449" t="s">
        <v>30</v>
      </c>
      <c r="F449" t="s">
        <v>21</v>
      </c>
      <c r="G449" t="s">
        <v>27</v>
      </c>
      <c r="H449" s="3">
        <v>4.1431791248460498E-2</v>
      </c>
      <c r="I449" s="3">
        <v>4.0896690550609197E-2</v>
      </c>
      <c r="J449" s="3">
        <v>3.7943391754191501E-2</v>
      </c>
      <c r="K449" s="3">
        <v>3.8968550639779199E-2</v>
      </c>
      <c r="L449" s="3">
        <v>3.3310494842661797E-2</v>
      </c>
      <c r="M449" s="3">
        <v>3.0059075685276899E-2</v>
      </c>
      <c r="N449" s="3">
        <v>4.3440066763297702E-2</v>
      </c>
      <c r="O449" s="3">
        <v>3.4509466093589403E-2</v>
      </c>
      <c r="P449">
        <f t="shared" si="162"/>
        <v>0</v>
      </c>
      <c r="Q449">
        <f t="shared" si="163"/>
        <v>0</v>
      </c>
      <c r="R449">
        <f t="shared" si="164"/>
        <v>0</v>
      </c>
      <c r="S449">
        <f t="shared" si="165"/>
        <v>0</v>
      </c>
      <c r="T449">
        <f t="shared" si="166"/>
        <v>0</v>
      </c>
      <c r="U449">
        <f t="shared" si="167"/>
        <v>0</v>
      </c>
      <c r="V449">
        <f t="shared" si="168"/>
        <v>0</v>
      </c>
      <c r="W449">
        <f t="shared" si="169"/>
        <v>1</v>
      </c>
      <c r="X449">
        <f t="shared" si="170"/>
        <v>0</v>
      </c>
      <c r="Y449">
        <f t="shared" si="171"/>
        <v>0</v>
      </c>
      <c r="Z449">
        <f t="shared" si="172"/>
        <v>0</v>
      </c>
      <c r="AA449">
        <f t="shared" si="173"/>
        <v>0</v>
      </c>
      <c r="AB449">
        <f t="shared" si="156"/>
        <v>0</v>
      </c>
      <c r="AC449">
        <f t="shared" si="157"/>
        <v>0</v>
      </c>
      <c r="AD449">
        <f t="shared" si="158"/>
        <v>0</v>
      </c>
      <c r="AE449">
        <f t="shared" si="159"/>
        <v>0</v>
      </c>
      <c r="AF449">
        <f t="shared" si="160"/>
        <v>0</v>
      </c>
      <c r="AG449">
        <f t="shared" si="161"/>
        <v>0</v>
      </c>
      <c r="AH449">
        <f t="shared" si="174"/>
        <v>0</v>
      </c>
      <c r="AI449">
        <f t="shared" si="181"/>
        <v>0</v>
      </c>
      <c r="AJ449">
        <f t="shared" si="181"/>
        <v>0</v>
      </c>
      <c r="AK449">
        <f t="shared" si="181"/>
        <v>0</v>
      </c>
      <c r="AL449">
        <f t="shared" si="181"/>
        <v>0</v>
      </c>
      <c r="AM449">
        <f t="shared" si="181"/>
        <v>0</v>
      </c>
      <c r="AN449">
        <f t="shared" si="181"/>
        <v>0</v>
      </c>
      <c r="AO449">
        <f t="shared" si="181"/>
        <v>0</v>
      </c>
      <c r="AP449">
        <f t="shared" si="181"/>
        <v>0</v>
      </c>
      <c r="AQ449">
        <f t="shared" si="181"/>
        <v>1</v>
      </c>
      <c r="AR449">
        <f t="shared" si="181"/>
        <v>0</v>
      </c>
      <c r="AS449">
        <f t="shared" si="181"/>
        <v>0</v>
      </c>
      <c r="AT449">
        <f t="shared" si="181"/>
        <v>0</v>
      </c>
      <c r="AU449">
        <f t="shared" si="181"/>
        <v>0</v>
      </c>
      <c r="AV449">
        <f t="shared" si="181"/>
        <v>0</v>
      </c>
      <c r="AW449">
        <f t="shared" si="181"/>
        <v>0</v>
      </c>
      <c r="AX449">
        <f t="shared" si="175"/>
        <v>0</v>
      </c>
      <c r="AY449">
        <f t="shared" si="175"/>
        <v>0</v>
      </c>
      <c r="AZ449">
        <f t="shared" si="175"/>
        <v>1</v>
      </c>
      <c r="BA449">
        <f t="shared" si="176"/>
        <v>1</v>
      </c>
      <c r="BB449">
        <f t="shared" si="177"/>
        <v>1</v>
      </c>
    </row>
    <row r="450" spans="1:54">
      <c r="A450">
        <v>447</v>
      </c>
      <c r="B450" t="s">
        <v>20</v>
      </c>
      <c r="C450" t="s">
        <v>29</v>
      </c>
      <c r="D450" t="s">
        <v>25</v>
      </c>
      <c r="E450" t="s">
        <v>30</v>
      </c>
      <c r="F450" t="s">
        <v>28</v>
      </c>
      <c r="G450" t="s">
        <v>22</v>
      </c>
      <c r="H450" s="3">
        <v>2.8352073218636401E-3</v>
      </c>
      <c r="I450" s="3">
        <v>2.7929941391228101E-3</v>
      </c>
      <c r="J450" s="3">
        <v>2.4310961262435401E-3</v>
      </c>
      <c r="K450" s="3">
        <v>2.5783270106216499E-3</v>
      </c>
      <c r="L450" s="3">
        <v>1.89360053069585E-3</v>
      </c>
      <c r="M450" s="3">
        <v>1.5157495775601499E-3</v>
      </c>
      <c r="N450" s="3">
        <v>3.0746255545306802E-3</v>
      </c>
      <c r="O450" s="3">
        <v>2.0243720556634799E-3</v>
      </c>
      <c r="P450">
        <f t="shared" si="162"/>
        <v>1</v>
      </c>
      <c r="Q450">
        <f t="shared" si="163"/>
        <v>0</v>
      </c>
      <c r="R450">
        <f t="shared" si="164"/>
        <v>0</v>
      </c>
      <c r="S450">
        <f t="shared" si="165"/>
        <v>0</v>
      </c>
      <c r="T450">
        <f t="shared" si="166"/>
        <v>0</v>
      </c>
      <c r="U450">
        <f t="shared" si="167"/>
        <v>0</v>
      </c>
      <c r="V450">
        <f t="shared" si="168"/>
        <v>0</v>
      </c>
      <c r="W450">
        <f t="shared" si="169"/>
        <v>0</v>
      </c>
      <c r="X450">
        <f t="shared" si="170"/>
        <v>0</v>
      </c>
      <c r="Y450">
        <f t="shared" si="171"/>
        <v>0</v>
      </c>
      <c r="Z450">
        <f t="shared" si="172"/>
        <v>0</v>
      </c>
      <c r="AA450">
        <f t="shared" si="173"/>
        <v>0</v>
      </c>
      <c r="AB450">
        <f t="shared" si="156"/>
        <v>0</v>
      </c>
      <c r="AC450">
        <f t="shared" si="157"/>
        <v>0</v>
      </c>
      <c r="AD450">
        <f t="shared" si="158"/>
        <v>0</v>
      </c>
      <c r="AE450">
        <f t="shared" si="159"/>
        <v>0</v>
      </c>
      <c r="AF450">
        <f t="shared" si="160"/>
        <v>0</v>
      </c>
      <c r="AG450">
        <f t="shared" si="161"/>
        <v>0</v>
      </c>
      <c r="AH450">
        <f t="shared" si="174"/>
        <v>0</v>
      </c>
      <c r="AI450">
        <f t="shared" si="181"/>
        <v>0</v>
      </c>
      <c r="AJ450">
        <f t="shared" si="181"/>
        <v>0</v>
      </c>
      <c r="AK450">
        <f t="shared" si="181"/>
        <v>0</v>
      </c>
      <c r="AL450">
        <f t="shared" si="181"/>
        <v>0</v>
      </c>
      <c r="AM450">
        <f t="shared" si="181"/>
        <v>0</v>
      </c>
      <c r="AN450">
        <f t="shared" si="181"/>
        <v>1</v>
      </c>
      <c r="AO450">
        <f t="shared" si="181"/>
        <v>0</v>
      </c>
      <c r="AP450">
        <f t="shared" si="181"/>
        <v>0</v>
      </c>
      <c r="AQ450">
        <f t="shared" si="181"/>
        <v>0</v>
      </c>
      <c r="AR450">
        <f t="shared" si="181"/>
        <v>0</v>
      </c>
      <c r="AS450">
        <f t="shared" si="181"/>
        <v>0</v>
      </c>
      <c r="AT450">
        <f t="shared" si="181"/>
        <v>0</v>
      </c>
      <c r="AU450">
        <f t="shared" si="181"/>
        <v>0</v>
      </c>
      <c r="AV450">
        <f t="shared" si="181"/>
        <v>0</v>
      </c>
      <c r="AW450">
        <f t="shared" si="181"/>
        <v>0</v>
      </c>
      <c r="AX450">
        <f t="shared" si="175"/>
        <v>0</v>
      </c>
      <c r="AY450">
        <f t="shared" si="175"/>
        <v>1</v>
      </c>
      <c r="AZ450">
        <f t="shared" si="175"/>
        <v>0</v>
      </c>
      <c r="BA450">
        <f t="shared" si="176"/>
        <v>1</v>
      </c>
      <c r="BB450">
        <f t="shared" si="177"/>
        <v>1</v>
      </c>
    </row>
    <row r="451" spans="1:54">
      <c r="A451">
        <v>448</v>
      </c>
      <c r="B451" t="s">
        <v>20</v>
      </c>
      <c r="C451" t="s">
        <v>29</v>
      </c>
      <c r="D451" t="s">
        <v>25</v>
      </c>
      <c r="E451" t="s">
        <v>30</v>
      </c>
      <c r="F451" t="s">
        <v>28</v>
      </c>
      <c r="G451" t="s">
        <v>23</v>
      </c>
      <c r="H451" s="3">
        <v>3.3642561634834901E-3</v>
      </c>
      <c r="I451" s="3">
        <v>3.29723184179222E-3</v>
      </c>
      <c r="J451" s="3">
        <v>2.8912555188867302E-3</v>
      </c>
      <c r="K451" s="3">
        <v>3.0387048710793E-3</v>
      </c>
      <c r="L451" s="3">
        <v>2.21463723013474E-3</v>
      </c>
      <c r="M451" s="3">
        <v>1.7791284146186301E-3</v>
      </c>
      <c r="N451" s="3">
        <v>3.64562744322923E-3</v>
      </c>
      <c r="O451" s="3">
        <v>2.3980592152215699E-3</v>
      </c>
      <c r="P451">
        <f t="shared" si="162"/>
        <v>0</v>
      </c>
      <c r="Q451">
        <f t="shared" si="163"/>
        <v>1</v>
      </c>
      <c r="R451">
        <f t="shared" si="164"/>
        <v>0</v>
      </c>
      <c r="S451">
        <f t="shared" si="165"/>
        <v>0</v>
      </c>
      <c r="T451">
        <f t="shared" si="166"/>
        <v>0</v>
      </c>
      <c r="U451">
        <f t="shared" si="167"/>
        <v>0</v>
      </c>
      <c r="V451">
        <f t="shared" si="168"/>
        <v>0</v>
      </c>
      <c r="W451">
        <f t="shared" si="169"/>
        <v>0</v>
      </c>
      <c r="X451">
        <f t="shared" si="170"/>
        <v>0</v>
      </c>
      <c r="Y451">
        <f t="shared" si="171"/>
        <v>0</v>
      </c>
      <c r="Z451">
        <f t="shared" si="172"/>
        <v>0</v>
      </c>
      <c r="AA451">
        <f t="shared" si="173"/>
        <v>0</v>
      </c>
      <c r="AB451">
        <f t="shared" ref="AB451:AB514" si="182">IF(AND(AND(C451="windows",D451="clang"),AND(F451="windows",G451="clang")),1,0)</f>
        <v>0</v>
      </c>
      <c r="AC451">
        <f t="shared" ref="AC451:AC514" si="183">IF(AND(OR(D451="clang",D451="gcc",D451="msvc"),OR(G451="gcc",G451="clang",G451="msvc")),1,0)</f>
        <v>0</v>
      </c>
      <c r="AD451">
        <f t="shared" ref="AD451:AD514" si="184">IF(AND(OR(D451="go",D451="tgo"),OR(G451="go",G451="tgo")),1,0)</f>
        <v>0</v>
      </c>
      <c r="AE451">
        <f t="shared" ref="AE451:AE514" si="185">IF(AND(OR(D451="rs-pure",D451="rs-sys"),OR(G451="rs-pure",G451="rs-sys")),1,0)</f>
        <v>0</v>
      </c>
      <c r="AF451">
        <f t="shared" ref="AF451:AF514" si="186">IF(C451=F451,1,0)</f>
        <v>0</v>
      </c>
      <c r="AG451">
        <f t="shared" ref="AG451:AG514" si="187">IF(B451=E451,1,0)</f>
        <v>0</v>
      </c>
      <c r="AH451">
        <f t="shared" si="174"/>
        <v>0</v>
      </c>
      <c r="AI451">
        <f t="shared" si="181"/>
        <v>0</v>
      </c>
      <c r="AJ451">
        <f t="shared" si="181"/>
        <v>0</v>
      </c>
      <c r="AK451">
        <f t="shared" si="181"/>
        <v>0</v>
      </c>
      <c r="AL451">
        <f t="shared" si="181"/>
        <v>0</v>
      </c>
      <c r="AM451">
        <f t="shared" si="181"/>
        <v>0</v>
      </c>
      <c r="AN451">
        <f t="shared" si="181"/>
        <v>0</v>
      </c>
      <c r="AO451">
        <f t="shared" si="181"/>
        <v>1</v>
      </c>
      <c r="AP451">
        <f t="shared" si="181"/>
        <v>0</v>
      </c>
      <c r="AQ451">
        <f t="shared" si="181"/>
        <v>0</v>
      </c>
      <c r="AR451">
        <f t="shared" si="181"/>
        <v>0</v>
      </c>
      <c r="AS451">
        <f t="shared" si="181"/>
        <v>0</v>
      </c>
      <c r="AT451">
        <f t="shared" si="181"/>
        <v>0</v>
      </c>
      <c r="AU451">
        <f t="shared" si="181"/>
        <v>0</v>
      </c>
      <c r="AV451">
        <f t="shared" si="181"/>
        <v>0</v>
      </c>
      <c r="AW451">
        <f t="shared" si="181"/>
        <v>0</v>
      </c>
      <c r="AX451">
        <f t="shared" si="175"/>
        <v>0</v>
      </c>
      <c r="AY451">
        <f t="shared" si="175"/>
        <v>1</v>
      </c>
      <c r="AZ451">
        <f t="shared" si="175"/>
        <v>0</v>
      </c>
      <c r="BA451">
        <f t="shared" si="176"/>
        <v>1</v>
      </c>
      <c r="BB451">
        <f t="shared" si="177"/>
        <v>1</v>
      </c>
    </row>
    <row r="452" spans="1:54">
      <c r="A452">
        <v>449</v>
      </c>
      <c r="B452" t="s">
        <v>20</v>
      </c>
      <c r="C452" t="s">
        <v>29</v>
      </c>
      <c r="D452" t="s">
        <v>25</v>
      </c>
      <c r="E452" t="s">
        <v>30</v>
      </c>
      <c r="F452" t="s">
        <v>28</v>
      </c>
      <c r="G452" t="s">
        <v>24</v>
      </c>
      <c r="H452" s="3">
        <v>9.3955682839280005E-2</v>
      </c>
      <c r="I452" s="3">
        <v>9.5296070700698093E-2</v>
      </c>
      <c r="J452" s="3">
        <v>6.7194709185857293E-2</v>
      </c>
      <c r="K452" s="3">
        <v>8.4534887478394605E-2</v>
      </c>
      <c r="L452" s="3">
        <v>4.9941498340200403E-2</v>
      </c>
      <c r="M452" s="3">
        <v>3.7507788732642898E-2</v>
      </c>
      <c r="N452" s="3">
        <v>0.11042107092454501</v>
      </c>
      <c r="O452" s="3">
        <v>4.9619968047306402E-2</v>
      </c>
      <c r="P452">
        <f t="shared" ref="P452:P515" si="188">IF(OR(AND($C452="linux",$D452="clang"),AND($F452="linux",$G452="clang")),1,0)</f>
        <v>0</v>
      </c>
      <c r="Q452">
        <f t="shared" ref="Q452:Q515" si="189">IF(OR(AND($C452="linux",$D452="gcc"),AND($F452="linux",$G452="gcc")),1,0)</f>
        <v>0</v>
      </c>
      <c r="R452">
        <f t="shared" ref="R452:R515" si="190">IF(OR(AND($C452="linux",$D452="go"),AND($F452="linux",$G452="go")),1,0)</f>
        <v>1</v>
      </c>
      <c r="S452">
        <f t="shared" ref="S452:S515" si="191">IF(OR(AND($C452="linux",$D452="tgo"),AND($F452="linux",$G452="tgo")),1,0)</f>
        <v>0</v>
      </c>
      <c r="T452">
        <f t="shared" ref="T452:T515" si="192">IF(OR(AND($C452="darwin",$D452="clang"),AND($F452="darwin",$G452="clang")),1,0)</f>
        <v>0</v>
      </c>
      <c r="U452">
        <f t="shared" ref="U452:U515" si="193">IF(OR(AND($C452="darwin",$D452="gcc"),AND($F452="darwin",$G452="gcc")),1,0)</f>
        <v>0</v>
      </c>
      <c r="V452">
        <f t="shared" ref="V452:V515" si="194">IF(OR(AND($C452="darwin",$D452="go"),AND($F452="darwin",$G452="go")),1,0)</f>
        <v>0</v>
      </c>
      <c r="W452">
        <f t="shared" ref="W452:W515" si="195">IF(OR(AND($C452="darwin",$D452="tgo"),AND($F452="darwin",$G452="tgo")),1,0)</f>
        <v>0</v>
      </c>
      <c r="X452">
        <f t="shared" ref="X452:X515" si="196">IF(OR(AND($C452="windows",$D452="clang"),AND($F452="windows",$G452="clang")),1,0)</f>
        <v>0</v>
      </c>
      <c r="Y452">
        <f t="shared" ref="Y452:Y515" si="197">IF(OR(AND($C452="windows",$D452="gcc"),AND($F452="windows",$G452="gcc")),1,0)</f>
        <v>0</v>
      </c>
      <c r="Z452">
        <f t="shared" ref="Z452:Z515" si="198">IF(OR(AND($C452="windows",$D452="msvc"),AND($F452="windows",$G452="msvc")),1,0)</f>
        <v>0</v>
      </c>
      <c r="AA452">
        <f t="shared" ref="AA452:AA515" si="199">IF(OR(AND($C452="windows",$D452="go"),AND($F452="windows",$G452="go")),1,0)</f>
        <v>0</v>
      </c>
      <c r="AB452">
        <f t="shared" si="182"/>
        <v>0</v>
      </c>
      <c r="AC452">
        <f t="shared" si="183"/>
        <v>0</v>
      </c>
      <c r="AD452">
        <f t="shared" si="184"/>
        <v>0</v>
      </c>
      <c r="AE452">
        <f t="shared" si="185"/>
        <v>0</v>
      </c>
      <c r="AF452">
        <f t="shared" si="186"/>
        <v>0</v>
      </c>
      <c r="AG452">
        <f t="shared" si="187"/>
        <v>0</v>
      </c>
      <c r="AH452">
        <f t="shared" ref="AH452:AH515" si="200">IF(SUM(AC452:AE452)=1,1,0)</f>
        <v>0</v>
      </c>
      <c r="AI452">
        <f t="shared" si="181"/>
        <v>0</v>
      </c>
      <c r="AJ452">
        <f t="shared" si="181"/>
        <v>0</v>
      </c>
      <c r="AK452">
        <f t="shared" si="181"/>
        <v>0</v>
      </c>
      <c r="AL452">
        <f t="shared" si="181"/>
        <v>0</v>
      </c>
      <c r="AM452">
        <f t="shared" si="181"/>
        <v>0</v>
      </c>
      <c r="AN452">
        <f t="shared" si="181"/>
        <v>0</v>
      </c>
      <c r="AO452">
        <f t="shared" si="181"/>
        <v>0</v>
      </c>
      <c r="AP452">
        <f t="shared" si="181"/>
        <v>1</v>
      </c>
      <c r="AQ452">
        <f t="shared" si="181"/>
        <v>0</v>
      </c>
      <c r="AR452">
        <f t="shared" si="181"/>
        <v>0</v>
      </c>
      <c r="AS452">
        <f t="shared" si="181"/>
        <v>0</v>
      </c>
      <c r="AT452">
        <f t="shared" si="181"/>
        <v>0</v>
      </c>
      <c r="AU452">
        <f t="shared" si="181"/>
        <v>0</v>
      </c>
      <c r="AV452">
        <f t="shared" si="181"/>
        <v>0</v>
      </c>
      <c r="AW452">
        <f t="shared" si="181"/>
        <v>0</v>
      </c>
      <c r="AX452">
        <f t="shared" ref="AX452:AZ515" si="201">IF(OR(AND($C452=AX$1,$F452=AX$2),AND($C452=AX$2,$F452=AX$1)),1,0)</f>
        <v>0</v>
      </c>
      <c r="AY452">
        <f t="shared" si="201"/>
        <v>1</v>
      </c>
      <c r="AZ452">
        <f t="shared" si="201"/>
        <v>0</v>
      </c>
      <c r="BA452">
        <f t="shared" ref="BA452:BA515" si="202">IF(SUM(AI452:AQ452)=1,1,0)</f>
        <v>1</v>
      </c>
      <c r="BB452">
        <f t="shared" ref="BB452:BB515" si="203">IF(OR(C452="windows",F452="windows"),1,0)</f>
        <v>1</v>
      </c>
    </row>
    <row r="453" spans="1:54">
      <c r="A453">
        <v>450</v>
      </c>
      <c r="B453" t="s">
        <v>20</v>
      </c>
      <c r="C453" t="s">
        <v>29</v>
      </c>
      <c r="D453" t="s">
        <v>25</v>
      </c>
      <c r="E453" t="s">
        <v>30</v>
      </c>
      <c r="F453" t="s">
        <v>28</v>
      </c>
      <c r="G453" t="s">
        <v>25</v>
      </c>
      <c r="H453" s="3">
        <v>0.13563532490288399</v>
      </c>
      <c r="I453" s="3">
        <v>0.134067325459612</v>
      </c>
      <c r="J453" s="3">
        <v>0.112340553348348</v>
      </c>
      <c r="K453" s="3">
        <v>0.12321073526981501</v>
      </c>
      <c r="L453" s="3">
        <v>9.3073120887555705E-2</v>
      </c>
      <c r="M453" s="3">
        <v>7.5878946430869496E-2</v>
      </c>
      <c r="N453" s="3">
        <v>0.14854833750603899</v>
      </c>
      <c r="O453" s="3">
        <v>9.2642788903690598E-2</v>
      </c>
      <c r="P453">
        <f t="shared" si="188"/>
        <v>0</v>
      </c>
      <c r="Q453">
        <f t="shared" si="189"/>
        <v>0</v>
      </c>
      <c r="R453">
        <f t="shared" si="190"/>
        <v>0</v>
      </c>
      <c r="S453">
        <f t="shared" si="191"/>
        <v>0</v>
      </c>
      <c r="T453">
        <f t="shared" si="192"/>
        <v>0</v>
      </c>
      <c r="U453">
        <f t="shared" si="193"/>
        <v>0</v>
      </c>
      <c r="V453">
        <f t="shared" si="194"/>
        <v>0</v>
      </c>
      <c r="W453">
        <f t="shared" si="195"/>
        <v>0</v>
      </c>
      <c r="X453">
        <f t="shared" si="196"/>
        <v>0</v>
      </c>
      <c r="Y453">
        <f t="shared" si="197"/>
        <v>0</v>
      </c>
      <c r="Z453">
        <f t="shared" si="198"/>
        <v>0</v>
      </c>
      <c r="AA453">
        <f t="shared" si="199"/>
        <v>0</v>
      </c>
      <c r="AB453">
        <f t="shared" si="182"/>
        <v>0</v>
      </c>
      <c r="AC453">
        <f t="shared" si="183"/>
        <v>0</v>
      </c>
      <c r="AD453">
        <f t="shared" si="184"/>
        <v>0</v>
      </c>
      <c r="AE453">
        <f t="shared" si="185"/>
        <v>1</v>
      </c>
      <c r="AF453">
        <f t="shared" si="186"/>
        <v>0</v>
      </c>
      <c r="AG453">
        <f t="shared" si="187"/>
        <v>0</v>
      </c>
      <c r="AH453">
        <f t="shared" si="200"/>
        <v>1</v>
      </c>
      <c r="AI453">
        <f t="shared" si="181"/>
        <v>0</v>
      </c>
      <c r="AJ453">
        <f t="shared" si="181"/>
        <v>0</v>
      </c>
      <c r="AK453">
        <f t="shared" si="181"/>
        <v>0</v>
      </c>
      <c r="AL453">
        <f t="shared" si="181"/>
        <v>0</v>
      </c>
      <c r="AM453">
        <f t="shared" si="181"/>
        <v>0</v>
      </c>
      <c r="AN453">
        <f t="shared" si="181"/>
        <v>0</v>
      </c>
      <c r="AO453">
        <f t="shared" si="181"/>
        <v>0</v>
      </c>
      <c r="AP453">
        <f t="shared" si="181"/>
        <v>0</v>
      </c>
      <c r="AQ453">
        <f t="shared" si="181"/>
        <v>0</v>
      </c>
      <c r="AR453">
        <f t="shared" si="181"/>
        <v>0</v>
      </c>
      <c r="AS453">
        <f t="shared" si="181"/>
        <v>0</v>
      </c>
      <c r="AT453">
        <f t="shared" si="181"/>
        <v>0</v>
      </c>
      <c r="AU453">
        <f t="shared" si="181"/>
        <v>0</v>
      </c>
      <c r="AV453">
        <f t="shared" si="181"/>
        <v>0</v>
      </c>
      <c r="AW453">
        <f t="shared" si="181"/>
        <v>0</v>
      </c>
      <c r="AX453">
        <f t="shared" si="201"/>
        <v>0</v>
      </c>
      <c r="AY453">
        <f t="shared" si="201"/>
        <v>1</v>
      </c>
      <c r="AZ453">
        <f t="shared" si="201"/>
        <v>0</v>
      </c>
      <c r="BA453">
        <f t="shared" si="202"/>
        <v>0</v>
      </c>
      <c r="BB453">
        <f t="shared" si="203"/>
        <v>1</v>
      </c>
    </row>
    <row r="454" spans="1:54">
      <c r="A454">
        <v>451</v>
      </c>
      <c r="B454" t="s">
        <v>20</v>
      </c>
      <c r="C454" t="s">
        <v>29</v>
      </c>
      <c r="D454" t="s">
        <v>25</v>
      </c>
      <c r="E454" t="s">
        <v>30</v>
      </c>
      <c r="F454" t="s">
        <v>28</v>
      </c>
      <c r="G454" t="s">
        <v>26</v>
      </c>
      <c r="H454" s="3">
        <v>0.13375607734846701</v>
      </c>
      <c r="I454" s="3">
        <v>0.13223585573023899</v>
      </c>
      <c r="J454" s="3">
        <v>0.110980253361898</v>
      </c>
      <c r="K454" s="3">
        <v>0.121662484162132</v>
      </c>
      <c r="L454" s="3">
        <v>9.2032551420918304E-2</v>
      </c>
      <c r="M454" s="3">
        <v>7.5078346623412298E-2</v>
      </c>
      <c r="N454" s="3">
        <v>0.146308253173452</v>
      </c>
      <c r="O454" s="3">
        <v>9.1732918534273705E-2</v>
      </c>
      <c r="P454">
        <f t="shared" si="188"/>
        <v>0</v>
      </c>
      <c r="Q454">
        <f t="shared" si="189"/>
        <v>0</v>
      </c>
      <c r="R454">
        <f t="shared" si="190"/>
        <v>0</v>
      </c>
      <c r="S454">
        <f t="shared" si="191"/>
        <v>0</v>
      </c>
      <c r="T454">
        <f t="shared" si="192"/>
        <v>0</v>
      </c>
      <c r="U454">
        <f t="shared" si="193"/>
        <v>0</v>
      </c>
      <c r="V454">
        <f t="shared" si="194"/>
        <v>0</v>
      </c>
      <c r="W454">
        <f t="shared" si="195"/>
        <v>0</v>
      </c>
      <c r="X454">
        <f t="shared" si="196"/>
        <v>0</v>
      </c>
      <c r="Y454">
        <f t="shared" si="197"/>
        <v>0</v>
      </c>
      <c r="Z454">
        <f t="shared" si="198"/>
        <v>0</v>
      </c>
      <c r="AA454">
        <f t="shared" si="199"/>
        <v>0</v>
      </c>
      <c r="AB454">
        <f t="shared" si="182"/>
        <v>0</v>
      </c>
      <c r="AC454">
        <f t="shared" si="183"/>
        <v>0</v>
      </c>
      <c r="AD454">
        <f t="shared" si="184"/>
        <v>0</v>
      </c>
      <c r="AE454">
        <f t="shared" si="185"/>
        <v>1</v>
      </c>
      <c r="AF454">
        <f t="shared" si="186"/>
        <v>0</v>
      </c>
      <c r="AG454">
        <f t="shared" si="187"/>
        <v>0</v>
      </c>
      <c r="AH454">
        <f t="shared" si="200"/>
        <v>1</v>
      </c>
      <c r="AI454">
        <f t="shared" si="181"/>
        <v>1</v>
      </c>
      <c r="AJ454">
        <f t="shared" si="181"/>
        <v>0</v>
      </c>
      <c r="AK454">
        <f t="shared" si="181"/>
        <v>0</v>
      </c>
      <c r="AL454">
        <f t="shared" si="181"/>
        <v>0</v>
      </c>
      <c r="AM454">
        <f t="shared" si="181"/>
        <v>0</v>
      </c>
      <c r="AN454">
        <f t="shared" si="181"/>
        <v>0</v>
      </c>
      <c r="AO454">
        <f t="shared" si="181"/>
        <v>0</v>
      </c>
      <c r="AP454">
        <f t="shared" si="181"/>
        <v>0</v>
      </c>
      <c r="AQ454">
        <f t="shared" si="181"/>
        <v>0</v>
      </c>
      <c r="AR454">
        <f t="shared" si="181"/>
        <v>0</v>
      </c>
      <c r="AS454">
        <f t="shared" si="181"/>
        <v>0</v>
      </c>
      <c r="AT454">
        <f t="shared" si="181"/>
        <v>0</v>
      </c>
      <c r="AU454">
        <f t="shared" si="181"/>
        <v>0</v>
      </c>
      <c r="AV454">
        <f t="shared" si="181"/>
        <v>0</v>
      </c>
      <c r="AW454">
        <f t="shared" si="181"/>
        <v>0</v>
      </c>
      <c r="AX454">
        <f t="shared" si="201"/>
        <v>0</v>
      </c>
      <c r="AY454">
        <f t="shared" si="201"/>
        <v>1</v>
      </c>
      <c r="AZ454">
        <f t="shared" si="201"/>
        <v>0</v>
      </c>
      <c r="BA454">
        <f t="shared" si="202"/>
        <v>1</v>
      </c>
      <c r="BB454">
        <f t="shared" si="203"/>
        <v>1</v>
      </c>
    </row>
    <row r="455" spans="1:54">
      <c r="A455">
        <v>452</v>
      </c>
      <c r="B455" t="s">
        <v>20</v>
      </c>
      <c r="C455" t="s">
        <v>29</v>
      </c>
      <c r="D455" t="s">
        <v>25</v>
      </c>
      <c r="E455" t="s">
        <v>30</v>
      </c>
      <c r="F455" t="s">
        <v>28</v>
      </c>
      <c r="G455" t="s">
        <v>27</v>
      </c>
      <c r="H455" s="3">
        <v>4.9860939361723998E-2</v>
      </c>
      <c r="I455" s="3">
        <v>4.9199845118942903E-2</v>
      </c>
      <c r="J455" s="3">
        <v>4.4768095181105999E-2</v>
      </c>
      <c r="K455" s="3">
        <v>4.6163032820735202E-2</v>
      </c>
      <c r="L455" s="3">
        <v>3.9088000734816199E-2</v>
      </c>
      <c r="M455" s="3">
        <v>3.4610316365525001E-2</v>
      </c>
      <c r="N455" s="3">
        <v>5.3278868537795898E-2</v>
      </c>
      <c r="O455" s="3">
        <v>4.0126261253343599E-2</v>
      </c>
      <c r="P455">
        <f t="shared" si="188"/>
        <v>0</v>
      </c>
      <c r="Q455">
        <f t="shared" si="189"/>
        <v>0</v>
      </c>
      <c r="R455">
        <f t="shared" si="190"/>
        <v>0</v>
      </c>
      <c r="S455">
        <f t="shared" si="191"/>
        <v>1</v>
      </c>
      <c r="T455">
        <f t="shared" si="192"/>
        <v>0</v>
      </c>
      <c r="U455">
        <f t="shared" si="193"/>
        <v>0</v>
      </c>
      <c r="V455">
        <f t="shared" si="194"/>
        <v>0</v>
      </c>
      <c r="W455">
        <f t="shared" si="195"/>
        <v>0</v>
      </c>
      <c r="X455">
        <f t="shared" si="196"/>
        <v>0</v>
      </c>
      <c r="Y455">
        <f t="shared" si="197"/>
        <v>0</v>
      </c>
      <c r="Z455">
        <f t="shared" si="198"/>
        <v>0</v>
      </c>
      <c r="AA455">
        <f t="shared" si="199"/>
        <v>0</v>
      </c>
      <c r="AB455">
        <f t="shared" si="182"/>
        <v>0</v>
      </c>
      <c r="AC455">
        <f t="shared" si="183"/>
        <v>0</v>
      </c>
      <c r="AD455">
        <f t="shared" si="184"/>
        <v>0</v>
      </c>
      <c r="AE455">
        <f t="shared" si="185"/>
        <v>0</v>
      </c>
      <c r="AF455">
        <f t="shared" si="186"/>
        <v>0</v>
      </c>
      <c r="AG455">
        <f t="shared" si="187"/>
        <v>0</v>
      </c>
      <c r="AH455">
        <f t="shared" si="200"/>
        <v>0</v>
      </c>
      <c r="AI455">
        <f t="shared" si="181"/>
        <v>0</v>
      </c>
      <c r="AJ455">
        <f t="shared" si="181"/>
        <v>0</v>
      </c>
      <c r="AK455">
        <f t="shared" si="181"/>
        <v>0</v>
      </c>
      <c r="AL455">
        <f t="shared" si="181"/>
        <v>0</v>
      </c>
      <c r="AM455">
        <f t="shared" si="181"/>
        <v>0</v>
      </c>
      <c r="AN455">
        <f t="shared" si="181"/>
        <v>0</v>
      </c>
      <c r="AO455">
        <f t="shared" si="181"/>
        <v>0</v>
      </c>
      <c r="AP455">
        <f t="shared" si="181"/>
        <v>0</v>
      </c>
      <c r="AQ455">
        <f t="shared" si="181"/>
        <v>1</v>
      </c>
      <c r="AR455">
        <f t="shared" si="181"/>
        <v>0</v>
      </c>
      <c r="AS455">
        <f t="shared" si="181"/>
        <v>0</v>
      </c>
      <c r="AT455">
        <f t="shared" si="181"/>
        <v>0</v>
      </c>
      <c r="AU455">
        <f t="shared" si="181"/>
        <v>0</v>
      </c>
      <c r="AV455">
        <f t="shared" si="181"/>
        <v>0</v>
      </c>
      <c r="AW455">
        <f t="shared" si="181"/>
        <v>0</v>
      </c>
      <c r="AX455">
        <f t="shared" si="201"/>
        <v>0</v>
      </c>
      <c r="AY455">
        <f t="shared" si="201"/>
        <v>1</v>
      </c>
      <c r="AZ455">
        <f t="shared" si="201"/>
        <v>0</v>
      </c>
      <c r="BA455">
        <f t="shared" si="202"/>
        <v>1</v>
      </c>
      <c r="BB455">
        <f t="shared" si="203"/>
        <v>1</v>
      </c>
    </row>
    <row r="456" spans="1:54">
      <c r="A456">
        <v>453</v>
      </c>
      <c r="B456" t="s">
        <v>20</v>
      </c>
      <c r="C456" t="s">
        <v>29</v>
      </c>
      <c r="D456" t="s">
        <v>25</v>
      </c>
      <c r="E456" t="s">
        <v>30</v>
      </c>
      <c r="F456" t="s">
        <v>29</v>
      </c>
      <c r="G456" t="s">
        <v>22</v>
      </c>
      <c r="H456" s="3">
        <v>0.104667828314096</v>
      </c>
      <c r="I456" s="3">
        <v>0.10203488391197101</v>
      </c>
      <c r="J456" s="3">
        <v>8.7306286690133794E-2</v>
      </c>
      <c r="K456" s="3">
        <v>9.3090764552500899E-2</v>
      </c>
      <c r="L456" s="3">
        <v>7.1469591319538506E-2</v>
      </c>
      <c r="M456" s="3">
        <v>5.7737946027874701E-2</v>
      </c>
      <c r="N456" s="3">
        <v>0.114068608073088</v>
      </c>
      <c r="O456" s="3">
        <v>7.3366444607862E-2</v>
      </c>
      <c r="P456">
        <f t="shared" si="188"/>
        <v>0</v>
      </c>
      <c r="Q456">
        <f t="shared" si="189"/>
        <v>0</v>
      </c>
      <c r="R456">
        <f t="shared" si="190"/>
        <v>0</v>
      </c>
      <c r="S456">
        <f t="shared" si="191"/>
        <v>0</v>
      </c>
      <c r="T456">
        <f t="shared" si="192"/>
        <v>0</v>
      </c>
      <c r="U456">
        <f t="shared" si="193"/>
        <v>0</v>
      </c>
      <c r="V456">
        <f t="shared" si="194"/>
        <v>0</v>
      </c>
      <c r="W456">
        <f t="shared" si="195"/>
        <v>0</v>
      </c>
      <c r="X456">
        <f t="shared" si="196"/>
        <v>1</v>
      </c>
      <c r="Y456">
        <f t="shared" si="197"/>
        <v>0</v>
      </c>
      <c r="Z456">
        <f t="shared" si="198"/>
        <v>0</v>
      </c>
      <c r="AA456">
        <f t="shared" si="199"/>
        <v>0</v>
      </c>
      <c r="AB456">
        <f t="shared" si="182"/>
        <v>0</v>
      </c>
      <c r="AC456">
        <f t="shared" si="183"/>
        <v>0</v>
      </c>
      <c r="AD456">
        <f t="shared" si="184"/>
        <v>0</v>
      </c>
      <c r="AE456">
        <f t="shared" si="185"/>
        <v>0</v>
      </c>
      <c r="AF456">
        <f t="shared" si="186"/>
        <v>1</v>
      </c>
      <c r="AG456">
        <f t="shared" si="187"/>
        <v>0</v>
      </c>
      <c r="AH456">
        <f t="shared" si="200"/>
        <v>0</v>
      </c>
      <c r="AI456">
        <f t="shared" si="181"/>
        <v>0</v>
      </c>
      <c r="AJ456">
        <f t="shared" si="181"/>
        <v>0</v>
      </c>
      <c r="AK456">
        <f t="shared" si="181"/>
        <v>0</v>
      </c>
      <c r="AL456">
        <f t="shared" si="181"/>
        <v>0</v>
      </c>
      <c r="AM456">
        <f t="shared" si="181"/>
        <v>0</v>
      </c>
      <c r="AN456">
        <f t="shared" si="181"/>
        <v>1</v>
      </c>
      <c r="AO456">
        <f t="shared" si="181"/>
        <v>0</v>
      </c>
      <c r="AP456">
        <f t="shared" si="181"/>
        <v>0</v>
      </c>
      <c r="AQ456">
        <f t="shared" si="181"/>
        <v>0</v>
      </c>
      <c r="AR456">
        <f t="shared" si="181"/>
        <v>0</v>
      </c>
      <c r="AS456">
        <f t="shared" si="181"/>
        <v>0</v>
      </c>
      <c r="AT456">
        <f t="shared" si="181"/>
        <v>0</v>
      </c>
      <c r="AU456">
        <f t="shared" si="181"/>
        <v>0</v>
      </c>
      <c r="AV456">
        <f t="shared" si="181"/>
        <v>0</v>
      </c>
      <c r="AW456">
        <f t="shared" si="181"/>
        <v>0</v>
      </c>
      <c r="AX456">
        <f t="shared" si="201"/>
        <v>0</v>
      </c>
      <c r="AY456">
        <f t="shared" si="201"/>
        <v>0</v>
      </c>
      <c r="AZ456">
        <f t="shared" si="201"/>
        <v>0</v>
      </c>
      <c r="BA456">
        <f t="shared" si="202"/>
        <v>1</v>
      </c>
      <c r="BB456">
        <f t="shared" si="203"/>
        <v>1</v>
      </c>
    </row>
    <row r="457" spans="1:54">
      <c r="A457">
        <v>454</v>
      </c>
      <c r="B457" t="s">
        <v>20</v>
      </c>
      <c r="C457" t="s">
        <v>29</v>
      </c>
      <c r="D457" t="s">
        <v>25</v>
      </c>
      <c r="E457" t="s">
        <v>30</v>
      </c>
      <c r="F457" t="s">
        <v>29</v>
      </c>
      <c r="G457" t="s">
        <v>23</v>
      </c>
      <c r="H457" s="3">
        <v>4.35882402536666E-3</v>
      </c>
      <c r="I457" s="3">
        <v>4.2479832359335898E-3</v>
      </c>
      <c r="J457" s="3">
        <v>3.7617702042947601E-3</v>
      </c>
      <c r="K457" s="3">
        <v>3.9034802572462E-3</v>
      </c>
      <c r="L457" s="3">
        <v>2.89659349013965E-3</v>
      </c>
      <c r="M457" s="3">
        <v>2.32905333766993E-3</v>
      </c>
      <c r="N457" s="3">
        <v>4.6997847762111798E-3</v>
      </c>
      <c r="O457" s="3">
        <v>3.1462726044739599E-3</v>
      </c>
      <c r="P457">
        <f t="shared" si="188"/>
        <v>0</v>
      </c>
      <c r="Q457">
        <f t="shared" si="189"/>
        <v>0</v>
      </c>
      <c r="R457">
        <f t="shared" si="190"/>
        <v>0</v>
      </c>
      <c r="S457">
        <f t="shared" si="191"/>
        <v>0</v>
      </c>
      <c r="T457">
        <f t="shared" si="192"/>
        <v>0</v>
      </c>
      <c r="U457">
        <f t="shared" si="193"/>
        <v>0</v>
      </c>
      <c r="V457">
        <f t="shared" si="194"/>
        <v>0</v>
      </c>
      <c r="W457">
        <f t="shared" si="195"/>
        <v>0</v>
      </c>
      <c r="X457">
        <f t="shared" si="196"/>
        <v>0</v>
      </c>
      <c r="Y457">
        <f t="shared" si="197"/>
        <v>1</v>
      </c>
      <c r="Z457">
        <f t="shared" si="198"/>
        <v>0</v>
      </c>
      <c r="AA457">
        <f t="shared" si="199"/>
        <v>0</v>
      </c>
      <c r="AB457">
        <f t="shared" si="182"/>
        <v>0</v>
      </c>
      <c r="AC457">
        <f t="shared" si="183"/>
        <v>0</v>
      </c>
      <c r="AD457">
        <f t="shared" si="184"/>
        <v>0</v>
      </c>
      <c r="AE457">
        <f t="shared" si="185"/>
        <v>0</v>
      </c>
      <c r="AF457">
        <f t="shared" si="186"/>
        <v>1</v>
      </c>
      <c r="AG457">
        <f t="shared" si="187"/>
        <v>0</v>
      </c>
      <c r="AH457">
        <f t="shared" si="200"/>
        <v>0</v>
      </c>
      <c r="AI457">
        <f t="shared" si="181"/>
        <v>0</v>
      </c>
      <c r="AJ457">
        <f t="shared" si="181"/>
        <v>0</v>
      </c>
      <c r="AK457">
        <f t="shared" si="181"/>
        <v>0</v>
      </c>
      <c r="AL457">
        <f t="shared" si="181"/>
        <v>0</v>
      </c>
      <c r="AM457">
        <f t="shared" si="181"/>
        <v>0</v>
      </c>
      <c r="AN457">
        <f t="shared" si="181"/>
        <v>0</v>
      </c>
      <c r="AO457">
        <f t="shared" si="181"/>
        <v>1</v>
      </c>
      <c r="AP457">
        <f t="shared" si="181"/>
        <v>0</v>
      </c>
      <c r="AQ457">
        <f t="shared" si="181"/>
        <v>0</v>
      </c>
      <c r="AR457">
        <f t="shared" si="181"/>
        <v>0</v>
      </c>
      <c r="AS457">
        <f t="shared" si="181"/>
        <v>0</v>
      </c>
      <c r="AT457">
        <f t="shared" si="181"/>
        <v>0</v>
      </c>
      <c r="AU457">
        <f t="shared" si="181"/>
        <v>0</v>
      </c>
      <c r="AV457">
        <f t="shared" si="181"/>
        <v>0</v>
      </c>
      <c r="AW457">
        <f t="shared" si="181"/>
        <v>0</v>
      </c>
      <c r="AX457">
        <f t="shared" si="201"/>
        <v>0</v>
      </c>
      <c r="AY457">
        <f t="shared" si="201"/>
        <v>0</v>
      </c>
      <c r="AZ457">
        <f t="shared" si="201"/>
        <v>0</v>
      </c>
      <c r="BA457">
        <f t="shared" si="202"/>
        <v>1</v>
      </c>
      <c r="BB457">
        <f t="shared" si="203"/>
        <v>1</v>
      </c>
    </row>
    <row r="458" spans="1:54">
      <c r="A458">
        <v>455</v>
      </c>
      <c r="B458" t="s">
        <v>20</v>
      </c>
      <c r="C458" t="s">
        <v>29</v>
      </c>
      <c r="D458" t="s">
        <v>25</v>
      </c>
      <c r="E458" t="s">
        <v>30</v>
      </c>
      <c r="F458" t="s">
        <v>29</v>
      </c>
      <c r="G458" t="s">
        <v>24</v>
      </c>
      <c r="H458" s="3">
        <v>6.9521516387363494E-2</v>
      </c>
      <c r="I458" s="3">
        <v>6.7948188837455195E-2</v>
      </c>
      <c r="J458" s="3">
        <v>5.59259261229108E-2</v>
      </c>
      <c r="K458" s="3">
        <v>6.1536411968345903E-2</v>
      </c>
      <c r="L458" s="3">
        <v>3.9939461442417799E-2</v>
      </c>
      <c r="M458" s="3">
        <v>3.0587456909834599E-2</v>
      </c>
      <c r="N458" s="3">
        <v>7.6382483418983599E-2</v>
      </c>
      <c r="O458" s="3">
        <v>4.32089129383239E-2</v>
      </c>
      <c r="P458">
        <f t="shared" si="188"/>
        <v>0</v>
      </c>
      <c r="Q458">
        <f t="shared" si="189"/>
        <v>0</v>
      </c>
      <c r="R458">
        <f t="shared" si="190"/>
        <v>0</v>
      </c>
      <c r="S458">
        <f t="shared" si="191"/>
        <v>0</v>
      </c>
      <c r="T458">
        <f t="shared" si="192"/>
        <v>0</v>
      </c>
      <c r="U458">
        <f t="shared" si="193"/>
        <v>0</v>
      </c>
      <c r="V458">
        <f t="shared" si="194"/>
        <v>0</v>
      </c>
      <c r="W458">
        <f t="shared" si="195"/>
        <v>0</v>
      </c>
      <c r="X458">
        <f t="shared" si="196"/>
        <v>0</v>
      </c>
      <c r="Y458">
        <f t="shared" si="197"/>
        <v>0</v>
      </c>
      <c r="Z458">
        <f t="shared" si="198"/>
        <v>0</v>
      </c>
      <c r="AA458">
        <f t="shared" si="199"/>
        <v>1</v>
      </c>
      <c r="AB458">
        <f t="shared" si="182"/>
        <v>0</v>
      </c>
      <c r="AC458">
        <f t="shared" si="183"/>
        <v>0</v>
      </c>
      <c r="AD458">
        <f t="shared" si="184"/>
        <v>0</v>
      </c>
      <c r="AE458">
        <f t="shared" si="185"/>
        <v>0</v>
      </c>
      <c r="AF458">
        <f t="shared" si="186"/>
        <v>1</v>
      </c>
      <c r="AG458">
        <f t="shared" si="187"/>
        <v>0</v>
      </c>
      <c r="AH458">
        <f t="shared" si="200"/>
        <v>0</v>
      </c>
      <c r="AI458">
        <f t="shared" si="181"/>
        <v>0</v>
      </c>
      <c r="AJ458">
        <f t="shared" si="181"/>
        <v>0</v>
      </c>
      <c r="AK458">
        <f t="shared" si="181"/>
        <v>0</v>
      </c>
      <c r="AL458">
        <f t="shared" si="181"/>
        <v>0</v>
      </c>
      <c r="AM458">
        <f t="shared" si="181"/>
        <v>0</v>
      </c>
      <c r="AN458">
        <f t="shared" si="181"/>
        <v>0</v>
      </c>
      <c r="AO458">
        <f t="shared" si="181"/>
        <v>0</v>
      </c>
      <c r="AP458">
        <f t="shared" si="181"/>
        <v>1</v>
      </c>
      <c r="AQ458">
        <f t="shared" si="181"/>
        <v>0</v>
      </c>
      <c r="AR458">
        <f t="shared" si="181"/>
        <v>0</v>
      </c>
      <c r="AS458">
        <f t="shared" si="181"/>
        <v>0</v>
      </c>
      <c r="AT458">
        <f t="shared" si="181"/>
        <v>0</v>
      </c>
      <c r="AU458">
        <f t="shared" si="181"/>
        <v>0</v>
      </c>
      <c r="AV458">
        <f t="shared" si="181"/>
        <v>0</v>
      </c>
      <c r="AW458">
        <f t="shared" si="181"/>
        <v>0</v>
      </c>
      <c r="AX458">
        <f t="shared" si="201"/>
        <v>0</v>
      </c>
      <c r="AY458">
        <f t="shared" si="201"/>
        <v>0</v>
      </c>
      <c r="AZ458">
        <f t="shared" si="201"/>
        <v>0</v>
      </c>
      <c r="BA458">
        <f t="shared" si="202"/>
        <v>1</v>
      </c>
      <c r="BB458">
        <f t="shared" si="203"/>
        <v>1</v>
      </c>
    </row>
    <row r="459" spans="1:54">
      <c r="A459">
        <v>456</v>
      </c>
      <c r="B459" t="s">
        <v>20</v>
      </c>
      <c r="C459" t="s">
        <v>29</v>
      </c>
      <c r="D459" t="s">
        <v>25</v>
      </c>
      <c r="E459" t="s">
        <v>30</v>
      </c>
      <c r="F459" t="s">
        <v>29</v>
      </c>
      <c r="G459" t="s">
        <v>31</v>
      </c>
      <c r="H459" s="3">
        <v>5.4479316247226404E-3</v>
      </c>
      <c r="I459" s="3">
        <v>5.23922125979049E-3</v>
      </c>
      <c r="J459" s="3">
        <v>4.8760552398211896E-3</v>
      </c>
      <c r="K459" s="3">
        <v>4.8921999503069996E-3</v>
      </c>
      <c r="L459" s="3">
        <v>3.9846189586443901E-3</v>
      </c>
      <c r="M459" s="3">
        <v>3.3969755491589401E-3</v>
      </c>
      <c r="N459" s="3">
        <v>5.7100188869855396E-3</v>
      </c>
      <c r="O459" s="3">
        <v>4.2573983676664796E-3</v>
      </c>
      <c r="P459">
        <f t="shared" si="188"/>
        <v>0</v>
      </c>
      <c r="Q459">
        <f t="shared" si="189"/>
        <v>0</v>
      </c>
      <c r="R459">
        <f t="shared" si="190"/>
        <v>0</v>
      </c>
      <c r="S459">
        <f t="shared" si="191"/>
        <v>0</v>
      </c>
      <c r="T459">
        <f t="shared" si="192"/>
        <v>0</v>
      </c>
      <c r="U459">
        <f t="shared" si="193"/>
        <v>0</v>
      </c>
      <c r="V459">
        <f t="shared" si="194"/>
        <v>0</v>
      </c>
      <c r="W459">
        <f t="shared" si="195"/>
        <v>0</v>
      </c>
      <c r="X459">
        <f t="shared" si="196"/>
        <v>0</v>
      </c>
      <c r="Y459">
        <f t="shared" si="197"/>
        <v>0</v>
      </c>
      <c r="Z459">
        <f t="shared" si="198"/>
        <v>1</v>
      </c>
      <c r="AA459">
        <f t="shared" si="199"/>
        <v>0</v>
      </c>
      <c r="AB459">
        <f t="shared" si="182"/>
        <v>0</v>
      </c>
      <c r="AC459">
        <f t="shared" si="183"/>
        <v>0</v>
      </c>
      <c r="AD459">
        <f t="shared" si="184"/>
        <v>0</v>
      </c>
      <c r="AE459">
        <f t="shared" si="185"/>
        <v>0</v>
      </c>
      <c r="AF459">
        <f t="shared" si="186"/>
        <v>1</v>
      </c>
      <c r="AG459">
        <f t="shared" si="187"/>
        <v>0</v>
      </c>
      <c r="AH459">
        <f t="shared" si="200"/>
        <v>0</v>
      </c>
      <c r="AI459">
        <f t="shared" si="181"/>
        <v>0</v>
      </c>
      <c r="AJ459">
        <f t="shared" si="181"/>
        <v>0</v>
      </c>
      <c r="AK459">
        <f t="shared" si="181"/>
        <v>0</v>
      </c>
      <c r="AL459">
        <f t="shared" si="181"/>
        <v>0</v>
      </c>
      <c r="AM459">
        <f t="shared" si="181"/>
        <v>0</v>
      </c>
      <c r="AN459">
        <f t="shared" si="181"/>
        <v>0</v>
      </c>
      <c r="AO459">
        <f t="shared" si="181"/>
        <v>0</v>
      </c>
      <c r="AP459">
        <f t="shared" si="181"/>
        <v>0</v>
      </c>
      <c r="AQ459">
        <f t="shared" si="181"/>
        <v>0</v>
      </c>
      <c r="AR459">
        <f t="shared" si="181"/>
        <v>0</v>
      </c>
      <c r="AS459">
        <f t="shared" si="181"/>
        <v>0</v>
      </c>
      <c r="AT459">
        <f t="shared" si="181"/>
        <v>0</v>
      </c>
      <c r="AU459">
        <f t="shared" si="181"/>
        <v>0</v>
      </c>
      <c r="AV459">
        <f t="shared" si="181"/>
        <v>0</v>
      </c>
      <c r="AW459">
        <f t="shared" si="181"/>
        <v>0</v>
      </c>
      <c r="AX459">
        <f t="shared" si="201"/>
        <v>0</v>
      </c>
      <c r="AY459">
        <f t="shared" si="201"/>
        <v>0</v>
      </c>
      <c r="AZ459">
        <f t="shared" si="201"/>
        <v>0</v>
      </c>
      <c r="BA459">
        <f t="shared" si="202"/>
        <v>0</v>
      </c>
      <c r="BB459">
        <f t="shared" si="203"/>
        <v>1</v>
      </c>
    </row>
    <row r="460" spans="1:54">
      <c r="A460">
        <v>457</v>
      </c>
      <c r="B460" t="s">
        <v>20</v>
      </c>
      <c r="C460" t="s">
        <v>29</v>
      </c>
      <c r="D460" t="s">
        <v>25</v>
      </c>
      <c r="E460" t="s">
        <v>30</v>
      </c>
      <c r="F460" t="s">
        <v>29</v>
      </c>
      <c r="G460" t="s">
        <v>25</v>
      </c>
      <c r="H460" s="3">
        <v>0.84572086923547096</v>
      </c>
      <c r="I460" s="3">
        <v>0.83369717061292603</v>
      </c>
      <c r="J460" s="3">
        <v>0.79606898738503196</v>
      </c>
      <c r="K460" s="3">
        <v>0.803578402855742</v>
      </c>
      <c r="L460" s="3">
        <v>0.78859599364270605</v>
      </c>
      <c r="M460" s="3">
        <v>0.74205192209876003</v>
      </c>
      <c r="N460" s="3">
        <v>0.87499450959722402</v>
      </c>
      <c r="O460" s="3">
        <v>0.77557065210420495</v>
      </c>
      <c r="P460">
        <f t="shared" si="188"/>
        <v>0</v>
      </c>
      <c r="Q460">
        <f t="shared" si="189"/>
        <v>0</v>
      </c>
      <c r="R460">
        <f t="shared" si="190"/>
        <v>0</v>
      </c>
      <c r="S460">
        <f t="shared" si="191"/>
        <v>0</v>
      </c>
      <c r="T460">
        <f t="shared" si="192"/>
        <v>0</v>
      </c>
      <c r="U460">
        <f t="shared" si="193"/>
        <v>0</v>
      </c>
      <c r="V460">
        <f t="shared" si="194"/>
        <v>0</v>
      </c>
      <c r="W460">
        <f t="shared" si="195"/>
        <v>0</v>
      </c>
      <c r="X460">
        <f t="shared" si="196"/>
        <v>0</v>
      </c>
      <c r="Y460">
        <f t="shared" si="197"/>
        <v>0</v>
      </c>
      <c r="Z460">
        <f t="shared" si="198"/>
        <v>0</v>
      </c>
      <c r="AA460">
        <f t="shared" si="199"/>
        <v>0</v>
      </c>
      <c r="AB460">
        <f t="shared" si="182"/>
        <v>0</v>
      </c>
      <c r="AC460">
        <f t="shared" si="183"/>
        <v>0</v>
      </c>
      <c r="AD460">
        <f t="shared" si="184"/>
        <v>0</v>
      </c>
      <c r="AE460">
        <f t="shared" si="185"/>
        <v>1</v>
      </c>
      <c r="AF460">
        <f t="shared" si="186"/>
        <v>1</v>
      </c>
      <c r="AG460">
        <f t="shared" si="187"/>
        <v>0</v>
      </c>
      <c r="AH460">
        <f t="shared" si="200"/>
        <v>1</v>
      </c>
      <c r="AI460">
        <f t="shared" ref="AI460:AW476" si="204">IF(OR(AND($D460=AI$1,$G460=AI$2),AND($D460=AI$2,$G460=AI$1)),1,0)</f>
        <v>0</v>
      </c>
      <c r="AJ460">
        <f t="shared" si="204"/>
        <v>0</v>
      </c>
      <c r="AK460">
        <f t="shared" si="204"/>
        <v>0</v>
      </c>
      <c r="AL460">
        <f t="shared" si="204"/>
        <v>0</v>
      </c>
      <c r="AM460">
        <f t="shared" si="204"/>
        <v>0</v>
      </c>
      <c r="AN460">
        <f t="shared" si="204"/>
        <v>0</v>
      </c>
      <c r="AO460">
        <f t="shared" si="204"/>
        <v>0</v>
      </c>
      <c r="AP460">
        <f t="shared" si="204"/>
        <v>0</v>
      </c>
      <c r="AQ460">
        <f t="shared" si="204"/>
        <v>0</v>
      </c>
      <c r="AR460">
        <f t="shared" si="204"/>
        <v>0</v>
      </c>
      <c r="AS460">
        <f t="shared" si="204"/>
        <v>0</v>
      </c>
      <c r="AT460">
        <f t="shared" si="204"/>
        <v>0</v>
      </c>
      <c r="AU460">
        <f t="shared" si="204"/>
        <v>0</v>
      </c>
      <c r="AV460">
        <f t="shared" si="204"/>
        <v>0</v>
      </c>
      <c r="AW460">
        <f t="shared" si="204"/>
        <v>0</v>
      </c>
      <c r="AX460">
        <f t="shared" si="201"/>
        <v>0</v>
      </c>
      <c r="AY460">
        <f t="shared" si="201"/>
        <v>0</v>
      </c>
      <c r="AZ460">
        <f t="shared" si="201"/>
        <v>0</v>
      </c>
      <c r="BA460">
        <f t="shared" si="202"/>
        <v>0</v>
      </c>
      <c r="BB460">
        <f t="shared" si="203"/>
        <v>1</v>
      </c>
    </row>
    <row r="461" spans="1:54">
      <c r="A461">
        <v>458</v>
      </c>
      <c r="B461" t="s">
        <v>20</v>
      </c>
      <c r="C461" t="s">
        <v>29</v>
      </c>
      <c r="D461" t="s">
        <v>25</v>
      </c>
      <c r="E461" t="s">
        <v>30</v>
      </c>
      <c r="F461" t="s">
        <v>29</v>
      </c>
      <c r="G461" t="s">
        <v>26</v>
      </c>
      <c r="H461" s="3">
        <v>0.82733175414464499</v>
      </c>
      <c r="I461" s="3">
        <v>0.81598953698405197</v>
      </c>
      <c r="J461" s="3">
        <v>0.77851740482198495</v>
      </c>
      <c r="K461" s="3">
        <v>0.78693287637679199</v>
      </c>
      <c r="L461" s="3">
        <v>0.76950756160603095</v>
      </c>
      <c r="M461" s="3">
        <v>0.72352367651226102</v>
      </c>
      <c r="N461" s="3">
        <v>0.85562436860367996</v>
      </c>
      <c r="O461" s="3">
        <v>0.75781964281666403</v>
      </c>
      <c r="P461">
        <f t="shared" si="188"/>
        <v>0</v>
      </c>
      <c r="Q461">
        <f t="shared" si="189"/>
        <v>0</v>
      </c>
      <c r="R461">
        <f t="shared" si="190"/>
        <v>0</v>
      </c>
      <c r="S461">
        <f t="shared" si="191"/>
        <v>0</v>
      </c>
      <c r="T461">
        <f t="shared" si="192"/>
        <v>0</v>
      </c>
      <c r="U461">
        <f t="shared" si="193"/>
        <v>0</v>
      </c>
      <c r="V461">
        <f t="shared" si="194"/>
        <v>0</v>
      </c>
      <c r="W461">
        <f t="shared" si="195"/>
        <v>0</v>
      </c>
      <c r="X461">
        <f t="shared" si="196"/>
        <v>0</v>
      </c>
      <c r="Y461">
        <f t="shared" si="197"/>
        <v>0</v>
      </c>
      <c r="Z461">
        <f t="shared" si="198"/>
        <v>0</v>
      </c>
      <c r="AA461">
        <f t="shared" si="199"/>
        <v>0</v>
      </c>
      <c r="AB461">
        <f t="shared" si="182"/>
        <v>0</v>
      </c>
      <c r="AC461">
        <f t="shared" si="183"/>
        <v>0</v>
      </c>
      <c r="AD461">
        <f t="shared" si="184"/>
        <v>0</v>
      </c>
      <c r="AE461">
        <f t="shared" si="185"/>
        <v>1</v>
      </c>
      <c r="AF461">
        <f t="shared" si="186"/>
        <v>1</v>
      </c>
      <c r="AG461">
        <f t="shared" si="187"/>
        <v>0</v>
      </c>
      <c r="AH461">
        <f t="shared" si="200"/>
        <v>1</v>
      </c>
      <c r="AI461">
        <f t="shared" si="204"/>
        <v>1</v>
      </c>
      <c r="AJ461">
        <f t="shared" si="204"/>
        <v>0</v>
      </c>
      <c r="AK461">
        <f t="shared" si="204"/>
        <v>0</v>
      </c>
      <c r="AL461">
        <f t="shared" si="204"/>
        <v>0</v>
      </c>
      <c r="AM461">
        <f t="shared" si="204"/>
        <v>0</v>
      </c>
      <c r="AN461">
        <f t="shared" si="204"/>
        <v>0</v>
      </c>
      <c r="AO461">
        <f t="shared" si="204"/>
        <v>0</v>
      </c>
      <c r="AP461">
        <f t="shared" si="204"/>
        <v>0</v>
      </c>
      <c r="AQ461">
        <f t="shared" si="204"/>
        <v>0</v>
      </c>
      <c r="AR461">
        <f t="shared" si="204"/>
        <v>0</v>
      </c>
      <c r="AS461">
        <f t="shared" si="204"/>
        <v>0</v>
      </c>
      <c r="AT461">
        <f t="shared" si="204"/>
        <v>0</v>
      </c>
      <c r="AU461">
        <f t="shared" si="204"/>
        <v>0</v>
      </c>
      <c r="AV461">
        <f t="shared" si="204"/>
        <v>0</v>
      </c>
      <c r="AW461">
        <f t="shared" si="204"/>
        <v>0</v>
      </c>
      <c r="AX461">
        <f t="shared" si="201"/>
        <v>0</v>
      </c>
      <c r="AY461">
        <f t="shared" si="201"/>
        <v>0</v>
      </c>
      <c r="AZ461">
        <f t="shared" si="201"/>
        <v>0</v>
      </c>
      <c r="BA461">
        <f t="shared" si="202"/>
        <v>1</v>
      </c>
      <c r="BB461">
        <f t="shared" si="203"/>
        <v>1</v>
      </c>
    </row>
    <row r="462" spans="1:54">
      <c r="A462">
        <v>459</v>
      </c>
      <c r="B462" t="s">
        <v>20</v>
      </c>
      <c r="C462" t="s">
        <v>29</v>
      </c>
      <c r="D462" t="s">
        <v>26</v>
      </c>
      <c r="E462" t="s">
        <v>30</v>
      </c>
      <c r="F462" t="s">
        <v>21</v>
      </c>
      <c r="G462" t="s">
        <v>22</v>
      </c>
      <c r="H462" s="3">
        <v>2.6883915949610102E-3</v>
      </c>
      <c r="I462" s="3">
        <v>2.6137267622014801E-3</v>
      </c>
      <c r="J462" s="3">
        <v>2.3138216879564299E-3</v>
      </c>
      <c r="K462" s="3">
        <v>2.40787690206523E-3</v>
      </c>
      <c r="L462" s="3">
        <v>1.7829891587086901E-3</v>
      </c>
      <c r="M462" s="3">
        <v>1.42667968567609E-3</v>
      </c>
      <c r="N462" s="3">
        <v>2.87873335732277E-3</v>
      </c>
      <c r="O462" s="3">
        <v>1.92061343852312E-3</v>
      </c>
      <c r="P462">
        <f t="shared" si="188"/>
        <v>0</v>
      </c>
      <c r="Q462">
        <f t="shared" si="189"/>
        <v>0</v>
      </c>
      <c r="R462">
        <f t="shared" si="190"/>
        <v>0</v>
      </c>
      <c r="S462">
        <f t="shared" si="191"/>
        <v>0</v>
      </c>
      <c r="T462">
        <f t="shared" si="192"/>
        <v>1</v>
      </c>
      <c r="U462">
        <f t="shared" si="193"/>
        <v>0</v>
      </c>
      <c r="V462">
        <f t="shared" si="194"/>
        <v>0</v>
      </c>
      <c r="W462">
        <f t="shared" si="195"/>
        <v>0</v>
      </c>
      <c r="X462">
        <f t="shared" si="196"/>
        <v>0</v>
      </c>
      <c r="Y462">
        <f t="shared" si="197"/>
        <v>0</v>
      </c>
      <c r="Z462">
        <f t="shared" si="198"/>
        <v>0</v>
      </c>
      <c r="AA462">
        <f t="shared" si="199"/>
        <v>0</v>
      </c>
      <c r="AB462">
        <f t="shared" si="182"/>
        <v>0</v>
      </c>
      <c r="AC462">
        <f t="shared" si="183"/>
        <v>0</v>
      </c>
      <c r="AD462">
        <f t="shared" si="184"/>
        <v>0</v>
      </c>
      <c r="AE462">
        <f t="shared" si="185"/>
        <v>0</v>
      </c>
      <c r="AF462">
        <f t="shared" si="186"/>
        <v>0</v>
      </c>
      <c r="AG462">
        <f t="shared" si="187"/>
        <v>0</v>
      </c>
      <c r="AH462">
        <f t="shared" si="200"/>
        <v>0</v>
      </c>
      <c r="AI462">
        <f t="shared" si="204"/>
        <v>0</v>
      </c>
      <c r="AJ462">
        <f t="shared" si="204"/>
        <v>1</v>
      </c>
      <c r="AK462">
        <f t="shared" si="204"/>
        <v>0</v>
      </c>
      <c r="AL462">
        <f t="shared" si="204"/>
        <v>0</v>
      </c>
      <c r="AM462">
        <f t="shared" si="204"/>
        <v>0</v>
      </c>
      <c r="AN462">
        <f t="shared" si="204"/>
        <v>0</v>
      </c>
      <c r="AO462">
        <f t="shared" si="204"/>
        <v>0</v>
      </c>
      <c r="AP462">
        <f t="shared" si="204"/>
        <v>0</v>
      </c>
      <c r="AQ462">
        <f t="shared" si="204"/>
        <v>0</v>
      </c>
      <c r="AR462">
        <f t="shared" si="204"/>
        <v>0</v>
      </c>
      <c r="AS462">
        <f t="shared" si="204"/>
        <v>0</v>
      </c>
      <c r="AT462">
        <f t="shared" si="204"/>
        <v>0</v>
      </c>
      <c r="AU462">
        <f t="shared" si="204"/>
        <v>0</v>
      </c>
      <c r="AV462">
        <f t="shared" si="204"/>
        <v>0</v>
      </c>
      <c r="AW462">
        <f t="shared" si="204"/>
        <v>0</v>
      </c>
      <c r="AX462">
        <f t="shared" si="201"/>
        <v>0</v>
      </c>
      <c r="AY462">
        <f t="shared" si="201"/>
        <v>0</v>
      </c>
      <c r="AZ462">
        <f t="shared" si="201"/>
        <v>1</v>
      </c>
      <c r="BA462">
        <f t="shared" si="202"/>
        <v>1</v>
      </c>
      <c r="BB462">
        <f t="shared" si="203"/>
        <v>1</v>
      </c>
    </row>
    <row r="463" spans="1:54">
      <c r="A463">
        <v>460</v>
      </c>
      <c r="B463" t="s">
        <v>20</v>
      </c>
      <c r="C463" t="s">
        <v>29</v>
      </c>
      <c r="D463" t="s">
        <v>26</v>
      </c>
      <c r="E463" t="s">
        <v>30</v>
      </c>
      <c r="F463" t="s">
        <v>21</v>
      </c>
      <c r="G463" t="s">
        <v>23</v>
      </c>
      <c r="H463" s="3">
        <v>2.8807540151541198E-3</v>
      </c>
      <c r="I463" s="3">
        <v>2.7787046240733901E-3</v>
      </c>
      <c r="J463" s="3">
        <v>2.44374352954785E-3</v>
      </c>
      <c r="K463" s="3">
        <v>2.5301491703582598E-3</v>
      </c>
      <c r="L463" s="3">
        <v>1.8323189587708599E-3</v>
      </c>
      <c r="M463" s="3">
        <v>1.4361605821182201E-3</v>
      </c>
      <c r="N463" s="3">
        <v>3.1036344008636202E-3</v>
      </c>
      <c r="O463" s="3">
        <v>1.9735495419482998E-3</v>
      </c>
      <c r="P463">
        <f t="shared" si="188"/>
        <v>0</v>
      </c>
      <c r="Q463">
        <f t="shared" si="189"/>
        <v>0</v>
      </c>
      <c r="R463">
        <f t="shared" si="190"/>
        <v>0</v>
      </c>
      <c r="S463">
        <f t="shared" si="191"/>
        <v>0</v>
      </c>
      <c r="T463">
        <f t="shared" si="192"/>
        <v>0</v>
      </c>
      <c r="U463">
        <f t="shared" si="193"/>
        <v>1</v>
      </c>
      <c r="V463">
        <f t="shared" si="194"/>
        <v>0</v>
      </c>
      <c r="W463">
        <f t="shared" si="195"/>
        <v>0</v>
      </c>
      <c r="X463">
        <f t="shared" si="196"/>
        <v>0</v>
      </c>
      <c r="Y463">
        <f t="shared" si="197"/>
        <v>0</v>
      </c>
      <c r="Z463">
        <f t="shared" si="198"/>
        <v>0</v>
      </c>
      <c r="AA463">
        <f t="shared" si="199"/>
        <v>0</v>
      </c>
      <c r="AB463">
        <f t="shared" si="182"/>
        <v>0</v>
      </c>
      <c r="AC463">
        <f t="shared" si="183"/>
        <v>0</v>
      </c>
      <c r="AD463">
        <f t="shared" si="184"/>
        <v>0</v>
      </c>
      <c r="AE463">
        <f t="shared" si="185"/>
        <v>0</v>
      </c>
      <c r="AF463">
        <f t="shared" si="186"/>
        <v>0</v>
      </c>
      <c r="AG463">
        <f t="shared" si="187"/>
        <v>0</v>
      </c>
      <c r="AH463">
        <f t="shared" si="200"/>
        <v>0</v>
      </c>
      <c r="AI463">
        <f t="shared" si="204"/>
        <v>0</v>
      </c>
      <c r="AJ463">
        <f t="shared" si="204"/>
        <v>0</v>
      </c>
      <c r="AK463">
        <f t="shared" si="204"/>
        <v>1</v>
      </c>
      <c r="AL463">
        <f t="shared" si="204"/>
        <v>0</v>
      </c>
      <c r="AM463">
        <f t="shared" si="204"/>
        <v>0</v>
      </c>
      <c r="AN463">
        <f t="shared" si="204"/>
        <v>0</v>
      </c>
      <c r="AO463">
        <f t="shared" si="204"/>
        <v>0</v>
      </c>
      <c r="AP463">
        <f t="shared" si="204"/>
        <v>0</v>
      </c>
      <c r="AQ463">
        <f t="shared" si="204"/>
        <v>0</v>
      </c>
      <c r="AR463">
        <f t="shared" si="204"/>
        <v>0</v>
      </c>
      <c r="AS463">
        <f t="shared" si="204"/>
        <v>0</v>
      </c>
      <c r="AT463">
        <f t="shared" si="204"/>
        <v>0</v>
      </c>
      <c r="AU463">
        <f t="shared" si="204"/>
        <v>0</v>
      </c>
      <c r="AV463">
        <f t="shared" si="204"/>
        <v>0</v>
      </c>
      <c r="AW463">
        <f t="shared" si="204"/>
        <v>0</v>
      </c>
      <c r="AX463">
        <f t="shared" si="201"/>
        <v>0</v>
      </c>
      <c r="AY463">
        <f t="shared" si="201"/>
        <v>0</v>
      </c>
      <c r="AZ463">
        <f t="shared" si="201"/>
        <v>1</v>
      </c>
      <c r="BA463">
        <f t="shared" si="202"/>
        <v>1</v>
      </c>
      <c r="BB463">
        <f t="shared" si="203"/>
        <v>1</v>
      </c>
    </row>
    <row r="464" spans="1:54">
      <c r="A464">
        <v>461</v>
      </c>
      <c r="B464" t="s">
        <v>20</v>
      </c>
      <c r="C464" t="s">
        <v>29</v>
      </c>
      <c r="D464" t="s">
        <v>26</v>
      </c>
      <c r="E464" t="s">
        <v>30</v>
      </c>
      <c r="F464" t="s">
        <v>21</v>
      </c>
      <c r="G464" t="s">
        <v>24</v>
      </c>
      <c r="H464" s="3">
        <v>9.6400508150838907E-2</v>
      </c>
      <c r="I464" s="3">
        <v>9.8849135588065795E-2</v>
      </c>
      <c r="J464" s="3">
        <v>7.0906366569186405E-2</v>
      </c>
      <c r="K464" s="3">
        <v>8.8456831031703695E-2</v>
      </c>
      <c r="L464" s="3">
        <v>5.3682630546253801E-2</v>
      </c>
      <c r="M464" s="3">
        <v>4.1439696443351499E-2</v>
      </c>
      <c r="N464" s="3">
        <v>0.113260165527168</v>
      </c>
      <c r="O464" s="3">
        <v>5.33521695836996E-2</v>
      </c>
      <c r="P464">
        <f t="shared" si="188"/>
        <v>0</v>
      </c>
      <c r="Q464">
        <f t="shared" si="189"/>
        <v>0</v>
      </c>
      <c r="R464">
        <f t="shared" si="190"/>
        <v>0</v>
      </c>
      <c r="S464">
        <f t="shared" si="191"/>
        <v>0</v>
      </c>
      <c r="T464">
        <f t="shared" si="192"/>
        <v>0</v>
      </c>
      <c r="U464">
        <f t="shared" si="193"/>
        <v>0</v>
      </c>
      <c r="V464">
        <f t="shared" si="194"/>
        <v>1</v>
      </c>
      <c r="W464">
        <f t="shared" si="195"/>
        <v>0</v>
      </c>
      <c r="X464">
        <f t="shared" si="196"/>
        <v>0</v>
      </c>
      <c r="Y464">
        <f t="shared" si="197"/>
        <v>0</v>
      </c>
      <c r="Z464">
        <f t="shared" si="198"/>
        <v>0</v>
      </c>
      <c r="AA464">
        <f t="shared" si="199"/>
        <v>0</v>
      </c>
      <c r="AB464">
        <f t="shared" si="182"/>
        <v>0</v>
      </c>
      <c r="AC464">
        <f t="shared" si="183"/>
        <v>0</v>
      </c>
      <c r="AD464">
        <f t="shared" si="184"/>
        <v>0</v>
      </c>
      <c r="AE464">
        <f t="shared" si="185"/>
        <v>0</v>
      </c>
      <c r="AF464">
        <f t="shared" si="186"/>
        <v>0</v>
      </c>
      <c r="AG464">
        <f t="shared" si="187"/>
        <v>0</v>
      </c>
      <c r="AH464">
        <f t="shared" si="200"/>
        <v>0</v>
      </c>
      <c r="AI464">
        <f t="shared" si="204"/>
        <v>0</v>
      </c>
      <c r="AJ464">
        <f t="shared" si="204"/>
        <v>0</v>
      </c>
      <c r="AK464">
        <f t="shared" si="204"/>
        <v>0</v>
      </c>
      <c r="AL464">
        <f t="shared" si="204"/>
        <v>1</v>
      </c>
      <c r="AM464">
        <f t="shared" si="204"/>
        <v>0</v>
      </c>
      <c r="AN464">
        <f t="shared" si="204"/>
        <v>0</v>
      </c>
      <c r="AO464">
        <f t="shared" si="204"/>
        <v>0</v>
      </c>
      <c r="AP464">
        <f t="shared" si="204"/>
        <v>0</v>
      </c>
      <c r="AQ464">
        <f t="shared" si="204"/>
        <v>0</v>
      </c>
      <c r="AR464">
        <f t="shared" si="204"/>
        <v>0</v>
      </c>
      <c r="AS464">
        <f t="shared" si="204"/>
        <v>0</v>
      </c>
      <c r="AT464">
        <f t="shared" si="204"/>
        <v>0</v>
      </c>
      <c r="AU464">
        <f t="shared" si="204"/>
        <v>0</v>
      </c>
      <c r="AV464">
        <f t="shared" si="204"/>
        <v>0</v>
      </c>
      <c r="AW464">
        <f t="shared" si="204"/>
        <v>0</v>
      </c>
      <c r="AX464">
        <f t="shared" si="201"/>
        <v>0</v>
      </c>
      <c r="AY464">
        <f t="shared" si="201"/>
        <v>0</v>
      </c>
      <c r="AZ464">
        <f t="shared" si="201"/>
        <v>1</v>
      </c>
      <c r="BA464">
        <f t="shared" si="202"/>
        <v>1</v>
      </c>
      <c r="BB464">
        <f t="shared" si="203"/>
        <v>1</v>
      </c>
    </row>
    <row r="465" spans="1:54">
      <c r="A465">
        <v>462</v>
      </c>
      <c r="B465" t="s">
        <v>20</v>
      </c>
      <c r="C465" t="s">
        <v>29</v>
      </c>
      <c r="D465" t="s">
        <v>26</v>
      </c>
      <c r="E465" t="s">
        <v>30</v>
      </c>
      <c r="F465" t="s">
        <v>21</v>
      </c>
      <c r="G465" t="s">
        <v>25</v>
      </c>
      <c r="H465" s="3">
        <v>0.13712647510614301</v>
      </c>
      <c r="I465" s="3">
        <v>0.13526638721824799</v>
      </c>
      <c r="J465" s="3">
        <v>0.113703951099018</v>
      </c>
      <c r="K465" s="3">
        <v>0.124346310995415</v>
      </c>
      <c r="L465" s="3">
        <v>9.4013271483413999E-2</v>
      </c>
      <c r="M465" s="3">
        <v>7.6775772490836197E-2</v>
      </c>
      <c r="N465" s="3">
        <v>0.150053976250449</v>
      </c>
      <c r="O465" s="3">
        <v>9.42212426497573E-2</v>
      </c>
      <c r="P465">
        <f t="shared" si="188"/>
        <v>0</v>
      </c>
      <c r="Q465">
        <f t="shared" si="189"/>
        <v>0</v>
      </c>
      <c r="R465">
        <f t="shared" si="190"/>
        <v>0</v>
      </c>
      <c r="S465">
        <f t="shared" si="191"/>
        <v>0</v>
      </c>
      <c r="T465">
        <f t="shared" si="192"/>
        <v>0</v>
      </c>
      <c r="U465">
        <f t="shared" si="193"/>
        <v>0</v>
      </c>
      <c r="V465">
        <f t="shared" si="194"/>
        <v>0</v>
      </c>
      <c r="W465">
        <f t="shared" si="195"/>
        <v>0</v>
      </c>
      <c r="X465">
        <f t="shared" si="196"/>
        <v>0</v>
      </c>
      <c r="Y465">
        <f t="shared" si="197"/>
        <v>0</v>
      </c>
      <c r="Z465">
        <f t="shared" si="198"/>
        <v>0</v>
      </c>
      <c r="AA465">
        <f t="shared" si="199"/>
        <v>0</v>
      </c>
      <c r="AB465">
        <f t="shared" si="182"/>
        <v>0</v>
      </c>
      <c r="AC465">
        <f t="shared" si="183"/>
        <v>0</v>
      </c>
      <c r="AD465">
        <f t="shared" si="184"/>
        <v>0</v>
      </c>
      <c r="AE465">
        <f t="shared" si="185"/>
        <v>1</v>
      </c>
      <c r="AF465">
        <f t="shared" si="186"/>
        <v>0</v>
      </c>
      <c r="AG465">
        <f t="shared" si="187"/>
        <v>0</v>
      </c>
      <c r="AH465">
        <f t="shared" si="200"/>
        <v>1</v>
      </c>
      <c r="AI465">
        <f t="shared" si="204"/>
        <v>1</v>
      </c>
      <c r="AJ465">
        <f t="shared" si="204"/>
        <v>0</v>
      </c>
      <c r="AK465">
        <f t="shared" si="204"/>
        <v>0</v>
      </c>
      <c r="AL465">
        <f t="shared" si="204"/>
        <v>0</v>
      </c>
      <c r="AM465">
        <f t="shared" si="204"/>
        <v>0</v>
      </c>
      <c r="AN465">
        <f t="shared" si="204"/>
        <v>0</v>
      </c>
      <c r="AO465">
        <f t="shared" si="204"/>
        <v>0</v>
      </c>
      <c r="AP465">
        <f t="shared" si="204"/>
        <v>0</v>
      </c>
      <c r="AQ465">
        <f t="shared" si="204"/>
        <v>0</v>
      </c>
      <c r="AR465">
        <f t="shared" si="204"/>
        <v>0</v>
      </c>
      <c r="AS465">
        <f t="shared" si="204"/>
        <v>0</v>
      </c>
      <c r="AT465">
        <f t="shared" si="204"/>
        <v>0</v>
      </c>
      <c r="AU465">
        <f t="shared" si="204"/>
        <v>0</v>
      </c>
      <c r="AV465">
        <f t="shared" si="204"/>
        <v>0</v>
      </c>
      <c r="AW465">
        <f t="shared" si="204"/>
        <v>0</v>
      </c>
      <c r="AX465">
        <f t="shared" si="201"/>
        <v>0</v>
      </c>
      <c r="AY465">
        <f t="shared" si="201"/>
        <v>0</v>
      </c>
      <c r="AZ465">
        <f t="shared" si="201"/>
        <v>1</v>
      </c>
      <c r="BA465">
        <f t="shared" si="202"/>
        <v>1</v>
      </c>
      <c r="BB465">
        <f t="shared" si="203"/>
        <v>1</v>
      </c>
    </row>
    <row r="466" spans="1:54">
      <c r="A466">
        <v>463</v>
      </c>
      <c r="B466" t="s">
        <v>20</v>
      </c>
      <c r="C466" t="s">
        <v>29</v>
      </c>
      <c r="D466" t="s">
        <v>26</v>
      </c>
      <c r="E466" t="s">
        <v>30</v>
      </c>
      <c r="F466" t="s">
        <v>21</v>
      </c>
      <c r="G466" t="s">
        <v>26</v>
      </c>
      <c r="H466" s="3">
        <v>0.13565253140296099</v>
      </c>
      <c r="I466" s="3">
        <v>0.13387881713682101</v>
      </c>
      <c r="J466" s="3">
        <v>0.11266510932825199</v>
      </c>
      <c r="K466" s="3">
        <v>0.123259863701869</v>
      </c>
      <c r="L466" s="3">
        <v>9.3282173101640803E-2</v>
      </c>
      <c r="M466" s="3">
        <v>7.6274226801728504E-2</v>
      </c>
      <c r="N466" s="3">
        <v>0.148209787693414</v>
      </c>
      <c r="O466" s="3">
        <v>9.3605616478295295E-2</v>
      </c>
      <c r="P466">
        <f t="shared" si="188"/>
        <v>0</v>
      </c>
      <c r="Q466">
        <f t="shared" si="189"/>
        <v>0</v>
      </c>
      <c r="R466">
        <f t="shared" si="190"/>
        <v>0</v>
      </c>
      <c r="S466">
        <f t="shared" si="191"/>
        <v>0</v>
      </c>
      <c r="T466">
        <f t="shared" si="192"/>
        <v>0</v>
      </c>
      <c r="U466">
        <f t="shared" si="193"/>
        <v>0</v>
      </c>
      <c r="V466">
        <f t="shared" si="194"/>
        <v>0</v>
      </c>
      <c r="W466">
        <f t="shared" si="195"/>
        <v>0</v>
      </c>
      <c r="X466">
        <f t="shared" si="196"/>
        <v>0</v>
      </c>
      <c r="Y466">
        <f t="shared" si="197"/>
        <v>0</v>
      </c>
      <c r="Z466">
        <f t="shared" si="198"/>
        <v>0</v>
      </c>
      <c r="AA466">
        <f t="shared" si="199"/>
        <v>0</v>
      </c>
      <c r="AB466">
        <f t="shared" si="182"/>
        <v>0</v>
      </c>
      <c r="AC466">
        <f t="shared" si="183"/>
        <v>0</v>
      </c>
      <c r="AD466">
        <f t="shared" si="184"/>
        <v>0</v>
      </c>
      <c r="AE466">
        <f t="shared" si="185"/>
        <v>1</v>
      </c>
      <c r="AF466">
        <f t="shared" si="186"/>
        <v>0</v>
      </c>
      <c r="AG466">
        <f t="shared" si="187"/>
        <v>0</v>
      </c>
      <c r="AH466">
        <f t="shared" si="200"/>
        <v>1</v>
      </c>
      <c r="AI466">
        <f t="shared" si="204"/>
        <v>0</v>
      </c>
      <c r="AJ466">
        <f t="shared" si="204"/>
        <v>0</v>
      </c>
      <c r="AK466">
        <f t="shared" si="204"/>
        <v>0</v>
      </c>
      <c r="AL466">
        <f t="shared" si="204"/>
        <v>0</v>
      </c>
      <c r="AM466">
        <f t="shared" si="204"/>
        <v>0</v>
      </c>
      <c r="AN466">
        <f t="shared" si="204"/>
        <v>0</v>
      </c>
      <c r="AO466">
        <f t="shared" si="204"/>
        <v>0</v>
      </c>
      <c r="AP466">
        <f t="shared" si="204"/>
        <v>0</v>
      </c>
      <c r="AQ466">
        <f t="shared" si="204"/>
        <v>0</v>
      </c>
      <c r="AR466">
        <f t="shared" si="204"/>
        <v>0</v>
      </c>
      <c r="AS466">
        <f t="shared" si="204"/>
        <v>0</v>
      </c>
      <c r="AT466">
        <f t="shared" si="204"/>
        <v>0</v>
      </c>
      <c r="AU466">
        <f t="shared" si="204"/>
        <v>0</v>
      </c>
      <c r="AV466">
        <f t="shared" si="204"/>
        <v>0</v>
      </c>
      <c r="AW466">
        <f t="shared" si="204"/>
        <v>0</v>
      </c>
      <c r="AX466">
        <f t="shared" si="201"/>
        <v>0</v>
      </c>
      <c r="AY466">
        <f t="shared" si="201"/>
        <v>0</v>
      </c>
      <c r="AZ466">
        <f t="shared" si="201"/>
        <v>1</v>
      </c>
      <c r="BA466">
        <f t="shared" si="202"/>
        <v>0</v>
      </c>
      <c r="BB466">
        <f t="shared" si="203"/>
        <v>1</v>
      </c>
    </row>
    <row r="467" spans="1:54">
      <c r="A467">
        <v>464</v>
      </c>
      <c r="B467" t="s">
        <v>20</v>
      </c>
      <c r="C467" t="s">
        <v>29</v>
      </c>
      <c r="D467" t="s">
        <v>26</v>
      </c>
      <c r="E467" t="s">
        <v>30</v>
      </c>
      <c r="F467" t="s">
        <v>21</v>
      </c>
      <c r="G467" t="s">
        <v>27</v>
      </c>
      <c r="H467" s="3">
        <v>4.2428117604498099E-2</v>
      </c>
      <c r="I467" s="3">
        <v>4.1870042370151503E-2</v>
      </c>
      <c r="J467" s="3">
        <v>3.8864805195202697E-2</v>
      </c>
      <c r="K467" s="3">
        <v>3.9888908784214097E-2</v>
      </c>
      <c r="L467" s="3">
        <v>3.4129269627843697E-2</v>
      </c>
      <c r="M467" s="3">
        <v>3.0787679442146599E-2</v>
      </c>
      <c r="N467" s="3">
        <v>4.4485426412378501E-2</v>
      </c>
      <c r="O467" s="3">
        <v>3.5353095802074998E-2</v>
      </c>
      <c r="P467">
        <f t="shared" si="188"/>
        <v>0</v>
      </c>
      <c r="Q467">
        <f t="shared" si="189"/>
        <v>0</v>
      </c>
      <c r="R467">
        <f t="shared" si="190"/>
        <v>0</v>
      </c>
      <c r="S467">
        <f t="shared" si="191"/>
        <v>0</v>
      </c>
      <c r="T467">
        <f t="shared" si="192"/>
        <v>0</v>
      </c>
      <c r="U467">
        <f t="shared" si="193"/>
        <v>0</v>
      </c>
      <c r="V467">
        <f t="shared" si="194"/>
        <v>0</v>
      </c>
      <c r="W467">
        <f t="shared" si="195"/>
        <v>1</v>
      </c>
      <c r="X467">
        <f t="shared" si="196"/>
        <v>0</v>
      </c>
      <c r="Y467">
        <f t="shared" si="197"/>
        <v>0</v>
      </c>
      <c r="Z467">
        <f t="shared" si="198"/>
        <v>0</v>
      </c>
      <c r="AA467">
        <f t="shared" si="199"/>
        <v>0</v>
      </c>
      <c r="AB467">
        <f t="shared" si="182"/>
        <v>0</v>
      </c>
      <c r="AC467">
        <f t="shared" si="183"/>
        <v>0</v>
      </c>
      <c r="AD467">
        <f t="shared" si="184"/>
        <v>0</v>
      </c>
      <c r="AE467">
        <f t="shared" si="185"/>
        <v>0</v>
      </c>
      <c r="AF467">
        <f t="shared" si="186"/>
        <v>0</v>
      </c>
      <c r="AG467">
        <f t="shared" si="187"/>
        <v>0</v>
      </c>
      <c r="AH467">
        <f t="shared" si="200"/>
        <v>0</v>
      </c>
      <c r="AI467">
        <f t="shared" si="204"/>
        <v>0</v>
      </c>
      <c r="AJ467">
        <f t="shared" si="204"/>
        <v>0</v>
      </c>
      <c r="AK467">
        <f t="shared" si="204"/>
        <v>0</v>
      </c>
      <c r="AL467">
        <f t="shared" si="204"/>
        <v>0</v>
      </c>
      <c r="AM467">
        <f t="shared" si="204"/>
        <v>1</v>
      </c>
      <c r="AN467">
        <f t="shared" si="204"/>
        <v>0</v>
      </c>
      <c r="AO467">
        <f t="shared" si="204"/>
        <v>0</v>
      </c>
      <c r="AP467">
        <f t="shared" si="204"/>
        <v>0</v>
      </c>
      <c r="AQ467">
        <f t="shared" si="204"/>
        <v>0</v>
      </c>
      <c r="AR467">
        <f t="shared" si="204"/>
        <v>0</v>
      </c>
      <c r="AS467">
        <f t="shared" si="204"/>
        <v>0</v>
      </c>
      <c r="AT467">
        <f t="shared" si="204"/>
        <v>0</v>
      </c>
      <c r="AU467">
        <f t="shared" si="204"/>
        <v>0</v>
      </c>
      <c r="AV467">
        <f t="shared" si="204"/>
        <v>0</v>
      </c>
      <c r="AW467">
        <f t="shared" si="204"/>
        <v>0</v>
      </c>
      <c r="AX467">
        <f t="shared" si="201"/>
        <v>0</v>
      </c>
      <c r="AY467">
        <f t="shared" si="201"/>
        <v>0</v>
      </c>
      <c r="AZ467">
        <f t="shared" si="201"/>
        <v>1</v>
      </c>
      <c r="BA467">
        <f t="shared" si="202"/>
        <v>1</v>
      </c>
      <c r="BB467">
        <f t="shared" si="203"/>
        <v>1</v>
      </c>
    </row>
    <row r="468" spans="1:54">
      <c r="A468">
        <v>465</v>
      </c>
      <c r="B468" t="s">
        <v>20</v>
      </c>
      <c r="C468" t="s">
        <v>29</v>
      </c>
      <c r="D468" t="s">
        <v>26</v>
      </c>
      <c r="E468" t="s">
        <v>30</v>
      </c>
      <c r="F468" t="s">
        <v>28</v>
      </c>
      <c r="G468" t="s">
        <v>22</v>
      </c>
      <c r="H468" s="3">
        <v>2.9031347777021899E-3</v>
      </c>
      <c r="I468" s="3">
        <v>2.8659389391287099E-3</v>
      </c>
      <c r="J468" s="3">
        <v>2.4890037070304499E-3</v>
      </c>
      <c r="K468" s="3">
        <v>2.6496883137371E-3</v>
      </c>
      <c r="L468" s="3">
        <v>1.94471798716509E-3</v>
      </c>
      <c r="M468" s="3">
        <v>1.5549861434103599E-3</v>
      </c>
      <c r="N468" s="3">
        <v>3.1486146095717799E-3</v>
      </c>
      <c r="O468" s="3">
        <v>2.07439460742016E-3</v>
      </c>
      <c r="P468">
        <f t="shared" si="188"/>
        <v>1</v>
      </c>
      <c r="Q468">
        <f t="shared" si="189"/>
        <v>0</v>
      </c>
      <c r="R468">
        <f t="shared" si="190"/>
        <v>0</v>
      </c>
      <c r="S468">
        <f t="shared" si="191"/>
        <v>0</v>
      </c>
      <c r="T468">
        <f t="shared" si="192"/>
        <v>0</v>
      </c>
      <c r="U468">
        <f t="shared" si="193"/>
        <v>0</v>
      </c>
      <c r="V468">
        <f t="shared" si="194"/>
        <v>0</v>
      </c>
      <c r="W468">
        <f t="shared" si="195"/>
        <v>0</v>
      </c>
      <c r="X468">
        <f t="shared" si="196"/>
        <v>0</v>
      </c>
      <c r="Y468">
        <f t="shared" si="197"/>
        <v>0</v>
      </c>
      <c r="Z468">
        <f t="shared" si="198"/>
        <v>0</v>
      </c>
      <c r="AA468">
        <f t="shared" si="199"/>
        <v>0</v>
      </c>
      <c r="AB468">
        <f t="shared" si="182"/>
        <v>0</v>
      </c>
      <c r="AC468">
        <f t="shared" si="183"/>
        <v>0</v>
      </c>
      <c r="AD468">
        <f t="shared" si="184"/>
        <v>0</v>
      </c>
      <c r="AE468">
        <f t="shared" si="185"/>
        <v>0</v>
      </c>
      <c r="AF468">
        <f t="shared" si="186"/>
        <v>0</v>
      </c>
      <c r="AG468">
        <f t="shared" si="187"/>
        <v>0</v>
      </c>
      <c r="AH468">
        <f t="shared" si="200"/>
        <v>0</v>
      </c>
      <c r="AI468">
        <f t="shared" si="204"/>
        <v>0</v>
      </c>
      <c r="AJ468">
        <f t="shared" si="204"/>
        <v>1</v>
      </c>
      <c r="AK468">
        <f t="shared" si="204"/>
        <v>0</v>
      </c>
      <c r="AL468">
        <f t="shared" si="204"/>
        <v>0</v>
      </c>
      <c r="AM468">
        <f t="shared" si="204"/>
        <v>0</v>
      </c>
      <c r="AN468">
        <f t="shared" si="204"/>
        <v>0</v>
      </c>
      <c r="AO468">
        <f t="shared" si="204"/>
        <v>0</v>
      </c>
      <c r="AP468">
        <f t="shared" si="204"/>
        <v>0</v>
      </c>
      <c r="AQ468">
        <f t="shared" si="204"/>
        <v>0</v>
      </c>
      <c r="AR468">
        <f t="shared" si="204"/>
        <v>0</v>
      </c>
      <c r="AS468">
        <f t="shared" si="204"/>
        <v>0</v>
      </c>
      <c r="AT468">
        <f t="shared" si="204"/>
        <v>0</v>
      </c>
      <c r="AU468">
        <f t="shared" si="204"/>
        <v>0</v>
      </c>
      <c r="AV468">
        <f t="shared" si="204"/>
        <v>0</v>
      </c>
      <c r="AW468">
        <f t="shared" si="204"/>
        <v>0</v>
      </c>
      <c r="AX468">
        <f t="shared" si="201"/>
        <v>0</v>
      </c>
      <c r="AY468">
        <f t="shared" si="201"/>
        <v>1</v>
      </c>
      <c r="AZ468">
        <f t="shared" si="201"/>
        <v>0</v>
      </c>
      <c r="BA468">
        <f t="shared" si="202"/>
        <v>1</v>
      </c>
      <c r="BB468">
        <f t="shared" si="203"/>
        <v>1</v>
      </c>
    </row>
    <row r="469" spans="1:54">
      <c r="A469">
        <v>466</v>
      </c>
      <c r="B469" t="s">
        <v>20</v>
      </c>
      <c r="C469" t="s">
        <v>29</v>
      </c>
      <c r="D469" t="s">
        <v>26</v>
      </c>
      <c r="E469" t="s">
        <v>30</v>
      </c>
      <c r="F469" t="s">
        <v>28</v>
      </c>
      <c r="G469" t="s">
        <v>23</v>
      </c>
      <c r="H469" s="3">
        <v>3.4443795277829298E-3</v>
      </c>
      <c r="I469" s="3">
        <v>3.3826860208030799E-3</v>
      </c>
      <c r="J469" s="3">
        <v>2.9586610784599699E-3</v>
      </c>
      <c r="K469" s="3">
        <v>3.1198603105071598E-3</v>
      </c>
      <c r="L469" s="3">
        <v>2.26821915176194E-3</v>
      </c>
      <c r="M469" s="3">
        <v>1.8225578953080599E-3</v>
      </c>
      <c r="N469" s="3">
        <v>3.7333573227779698E-3</v>
      </c>
      <c r="O469" s="3">
        <v>2.4557072356685399E-3</v>
      </c>
      <c r="P469">
        <f t="shared" si="188"/>
        <v>0</v>
      </c>
      <c r="Q469">
        <f t="shared" si="189"/>
        <v>1</v>
      </c>
      <c r="R469">
        <f t="shared" si="190"/>
        <v>0</v>
      </c>
      <c r="S469">
        <f t="shared" si="191"/>
        <v>0</v>
      </c>
      <c r="T469">
        <f t="shared" si="192"/>
        <v>0</v>
      </c>
      <c r="U469">
        <f t="shared" si="193"/>
        <v>0</v>
      </c>
      <c r="V469">
        <f t="shared" si="194"/>
        <v>0</v>
      </c>
      <c r="W469">
        <f t="shared" si="195"/>
        <v>0</v>
      </c>
      <c r="X469">
        <f t="shared" si="196"/>
        <v>0</v>
      </c>
      <c r="Y469">
        <f t="shared" si="197"/>
        <v>0</v>
      </c>
      <c r="Z469">
        <f t="shared" si="198"/>
        <v>0</v>
      </c>
      <c r="AA469">
        <f t="shared" si="199"/>
        <v>0</v>
      </c>
      <c r="AB469">
        <f t="shared" si="182"/>
        <v>0</v>
      </c>
      <c r="AC469">
        <f t="shared" si="183"/>
        <v>0</v>
      </c>
      <c r="AD469">
        <f t="shared" si="184"/>
        <v>0</v>
      </c>
      <c r="AE469">
        <f t="shared" si="185"/>
        <v>0</v>
      </c>
      <c r="AF469">
        <f t="shared" si="186"/>
        <v>0</v>
      </c>
      <c r="AG469">
        <f t="shared" si="187"/>
        <v>0</v>
      </c>
      <c r="AH469">
        <f t="shared" si="200"/>
        <v>0</v>
      </c>
      <c r="AI469">
        <f t="shared" si="204"/>
        <v>0</v>
      </c>
      <c r="AJ469">
        <f t="shared" si="204"/>
        <v>0</v>
      </c>
      <c r="AK469">
        <f t="shared" si="204"/>
        <v>1</v>
      </c>
      <c r="AL469">
        <f t="shared" si="204"/>
        <v>0</v>
      </c>
      <c r="AM469">
        <f t="shared" si="204"/>
        <v>0</v>
      </c>
      <c r="AN469">
        <f t="shared" si="204"/>
        <v>0</v>
      </c>
      <c r="AO469">
        <f t="shared" si="204"/>
        <v>0</v>
      </c>
      <c r="AP469">
        <f t="shared" si="204"/>
        <v>0</v>
      </c>
      <c r="AQ469">
        <f t="shared" si="204"/>
        <v>0</v>
      </c>
      <c r="AR469">
        <f t="shared" si="204"/>
        <v>0</v>
      </c>
      <c r="AS469">
        <f t="shared" si="204"/>
        <v>0</v>
      </c>
      <c r="AT469">
        <f t="shared" si="204"/>
        <v>0</v>
      </c>
      <c r="AU469">
        <f t="shared" si="204"/>
        <v>0</v>
      </c>
      <c r="AV469">
        <f t="shared" si="204"/>
        <v>0</v>
      </c>
      <c r="AW469">
        <f t="shared" si="204"/>
        <v>0</v>
      </c>
      <c r="AX469">
        <f t="shared" si="201"/>
        <v>0</v>
      </c>
      <c r="AY469">
        <f t="shared" si="201"/>
        <v>1</v>
      </c>
      <c r="AZ469">
        <f t="shared" si="201"/>
        <v>0</v>
      </c>
      <c r="BA469">
        <f t="shared" si="202"/>
        <v>1</v>
      </c>
      <c r="BB469">
        <f t="shared" si="203"/>
        <v>1</v>
      </c>
    </row>
    <row r="470" spans="1:54">
      <c r="A470">
        <v>467</v>
      </c>
      <c r="B470" t="s">
        <v>20</v>
      </c>
      <c r="C470" t="s">
        <v>29</v>
      </c>
      <c r="D470" t="s">
        <v>26</v>
      </c>
      <c r="E470" t="s">
        <v>30</v>
      </c>
      <c r="F470" t="s">
        <v>28</v>
      </c>
      <c r="G470" t="s">
        <v>24</v>
      </c>
      <c r="H470" s="3">
        <v>9.6276282345883701E-2</v>
      </c>
      <c r="I470" s="3">
        <v>9.7428407653214505E-2</v>
      </c>
      <c r="J470" s="3">
        <v>6.8953888457000206E-2</v>
      </c>
      <c r="K470" s="3">
        <v>8.6329419679014405E-2</v>
      </c>
      <c r="L470" s="3">
        <v>5.1242830578709E-2</v>
      </c>
      <c r="M470" s="3">
        <v>3.8508482535738499E-2</v>
      </c>
      <c r="N470" s="3">
        <v>0.113078745352045</v>
      </c>
      <c r="O470" s="3">
        <v>5.0893750425797898E-2</v>
      </c>
      <c r="P470">
        <f t="shared" si="188"/>
        <v>0</v>
      </c>
      <c r="Q470">
        <f t="shared" si="189"/>
        <v>0</v>
      </c>
      <c r="R470">
        <f t="shared" si="190"/>
        <v>1</v>
      </c>
      <c r="S470">
        <f t="shared" si="191"/>
        <v>0</v>
      </c>
      <c r="T470">
        <f t="shared" si="192"/>
        <v>0</v>
      </c>
      <c r="U470">
        <f t="shared" si="193"/>
        <v>0</v>
      </c>
      <c r="V470">
        <f t="shared" si="194"/>
        <v>0</v>
      </c>
      <c r="W470">
        <f t="shared" si="195"/>
        <v>0</v>
      </c>
      <c r="X470">
        <f t="shared" si="196"/>
        <v>0</v>
      </c>
      <c r="Y470">
        <f t="shared" si="197"/>
        <v>0</v>
      </c>
      <c r="Z470">
        <f t="shared" si="198"/>
        <v>0</v>
      </c>
      <c r="AA470">
        <f t="shared" si="199"/>
        <v>0</v>
      </c>
      <c r="AB470">
        <f t="shared" si="182"/>
        <v>0</v>
      </c>
      <c r="AC470">
        <f t="shared" si="183"/>
        <v>0</v>
      </c>
      <c r="AD470">
        <f t="shared" si="184"/>
        <v>0</v>
      </c>
      <c r="AE470">
        <f t="shared" si="185"/>
        <v>0</v>
      </c>
      <c r="AF470">
        <f t="shared" si="186"/>
        <v>0</v>
      </c>
      <c r="AG470">
        <f t="shared" si="187"/>
        <v>0</v>
      </c>
      <c r="AH470">
        <f t="shared" si="200"/>
        <v>0</v>
      </c>
      <c r="AI470">
        <f t="shared" si="204"/>
        <v>0</v>
      </c>
      <c r="AJ470">
        <f t="shared" si="204"/>
        <v>0</v>
      </c>
      <c r="AK470">
        <f t="shared" si="204"/>
        <v>0</v>
      </c>
      <c r="AL470">
        <f t="shared" si="204"/>
        <v>1</v>
      </c>
      <c r="AM470">
        <f t="shared" si="204"/>
        <v>0</v>
      </c>
      <c r="AN470">
        <f t="shared" si="204"/>
        <v>0</v>
      </c>
      <c r="AO470">
        <f t="shared" si="204"/>
        <v>0</v>
      </c>
      <c r="AP470">
        <f t="shared" si="204"/>
        <v>0</v>
      </c>
      <c r="AQ470">
        <f t="shared" si="204"/>
        <v>0</v>
      </c>
      <c r="AR470">
        <f t="shared" si="204"/>
        <v>0</v>
      </c>
      <c r="AS470">
        <f t="shared" si="204"/>
        <v>0</v>
      </c>
      <c r="AT470">
        <f t="shared" si="204"/>
        <v>0</v>
      </c>
      <c r="AU470">
        <f t="shared" si="204"/>
        <v>0</v>
      </c>
      <c r="AV470">
        <f t="shared" si="204"/>
        <v>0</v>
      </c>
      <c r="AW470">
        <f t="shared" si="204"/>
        <v>0</v>
      </c>
      <c r="AX470">
        <f t="shared" si="201"/>
        <v>0</v>
      </c>
      <c r="AY470">
        <f t="shared" si="201"/>
        <v>1</v>
      </c>
      <c r="AZ470">
        <f t="shared" si="201"/>
        <v>0</v>
      </c>
      <c r="BA470">
        <f t="shared" si="202"/>
        <v>1</v>
      </c>
      <c r="BB470">
        <f t="shared" si="203"/>
        <v>1</v>
      </c>
    </row>
    <row r="471" spans="1:54">
      <c r="A471">
        <v>468</v>
      </c>
      <c r="B471" t="s">
        <v>20</v>
      </c>
      <c r="C471" t="s">
        <v>29</v>
      </c>
      <c r="D471" t="s">
        <v>26</v>
      </c>
      <c r="E471" t="s">
        <v>30</v>
      </c>
      <c r="F471" t="s">
        <v>28</v>
      </c>
      <c r="G471" t="s">
        <v>25</v>
      </c>
      <c r="H471" s="3">
        <v>0.13888321301661199</v>
      </c>
      <c r="I471" s="3">
        <v>0.13718364415633699</v>
      </c>
      <c r="J471" s="3">
        <v>0.115064409640451</v>
      </c>
      <c r="K471" s="3">
        <v>0.12599582781461999</v>
      </c>
      <c r="L471" s="3">
        <v>9.52759948005278E-2</v>
      </c>
      <c r="M471" s="3">
        <v>7.7675394220305297E-2</v>
      </c>
      <c r="N471" s="3">
        <v>0.152123065851025</v>
      </c>
      <c r="O471" s="3">
        <v>9.4878337566333001E-2</v>
      </c>
      <c r="P471">
        <f t="shared" si="188"/>
        <v>0</v>
      </c>
      <c r="Q471">
        <f t="shared" si="189"/>
        <v>0</v>
      </c>
      <c r="R471">
        <f t="shared" si="190"/>
        <v>0</v>
      </c>
      <c r="S471">
        <f t="shared" si="191"/>
        <v>0</v>
      </c>
      <c r="T471">
        <f t="shared" si="192"/>
        <v>0</v>
      </c>
      <c r="U471">
        <f t="shared" si="193"/>
        <v>0</v>
      </c>
      <c r="V471">
        <f t="shared" si="194"/>
        <v>0</v>
      </c>
      <c r="W471">
        <f t="shared" si="195"/>
        <v>0</v>
      </c>
      <c r="X471">
        <f t="shared" si="196"/>
        <v>0</v>
      </c>
      <c r="Y471">
        <f t="shared" si="197"/>
        <v>0</v>
      </c>
      <c r="Z471">
        <f t="shared" si="198"/>
        <v>0</v>
      </c>
      <c r="AA471">
        <f t="shared" si="199"/>
        <v>0</v>
      </c>
      <c r="AB471">
        <f t="shared" si="182"/>
        <v>0</v>
      </c>
      <c r="AC471">
        <f t="shared" si="183"/>
        <v>0</v>
      </c>
      <c r="AD471">
        <f t="shared" si="184"/>
        <v>0</v>
      </c>
      <c r="AE471">
        <f t="shared" si="185"/>
        <v>1</v>
      </c>
      <c r="AF471">
        <f t="shared" si="186"/>
        <v>0</v>
      </c>
      <c r="AG471">
        <f t="shared" si="187"/>
        <v>0</v>
      </c>
      <c r="AH471">
        <f t="shared" si="200"/>
        <v>1</v>
      </c>
      <c r="AI471">
        <f t="shared" si="204"/>
        <v>1</v>
      </c>
      <c r="AJ471">
        <f t="shared" si="204"/>
        <v>0</v>
      </c>
      <c r="AK471">
        <f t="shared" si="204"/>
        <v>0</v>
      </c>
      <c r="AL471">
        <f t="shared" si="204"/>
        <v>0</v>
      </c>
      <c r="AM471">
        <f t="shared" si="204"/>
        <v>0</v>
      </c>
      <c r="AN471">
        <f t="shared" si="204"/>
        <v>0</v>
      </c>
      <c r="AO471">
        <f t="shared" si="204"/>
        <v>0</v>
      </c>
      <c r="AP471">
        <f t="shared" si="204"/>
        <v>0</v>
      </c>
      <c r="AQ471">
        <f t="shared" si="204"/>
        <v>0</v>
      </c>
      <c r="AR471">
        <f t="shared" si="204"/>
        <v>0</v>
      </c>
      <c r="AS471">
        <f t="shared" si="204"/>
        <v>0</v>
      </c>
      <c r="AT471">
        <f t="shared" si="204"/>
        <v>0</v>
      </c>
      <c r="AU471">
        <f t="shared" si="204"/>
        <v>0</v>
      </c>
      <c r="AV471">
        <f t="shared" si="204"/>
        <v>0</v>
      </c>
      <c r="AW471">
        <f t="shared" si="204"/>
        <v>0</v>
      </c>
      <c r="AX471">
        <f t="shared" si="201"/>
        <v>0</v>
      </c>
      <c r="AY471">
        <f t="shared" si="201"/>
        <v>1</v>
      </c>
      <c r="AZ471">
        <f t="shared" si="201"/>
        <v>0</v>
      </c>
      <c r="BA471">
        <f t="shared" si="202"/>
        <v>1</v>
      </c>
      <c r="BB471">
        <f t="shared" si="203"/>
        <v>1</v>
      </c>
    </row>
    <row r="472" spans="1:54">
      <c r="A472">
        <v>469</v>
      </c>
      <c r="B472" t="s">
        <v>20</v>
      </c>
      <c r="C472" t="s">
        <v>29</v>
      </c>
      <c r="D472" t="s">
        <v>26</v>
      </c>
      <c r="E472" t="s">
        <v>30</v>
      </c>
      <c r="F472" t="s">
        <v>28</v>
      </c>
      <c r="G472" t="s">
        <v>26</v>
      </c>
      <c r="H472" s="3">
        <v>0.136965830082174</v>
      </c>
      <c r="I472" s="3">
        <v>0.13533352941961899</v>
      </c>
      <c r="J472" s="3">
        <v>0.113687938464493</v>
      </c>
      <c r="K472" s="3">
        <v>0.12445254531496</v>
      </c>
      <c r="L472" s="3">
        <v>9.4223707286989505E-2</v>
      </c>
      <c r="M472" s="3">
        <v>7.6873342953441406E-2</v>
      </c>
      <c r="N472" s="3">
        <v>0.149829075206908</v>
      </c>
      <c r="O472" s="3">
        <v>9.3964412836216302E-2</v>
      </c>
      <c r="P472">
        <f t="shared" si="188"/>
        <v>0</v>
      </c>
      <c r="Q472">
        <f t="shared" si="189"/>
        <v>0</v>
      </c>
      <c r="R472">
        <f t="shared" si="190"/>
        <v>0</v>
      </c>
      <c r="S472">
        <f t="shared" si="191"/>
        <v>0</v>
      </c>
      <c r="T472">
        <f t="shared" si="192"/>
        <v>0</v>
      </c>
      <c r="U472">
        <f t="shared" si="193"/>
        <v>0</v>
      </c>
      <c r="V472">
        <f t="shared" si="194"/>
        <v>0</v>
      </c>
      <c r="W472">
        <f t="shared" si="195"/>
        <v>0</v>
      </c>
      <c r="X472">
        <f t="shared" si="196"/>
        <v>0</v>
      </c>
      <c r="Y472">
        <f t="shared" si="197"/>
        <v>0</v>
      </c>
      <c r="Z472">
        <f t="shared" si="198"/>
        <v>0</v>
      </c>
      <c r="AA472">
        <f t="shared" si="199"/>
        <v>0</v>
      </c>
      <c r="AB472">
        <f t="shared" si="182"/>
        <v>0</v>
      </c>
      <c r="AC472">
        <f t="shared" si="183"/>
        <v>0</v>
      </c>
      <c r="AD472">
        <f t="shared" si="184"/>
        <v>0</v>
      </c>
      <c r="AE472">
        <f t="shared" si="185"/>
        <v>1</v>
      </c>
      <c r="AF472">
        <f t="shared" si="186"/>
        <v>0</v>
      </c>
      <c r="AG472">
        <f t="shared" si="187"/>
        <v>0</v>
      </c>
      <c r="AH472">
        <f t="shared" si="200"/>
        <v>1</v>
      </c>
      <c r="AI472">
        <f t="shared" si="204"/>
        <v>0</v>
      </c>
      <c r="AJ472">
        <f t="shared" si="204"/>
        <v>0</v>
      </c>
      <c r="AK472">
        <f t="shared" si="204"/>
        <v>0</v>
      </c>
      <c r="AL472">
        <f t="shared" si="204"/>
        <v>0</v>
      </c>
      <c r="AM472">
        <f t="shared" si="204"/>
        <v>0</v>
      </c>
      <c r="AN472">
        <f t="shared" si="204"/>
        <v>0</v>
      </c>
      <c r="AO472">
        <f t="shared" si="204"/>
        <v>0</v>
      </c>
      <c r="AP472">
        <f t="shared" si="204"/>
        <v>0</v>
      </c>
      <c r="AQ472">
        <f t="shared" si="204"/>
        <v>0</v>
      </c>
      <c r="AR472">
        <f t="shared" si="204"/>
        <v>0</v>
      </c>
      <c r="AS472">
        <f t="shared" si="204"/>
        <v>0</v>
      </c>
      <c r="AT472">
        <f t="shared" si="204"/>
        <v>0</v>
      </c>
      <c r="AU472">
        <f t="shared" si="204"/>
        <v>0</v>
      </c>
      <c r="AV472">
        <f t="shared" si="204"/>
        <v>0</v>
      </c>
      <c r="AW472">
        <f t="shared" si="204"/>
        <v>0</v>
      </c>
      <c r="AX472">
        <f t="shared" si="201"/>
        <v>0</v>
      </c>
      <c r="AY472">
        <f t="shared" si="201"/>
        <v>1</v>
      </c>
      <c r="AZ472">
        <f t="shared" si="201"/>
        <v>0</v>
      </c>
      <c r="BA472">
        <f t="shared" si="202"/>
        <v>0</v>
      </c>
      <c r="BB472">
        <f t="shared" si="203"/>
        <v>1</v>
      </c>
    </row>
    <row r="473" spans="1:54">
      <c r="A473">
        <v>470</v>
      </c>
      <c r="B473" t="s">
        <v>20</v>
      </c>
      <c r="C473" t="s">
        <v>29</v>
      </c>
      <c r="D473" t="s">
        <v>26</v>
      </c>
      <c r="E473" t="s">
        <v>30</v>
      </c>
      <c r="F473" t="s">
        <v>28</v>
      </c>
      <c r="G473" t="s">
        <v>27</v>
      </c>
      <c r="H473" s="3">
        <v>5.1068010388822097E-2</v>
      </c>
      <c r="I473" s="3">
        <v>5.0373066824593499E-2</v>
      </c>
      <c r="J473" s="3">
        <v>4.5867648404074E-2</v>
      </c>
      <c r="K473" s="3">
        <v>4.7257012727066998E-2</v>
      </c>
      <c r="L473" s="3">
        <v>4.0023971203148101E-2</v>
      </c>
      <c r="M473" s="3">
        <v>3.5432176856332598E-2</v>
      </c>
      <c r="N473" s="3">
        <v>5.4560993163008199E-2</v>
      </c>
      <c r="O473" s="3">
        <v>4.11133274777849E-2</v>
      </c>
      <c r="P473">
        <f t="shared" si="188"/>
        <v>0</v>
      </c>
      <c r="Q473">
        <f t="shared" si="189"/>
        <v>0</v>
      </c>
      <c r="R473">
        <f t="shared" si="190"/>
        <v>0</v>
      </c>
      <c r="S473">
        <f t="shared" si="191"/>
        <v>1</v>
      </c>
      <c r="T473">
        <f t="shared" si="192"/>
        <v>0</v>
      </c>
      <c r="U473">
        <f t="shared" si="193"/>
        <v>0</v>
      </c>
      <c r="V473">
        <f t="shared" si="194"/>
        <v>0</v>
      </c>
      <c r="W473">
        <f t="shared" si="195"/>
        <v>0</v>
      </c>
      <c r="X473">
        <f t="shared" si="196"/>
        <v>0</v>
      </c>
      <c r="Y473">
        <f t="shared" si="197"/>
        <v>0</v>
      </c>
      <c r="Z473">
        <f t="shared" si="198"/>
        <v>0</v>
      </c>
      <c r="AA473">
        <f t="shared" si="199"/>
        <v>0</v>
      </c>
      <c r="AB473">
        <f t="shared" si="182"/>
        <v>0</v>
      </c>
      <c r="AC473">
        <f t="shared" si="183"/>
        <v>0</v>
      </c>
      <c r="AD473">
        <f t="shared" si="184"/>
        <v>0</v>
      </c>
      <c r="AE473">
        <f t="shared" si="185"/>
        <v>0</v>
      </c>
      <c r="AF473">
        <f t="shared" si="186"/>
        <v>0</v>
      </c>
      <c r="AG473">
        <f t="shared" si="187"/>
        <v>0</v>
      </c>
      <c r="AH473">
        <f t="shared" si="200"/>
        <v>0</v>
      </c>
      <c r="AI473">
        <f t="shared" si="204"/>
        <v>0</v>
      </c>
      <c r="AJ473">
        <f t="shared" si="204"/>
        <v>0</v>
      </c>
      <c r="AK473">
        <f t="shared" si="204"/>
        <v>0</v>
      </c>
      <c r="AL473">
        <f t="shared" si="204"/>
        <v>0</v>
      </c>
      <c r="AM473">
        <f t="shared" si="204"/>
        <v>1</v>
      </c>
      <c r="AN473">
        <f t="shared" si="204"/>
        <v>0</v>
      </c>
      <c r="AO473">
        <f t="shared" si="204"/>
        <v>0</v>
      </c>
      <c r="AP473">
        <f t="shared" si="204"/>
        <v>0</v>
      </c>
      <c r="AQ473">
        <f t="shared" si="204"/>
        <v>0</v>
      </c>
      <c r="AR473">
        <f t="shared" si="204"/>
        <v>0</v>
      </c>
      <c r="AS473">
        <f t="shared" si="204"/>
        <v>0</v>
      </c>
      <c r="AT473">
        <f t="shared" si="204"/>
        <v>0</v>
      </c>
      <c r="AU473">
        <f t="shared" si="204"/>
        <v>0</v>
      </c>
      <c r="AV473">
        <f t="shared" si="204"/>
        <v>0</v>
      </c>
      <c r="AW473">
        <f t="shared" si="204"/>
        <v>0</v>
      </c>
      <c r="AX473">
        <f t="shared" si="201"/>
        <v>0</v>
      </c>
      <c r="AY473">
        <f t="shared" si="201"/>
        <v>1</v>
      </c>
      <c r="AZ473">
        <f t="shared" si="201"/>
        <v>0</v>
      </c>
      <c r="BA473">
        <f t="shared" si="202"/>
        <v>1</v>
      </c>
      <c r="BB473">
        <f t="shared" si="203"/>
        <v>1</v>
      </c>
    </row>
    <row r="474" spans="1:54">
      <c r="A474">
        <v>471</v>
      </c>
      <c r="B474" t="s">
        <v>20</v>
      </c>
      <c r="C474" t="s">
        <v>29</v>
      </c>
      <c r="D474" t="s">
        <v>26</v>
      </c>
      <c r="E474" t="s">
        <v>30</v>
      </c>
      <c r="F474" t="s">
        <v>29</v>
      </c>
      <c r="G474" t="s">
        <v>22</v>
      </c>
      <c r="H474" s="3">
        <v>0.10718983417285401</v>
      </c>
      <c r="I474" s="3">
        <v>0.104486460521934</v>
      </c>
      <c r="J474" s="3">
        <v>8.9489949599064297E-2</v>
      </c>
      <c r="K474" s="3">
        <v>9.5322121676174598E-2</v>
      </c>
      <c r="L474" s="3">
        <v>7.3216814108386097E-2</v>
      </c>
      <c r="M474" s="3">
        <v>5.9132951274560197E-2</v>
      </c>
      <c r="N474" s="3">
        <v>0.116813602015113</v>
      </c>
      <c r="O474" s="3">
        <v>7.5184393852642098E-2</v>
      </c>
      <c r="P474">
        <f t="shared" si="188"/>
        <v>0</v>
      </c>
      <c r="Q474">
        <f t="shared" si="189"/>
        <v>0</v>
      </c>
      <c r="R474">
        <f t="shared" si="190"/>
        <v>0</v>
      </c>
      <c r="S474">
        <f t="shared" si="191"/>
        <v>0</v>
      </c>
      <c r="T474">
        <f t="shared" si="192"/>
        <v>0</v>
      </c>
      <c r="U474">
        <f t="shared" si="193"/>
        <v>0</v>
      </c>
      <c r="V474">
        <f t="shared" si="194"/>
        <v>0</v>
      </c>
      <c r="W474">
        <f t="shared" si="195"/>
        <v>0</v>
      </c>
      <c r="X474">
        <f t="shared" si="196"/>
        <v>1</v>
      </c>
      <c r="Y474">
        <f t="shared" si="197"/>
        <v>0</v>
      </c>
      <c r="Z474">
        <f t="shared" si="198"/>
        <v>0</v>
      </c>
      <c r="AA474">
        <f t="shared" si="199"/>
        <v>0</v>
      </c>
      <c r="AB474">
        <f t="shared" si="182"/>
        <v>0</v>
      </c>
      <c r="AC474">
        <f t="shared" si="183"/>
        <v>0</v>
      </c>
      <c r="AD474">
        <f t="shared" si="184"/>
        <v>0</v>
      </c>
      <c r="AE474">
        <f t="shared" si="185"/>
        <v>0</v>
      </c>
      <c r="AF474">
        <f t="shared" si="186"/>
        <v>1</v>
      </c>
      <c r="AG474">
        <f t="shared" si="187"/>
        <v>0</v>
      </c>
      <c r="AH474">
        <f t="shared" si="200"/>
        <v>0</v>
      </c>
      <c r="AI474">
        <f t="shared" si="204"/>
        <v>0</v>
      </c>
      <c r="AJ474">
        <f t="shared" si="204"/>
        <v>1</v>
      </c>
      <c r="AK474">
        <f t="shared" si="204"/>
        <v>0</v>
      </c>
      <c r="AL474">
        <f t="shared" si="204"/>
        <v>0</v>
      </c>
      <c r="AM474">
        <f t="shared" si="204"/>
        <v>0</v>
      </c>
      <c r="AN474">
        <f t="shared" si="204"/>
        <v>0</v>
      </c>
      <c r="AO474">
        <f t="shared" si="204"/>
        <v>0</v>
      </c>
      <c r="AP474">
        <f t="shared" si="204"/>
        <v>0</v>
      </c>
      <c r="AQ474">
        <f t="shared" si="204"/>
        <v>0</v>
      </c>
      <c r="AR474">
        <f t="shared" si="204"/>
        <v>0</v>
      </c>
      <c r="AS474">
        <f t="shared" si="204"/>
        <v>0</v>
      </c>
      <c r="AT474">
        <f t="shared" si="204"/>
        <v>0</v>
      </c>
      <c r="AU474">
        <f t="shared" si="204"/>
        <v>0</v>
      </c>
      <c r="AV474">
        <f t="shared" si="204"/>
        <v>0</v>
      </c>
      <c r="AW474">
        <f t="shared" si="204"/>
        <v>0</v>
      </c>
      <c r="AX474">
        <f t="shared" si="201"/>
        <v>0</v>
      </c>
      <c r="AY474">
        <f t="shared" si="201"/>
        <v>0</v>
      </c>
      <c r="AZ474">
        <f t="shared" si="201"/>
        <v>0</v>
      </c>
      <c r="BA474">
        <f t="shared" si="202"/>
        <v>1</v>
      </c>
      <c r="BB474">
        <f t="shared" si="203"/>
        <v>1</v>
      </c>
    </row>
    <row r="475" spans="1:54">
      <c r="A475">
        <v>472</v>
      </c>
      <c r="B475" t="s">
        <v>20</v>
      </c>
      <c r="C475" t="s">
        <v>29</v>
      </c>
      <c r="D475" t="s">
        <v>26</v>
      </c>
      <c r="E475" t="s">
        <v>30</v>
      </c>
      <c r="F475" t="s">
        <v>29</v>
      </c>
      <c r="G475" t="s">
        <v>23</v>
      </c>
      <c r="H475" s="3">
        <v>4.4634390043708201E-3</v>
      </c>
      <c r="I475" s="3">
        <v>4.3539175777998103E-3</v>
      </c>
      <c r="J475" s="3">
        <v>3.8522993131039299E-3</v>
      </c>
      <c r="K475" s="3">
        <v>4.00222212624633E-3</v>
      </c>
      <c r="L475" s="3">
        <v>2.96835058087647E-3</v>
      </c>
      <c r="M475" s="3">
        <v>2.3855967043526802E-3</v>
      </c>
      <c r="N475" s="3">
        <v>4.8128823317740198E-3</v>
      </c>
      <c r="O475" s="3">
        <v>3.2206944858405701E-3</v>
      </c>
      <c r="P475">
        <f t="shared" si="188"/>
        <v>0</v>
      </c>
      <c r="Q475">
        <f t="shared" si="189"/>
        <v>0</v>
      </c>
      <c r="R475">
        <f t="shared" si="190"/>
        <v>0</v>
      </c>
      <c r="S475">
        <f t="shared" si="191"/>
        <v>0</v>
      </c>
      <c r="T475">
        <f t="shared" si="192"/>
        <v>0</v>
      </c>
      <c r="U475">
        <f t="shared" si="193"/>
        <v>0</v>
      </c>
      <c r="V475">
        <f t="shared" si="194"/>
        <v>0</v>
      </c>
      <c r="W475">
        <f t="shared" si="195"/>
        <v>0</v>
      </c>
      <c r="X475">
        <f t="shared" si="196"/>
        <v>0</v>
      </c>
      <c r="Y475">
        <f t="shared" si="197"/>
        <v>1</v>
      </c>
      <c r="Z475">
        <f t="shared" si="198"/>
        <v>0</v>
      </c>
      <c r="AA475">
        <f t="shared" si="199"/>
        <v>0</v>
      </c>
      <c r="AB475">
        <f t="shared" si="182"/>
        <v>0</v>
      </c>
      <c r="AC475">
        <f t="shared" si="183"/>
        <v>0</v>
      </c>
      <c r="AD475">
        <f t="shared" si="184"/>
        <v>0</v>
      </c>
      <c r="AE475">
        <f t="shared" si="185"/>
        <v>0</v>
      </c>
      <c r="AF475">
        <f t="shared" si="186"/>
        <v>1</v>
      </c>
      <c r="AG475">
        <f t="shared" si="187"/>
        <v>0</v>
      </c>
      <c r="AH475">
        <f t="shared" si="200"/>
        <v>0</v>
      </c>
      <c r="AI475">
        <f t="shared" si="204"/>
        <v>0</v>
      </c>
      <c r="AJ475">
        <f t="shared" si="204"/>
        <v>0</v>
      </c>
      <c r="AK475">
        <f t="shared" si="204"/>
        <v>1</v>
      </c>
      <c r="AL475">
        <f t="shared" si="204"/>
        <v>0</v>
      </c>
      <c r="AM475">
        <f t="shared" si="204"/>
        <v>0</v>
      </c>
      <c r="AN475">
        <f t="shared" si="204"/>
        <v>0</v>
      </c>
      <c r="AO475">
        <f t="shared" si="204"/>
        <v>0</v>
      </c>
      <c r="AP475">
        <f t="shared" si="204"/>
        <v>0</v>
      </c>
      <c r="AQ475">
        <f t="shared" si="204"/>
        <v>0</v>
      </c>
      <c r="AR475">
        <f t="shared" si="204"/>
        <v>0</v>
      </c>
      <c r="AS475">
        <f t="shared" si="204"/>
        <v>0</v>
      </c>
      <c r="AT475">
        <f t="shared" si="204"/>
        <v>0</v>
      </c>
      <c r="AU475">
        <f t="shared" si="204"/>
        <v>0</v>
      </c>
      <c r="AV475">
        <f t="shared" si="204"/>
        <v>0</v>
      </c>
      <c r="AW475">
        <f t="shared" si="204"/>
        <v>0</v>
      </c>
      <c r="AX475">
        <f t="shared" si="201"/>
        <v>0</v>
      </c>
      <c r="AY475">
        <f t="shared" si="201"/>
        <v>0</v>
      </c>
      <c r="AZ475">
        <f t="shared" si="201"/>
        <v>0</v>
      </c>
      <c r="BA475">
        <f t="shared" si="202"/>
        <v>1</v>
      </c>
      <c r="BB475">
        <f t="shared" si="203"/>
        <v>1</v>
      </c>
    </row>
    <row r="476" spans="1:54">
      <c r="A476">
        <v>473</v>
      </c>
      <c r="B476" t="s">
        <v>20</v>
      </c>
      <c r="C476" t="s">
        <v>29</v>
      </c>
      <c r="D476" t="s">
        <v>26</v>
      </c>
      <c r="E476" t="s">
        <v>30</v>
      </c>
      <c r="F476" t="s">
        <v>29</v>
      </c>
      <c r="G476" t="s">
        <v>24</v>
      </c>
      <c r="H476" s="3">
        <v>7.1229528861065497E-2</v>
      </c>
      <c r="I476" s="3">
        <v>6.9499445463025E-2</v>
      </c>
      <c r="J476" s="3">
        <v>5.7373299209058801E-2</v>
      </c>
      <c r="K476" s="3">
        <v>6.2890279142451502E-2</v>
      </c>
      <c r="L476" s="3">
        <v>4.0982711825769298E-2</v>
      </c>
      <c r="M476" s="3">
        <v>3.1387159356471399E-2</v>
      </c>
      <c r="N476" s="3">
        <v>7.8220582943504799E-2</v>
      </c>
      <c r="O476" s="3">
        <v>4.4348906589674997E-2</v>
      </c>
      <c r="P476">
        <f t="shared" si="188"/>
        <v>0</v>
      </c>
      <c r="Q476">
        <f t="shared" si="189"/>
        <v>0</v>
      </c>
      <c r="R476">
        <f t="shared" si="190"/>
        <v>0</v>
      </c>
      <c r="S476">
        <f t="shared" si="191"/>
        <v>0</v>
      </c>
      <c r="T476">
        <f t="shared" si="192"/>
        <v>0</v>
      </c>
      <c r="U476">
        <f t="shared" si="193"/>
        <v>0</v>
      </c>
      <c r="V476">
        <f t="shared" si="194"/>
        <v>0</v>
      </c>
      <c r="W476">
        <f t="shared" si="195"/>
        <v>0</v>
      </c>
      <c r="X476">
        <f t="shared" si="196"/>
        <v>0</v>
      </c>
      <c r="Y476">
        <f t="shared" si="197"/>
        <v>0</v>
      </c>
      <c r="Z476">
        <f t="shared" si="198"/>
        <v>0</v>
      </c>
      <c r="AA476">
        <f t="shared" si="199"/>
        <v>1</v>
      </c>
      <c r="AB476">
        <f t="shared" si="182"/>
        <v>0</v>
      </c>
      <c r="AC476">
        <f t="shared" si="183"/>
        <v>0</v>
      </c>
      <c r="AD476">
        <f t="shared" si="184"/>
        <v>0</v>
      </c>
      <c r="AE476">
        <f t="shared" si="185"/>
        <v>0</v>
      </c>
      <c r="AF476">
        <f t="shared" si="186"/>
        <v>1</v>
      </c>
      <c r="AG476">
        <f t="shared" si="187"/>
        <v>0</v>
      </c>
      <c r="AH476">
        <f t="shared" si="200"/>
        <v>0</v>
      </c>
      <c r="AI476">
        <f t="shared" si="204"/>
        <v>0</v>
      </c>
      <c r="AJ476">
        <f t="shared" si="204"/>
        <v>0</v>
      </c>
      <c r="AK476">
        <f t="shared" si="204"/>
        <v>0</v>
      </c>
      <c r="AL476">
        <f t="shared" si="204"/>
        <v>1</v>
      </c>
      <c r="AM476">
        <f t="shared" si="204"/>
        <v>0</v>
      </c>
      <c r="AN476">
        <f t="shared" si="204"/>
        <v>0</v>
      </c>
      <c r="AO476">
        <f t="shared" si="204"/>
        <v>0</v>
      </c>
      <c r="AP476">
        <f t="shared" si="204"/>
        <v>0</v>
      </c>
      <c r="AQ476">
        <f t="shared" si="204"/>
        <v>0</v>
      </c>
      <c r="AR476">
        <f t="shared" si="204"/>
        <v>0</v>
      </c>
      <c r="AS476">
        <f t="shared" si="204"/>
        <v>0</v>
      </c>
      <c r="AT476">
        <f t="shared" si="204"/>
        <v>0</v>
      </c>
      <c r="AU476">
        <f t="shared" si="204"/>
        <v>0</v>
      </c>
      <c r="AV476">
        <f t="shared" si="204"/>
        <v>0</v>
      </c>
      <c r="AW476">
        <f t="shared" si="204"/>
        <v>0</v>
      </c>
      <c r="AX476">
        <f t="shared" si="201"/>
        <v>0</v>
      </c>
      <c r="AY476">
        <f t="shared" si="201"/>
        <v>0</v>
      </c>
      <c r="AZ476">
        <f t="shared" si="201"/>
        <v>0</v>
      </c>
      <c r="BA476">
        <f t="shared" si="202"/>
        <v>1</v>
      </c>
      <c r="BB476">
        <f t="shared" si="203"/>
        <v>1</v>
      </c>
    </row>
    <row r="477" spans="1:54">
      <c r="A477">
        <v>474</v>
      </c>
      <c r="B477" t="s">
        <v>20</v>
      </c>
      <c r="C477" t="s">
        <v>29</v>
      </c>
      <c r="D477" t="s">
        <v>26</v>
      </c>
      <c r="E477" t="s">
        <v>30</v>
      </c>
      <c r="F477" t="s">
        <v>29</v>
      </c>
      <c r="G477" t="s">
        <v>31</v>
      </c>
      <c r="H477" s="3">
        <v>5.5784179987444496E-3</v>
      </c>
      <c r="I477" s="3">
        <v>5.3800256201516202E-3</v>
      </c>
      <c r="J477" s="3">
        <v>4.9870783398953704E-3</v>
      </c>
      <c r="K477" s="3">
        <v>5.0337241783456003E-3</v>
      </c>
      <c r="L477" s="3">
        <v>4.0845160151341897E-3</v>
      </c>
      <c r="M477" s="3">
        <v>3.47773466234061E-3</v>
      </c>
      <c r="N477" s="3">
        <v>5.8474271320618897E-3</v>
      </c>
      <c r="O477" s="3">
        <v>4.34628163700157E-3</v>
      </c>
      <c r="P477">
        <f t="shared" si="188"/>
        <v>0</v>
      </c>
      <c r="Q477">
        <f t="shared" si="189"/>
        <v>0</v>
      </c>
      <c r="R477">
        <f t="shared" si="190"/>
        <v>0</v>
      </c>
      <c r="S477">
        <f t="shared" si="191"/>
        <v>0</v>
      </c>
      <c r="T477">
        <f t="shared" si="192"/>
        <v>0</v>
      </c>
      <c r="U477">
        <f t="shared" si="193"/>
        <v>0</v>
      </c>
      <c r="V477">
        <f t="shared" si="194"/>
        <v>0</v>
      </c>
      <c r="W477">
        <f t="shared" si="195"/>
        <v>0</v>
      </c>
      <c r="X477">
        <f t="shared" si="196"/>
        <v>0</v>
      </c>
      <c r="Y477">
        <f t="shared" si="197"/>
        <v>0</v>
      </c>
      <c r="Z477">
        <f t="shared" si="198"/>
        <v>1</v>
      </c>
      <c r="AA477">
        <f t="shared" si="199"/>
        <v>0</v>
      </c>
      <c r="AB477">
        <f t="shared" si="182"/>
        <v>0</v>
      </c>
      <c r="AC477">
        <f t="shared" si="183"/>
        <v>0</v>
      </c>
      <c r="AD477">
        <f t="shared" si="184"/>
        <v>0</v>
      </c>
      <c r="AE477">
        <f t="shared" si="185"/>
        <v>0</v>
      </c>
      <c r="AF477">
        <f t="shared" si="186"/>
        <v>1</v>
      </c>
      <c r="AG477">
        <f t="shared" si="187"/>
        <v>0</v>
      </c>
      <c r="AH477">
        <f t="shared" si="200"/>
        <v>0</v>
      </c>
      <c r="AI477">
        <f t="shared" ref="AI477:AW493" si="205">IF(OR(AND($D477=AI$1,$G477=AI$2),AND($D477=AI$2,$G477=AI$1)),1,0)</f>
        <v>0</v>
      </c>
      <c r="AJ477">
        <f t="shared" si="205"/>
        <v>0</v>
      </c>
      <c r="AK477">
        <f t="shared" si="205"/>
        <v>0</v>
      </c>
      <c r="AL477">
        <f t="shared" si="205"/>
        <v>0</v>
      </c>
      <c r="AM477">
        <f t="shared" si="205"/>
        <v>0</v>
      </c>
      <c r="AN477">
        <f t="shared" si="205"/>
        <v>0</v>
      </c>
      <c r="AO477">
        <f t="shared" si="205"/>
        <v>0</v>
      </c>
      <c r="AP477">
        <f t="shared" si="205"/>
        <v>0</v>
      </c>
      <c r="AQ477">
        <f t="shared" si="205"/>
        <v>0</v>
      </c>
      <c r="AR477">
        <f t="shared" si="205"/>
        <v>0</v>
      </c>
      <c r="AS477">
        <f t="shared" si="205"/>
        <v>0</v>
      </c>
      <c r="AT477">
        <f t="shared" si="205"/>
        <v>0</v>
      </c>
      <c r="AU477">
        <f t="shared" si="205"/>
        <v>0</v>
      </c>
      <c r="AV477">
        <f t="shared" si="205"/>
        <v>0</v>
      </c>
      <c r="AW477">
        <f t="shared" si="205"/>
        <v>0</v>
      </c>
      <c r="AX477">
        <f t="shared" si="201"/>
        <v>0</v>
      </c>
      <c r="AY477">
        <f t="shared" si="201"/>
        <v>0</v>
      </c>
      <c r="AZ477">
        <f t="shared" si="201"/>
        <v>0</v>
      </c>
      <c r="BA477">
        <f t="shared" si="202"/>
        <v>0</v>
      </c>
      <c r="BB477">
        <f t="shared" si="203"/>
        <v>1</v>
      </c>
    </row>
    <row r="478" spans="1:54">
      <c r="A478">
        <v>475</v>
      </c>
      <c r="B478" t="s">
        <v>20</v>
      </c>
      <c r="C478" t="s">
        <v>29</v>
      </c>
      <c r="D478" t="s">
        <v>26</v>
      </c>
      <c r="E478" t="s">
        <v>30</v>
      </c>
      <c r="F478" t="s">
        <v>29</v>
      </c>
      <c r="G478" t="s">
        <v>25</v>
      </c>
      <c r="H478" s="3">
        <v>0.86379663833715903</v>
      </c>
      <c r="I478" s="3">
        <v>0.85081596160879802</v>
      </c>
      <c r="J478" s="3">
        <v>0.81097032333930597</v>
      </c>
      <c r="K478" s="3">
        <v>0.81821539391144504</v>
      </c>
      <c r="L478" s="3">
        <v>0.80117218226849596</v>
      </c>
      <c r="M478" s="3">
        <v>0.75199914190578998</v>
      </c>
      <c r="N478" s="3">
        <v>0.89605073767542198</v>
      </c>
      <c r="O478" s="3">
        <v>0.78756481462396899</v>
      </c>
      <c r="P478">
        <f t="shared" si="188"/>
        <v>0</v>
      </c>
      <c r="Q478">
        <f t="shared" si="189"/>
        <v>0</v>
      </c>
      <c r="R478">
        <f t="shared" si="190"/>
        <v>0</v>
      </c>
      <c r="S478">
        <f t="shared" si="191"/>
        <v>0</v>
      </c>
      <c r="T478">
        <f t="shared" si="192"/>
        <v>0</v>
      </c>
      <c r="U478">
        <f t="shared" si="193"/>
        <v>0</v>
      </c>
      <c r="V478">
        <f t="shared" si="194"/>
        <v>0</v>
      </c>
      <c r="W478">
        <f t="shared" si="195"/>
        <v>0</v>
      </c>
      <c r="X478">
        <f t="shared" si="196"/>
        <v>0</v>
      </c>
      <c r="Y478">
        <f t="shared" si="197"/>
        <v>0</v>
      </c>
      <c r="Z478">
        <f t="shared" si="198"/>
        <v>0</v>
      </c>
      <c r="AA478">
        <f t="shared" si="199"/>
        <v>0</v>
      </c>
      <c r="AB478">
        <f t="shared" si="182"/>
        <v>0</v>
      </c>
      <c r="AC478">
        <f t="shared" si="183"/>
        <v>0</v>
      </c>
      <c r="AD478">
        <f t="shared" si="184"/>
        <v>0</v>
      </c>
      <c r="AE478">
        <f t="shared" si="185"/>
        <v>1</v>
      </c>
      <c r="AF478">
        <f t="shared" si="186"/>
        <v>1</v>
      </c>
      <c r="AG478">
        <f t="shared" si="187"/>
        <v>0</v>
      </c>
      <c r="AH478">
        <f t="shared" si="200"/>
        <v>1</v>
      </c>
      <c r="AI478">
        <f t="shared" si="205"/>
        <v>1</v>
      </c>
      <c r="AJ478">
        <f t="shared" si="205"/>
        <v>0</v>
      </c>
      <c r="AK478">
        <f t="shared" si="205"/>
        <v>0</v>
      </c>
      <c r="AL478">
        <f t="shared" si="205"/>
        <v>0</v>
      </c>
      <c r="AM478">
        <f t="shared" si="205"/>
        <v>0</v>
      </c>
      <c r="AN478">
        <f t="shared" si="205"/>
        <v>0</v>
      </c>
      <c r="AO478">
        <f t="shared" si="205"/>
        <v>0</v>
      </c>
      <c r="AP478">
        <f t="shared" si="205"/>
        <v>0</v>
      </c>
      <c r="AQ478">
        <f t="shared" si="205"/>
        <v>0</v>
      </c>
      <c r="AR478">
        <f t="shared" si="205"/>
        <v>0</v>
      </c>
      <c r="AS478">
        <f t="shared" si="205"/>
        <v>0</v>
      </c>
      <c r="AT478">
        <f t="shared" si="205"/>
        <v>0</v>
      </c>
      <c r="AU478">
        <f t="shared" si="205"/>
        <v>0</v>
      </c>
      <c r="AV478">
        <f t="shared" si="205"/>
        <v>0</v>
      </c>
      <c r="AW478">
        <f t="shared" si="205"/>
        <v>0</v>
      </c>
      <c r="AX478">
        <f t="shared" si="201"/>
        <v>0</v>
      </c>
      <c r="AY478">
        <f t="shared" si="201"/>
        <v>0</v>
      </c>
      <c r="AZ478">
        <f t="shared" si="201"/>
        <v>0</v>
      </c>
      <c r="BA478">
        <f t="shared" si="202"/>
        <v>1</v>
      </c>
      <c r="BB478">
        <f t="shared" si="203"/>
        <v>1</v>
      </c>
    </row>
    <row r="479" spans="1:54">
      <c r="A479">
        <v>476</v>
      </c>
      <c r="B479" t="s">
        <v>20</v>
      </c>
      <c r="C479" t="s">
        <v>29</v>
      </c>
      <c r="D479" t="s">
        <v>26</v>
      </c>
      <c r="E479" t="s">
        <v>30</v>
      </c>
      <c r="F479" t="s">
        <v>29</v>
      </c>
      <c r="G479" t="s">
        <v>26</v>
      </c>
      <c r="H479" s="3">
        <v>0.84663837723027202</v>
      </c>
      <c r="I479" s="3">
        <v>0.83476394526112196</v>
      </c>
      <c r="J479" s="3">
        <v>0.79667991878101296</v>
      </c>
      <c r="K479" s="3">
        <v>0.80450997647613298</v>
      </c>
      <c r="L479" s="3">
        <v>0.788961129987511</v>
      </c>
      <c r="M479" s="3">
        <v>0.74192368598684499</v>
      </c>
      <c r="N479" s="3">
        <v>0.87621446563511995</v>
      </c>
      <c r="O479" s="3">
        <v>0.77620673009914798</v>
      </c>
      <c r="P479">
        <f t="shared" si="188"/>
        <v>0</v>
      </c>
      <c r="Q479">
        <f t="shared" si="189"/>
        <v>0</v>
      </c>
      <c r="R479">
        <f t="shared" si="190"/>
        <v>0</v>
      </c>
      <c r="S479">
        <f t="shared" si="191"/>
        <v>0</v>
      </c>
      <c r="T479">
        <f t="shared" si="192"/>
        <v>0</v>
      </c>
      <c r="U479">
        <f t="shared" si="193"/>
        <v>0</v>
      </c>
      <c r="V479">
        <f t="shared" si="194"/>
        <v>0</v>
      </c>
      <c r="W479">
        <f t="shared" si="195"/>
        <v>0</v>
      </c>
      <c r="X479">
        <f t="shared" si="196"/>
        <v>0</v>
      </c>
      <c r="Y479">
        <f t="shared" si="197"/>
        <v>0</v>
      </c>
      <c r="Z479">
        <f t="shared" si="198"/>
        <v>0</v>
      </c>
      <c r="AA479">
        <f t="shared" si="199"/>
        <v>0</v>
      </c>
      <c r="AB479">
        <f t="shared" si="182"/>
        <v>0</v>
      </c>
      <c r="AC479">
        <f t="shared" si="183"/>
        <v>0</v>
      </c>
      <c r="AD479">
        <f t="shared" si="184"/>
        <v>0</v>
      </c>
      <c r="AE479">
        <f t="shared" si="185"/>
        <v>1</v>
      </c>
      <c r="AF479">
        <f t="shared" si="186"/>
        <v>1</v>
      </c>
      <c r="AG479">
        <f t="shared" si="187"/>
        <v>0</v>
      </c>
      <c r="AH479">
        <f t="shared" si="200"/>
        <v>1</v>
      </c>
      <c r="AI479">
        <f t="shared" si="205"/>
        <v>0</v>
      </c>
      <c r="AJ479">
        <f t="shared" si="205"/>
        <v>0</v>
      </c>
      <c r="AK479">
        <f t="shared" si="205"/>
        <v>0</v>
      </c>
      <c r="AL479">
        <f t="shared" si="205"/>
        <v>0</v>
      </c>
      <c r="AM479">
        <f t="shared" si="205"/>
        <v>0</v>
      </c>
      <c r="AN479">
        <f t="shared" si="205"/>
        <v>0</v>
      </c>
      <c r="AO479">
        <f t="shared" si="205"/>
        <v>0</v>
      </c>
      <c r="AP479">
        <f t="shared" si="205"/>
        <v>0</v>
      </c>
      <c r="AQ479">
        <f t="shared" si="205"/>
        <v>0</v>
      </c>
      <c r="AR479">
        <f t="shared" si="205"/>
        <v>0</v>
      </c>
      <c r="AS479">
        <f t="shared" si="205"/>
        <v>0</v>
      </c>
      <c r="AT479">
        <f t="shared" si="205"/>
        <v>0</v>
      </c>
      <c r="AU479">
        <f t="shared" si="205"/>
        <v>0</v>
      </c>
      <c r="AV479">
        <f t="shared" si="205"/>
        <v>0</v>
      </c>
      <c r="AW479">
        <f t="shared" si="205"/>
        <v>0</v>
      </c>
      <c r="AX479">
        <f t="shared" si="201"/>
        <v>0</v>
      </c>
      <c r="AY479">
        <f t="shared" si="201"/>
        <v>0</v>
      </c>
      <c r="AZ479">
        <f t="shared" si="201"/>
        <v>0</v>
      </c>
      <c r="BA479">
        <f t="shared" si="202"/>
        <v>0</v>
      </c>
      <c r="BB479">
        <f t="shared" si="203"/>
        <v>1</v>
      </c>
    </row>
    <row r="480" spans="1:54">
      <c r="A480">
        <v>477</v>
      </c>
      <c r="B480" t="s">
        <v>30</v>
      </c>
      <c r="C480" t="s">
        <v>21</v>
      </c>
      <c r="D480" t="s">
        <v>22</v>
      </c>
      <c r="E480" t="s">
        <v>30</v>
      </c>
      <c r="F480" t="s">
        <v>21</v>
      </c>
      <c r="G480" t="s">
        <v>23</v>
      </c>
      <c r="H480" s="3">
        <v>0.86159484276811804</v>
      </c>
      <c r="I480" s="3">
        <v>0.82074552749815899</v>
      </c>
      <c r="J480" s="3">
        <v>0.70258313941294204</v>
      </c>
      <c r="K480" s="3">
        <v>0.76053954751130204</v>
      </c>
      <c r="L480" s="3">
        <v>0.58257849762186298</v>
      </c>
      <c r="M480" s="3">
        <v>0.47608982963226298</v>
      </c>
      <c r="N480" s="3">
        <v>0.92753623188405798</v>
      </c>
      <c r="O480" s="3">
        <v>0.62019148416016801</v>
      </c>
      <c r="P480">
        <f t="shared" si="188"/>
        <v>0</v>
      </c>
      <c r="Q480">
        <f t="shared" si="189"/>
        <v>0</v>
      </c>
      <c r="R480">
        <f t="shared" si="190"/>
        <v>0</v>
      </c>
      <c r="S480">
        <f t="shared" si="191"/>
        <v>0</v>
      </c>
      <c r="T480">
        <f t="shared" si="192"/>
        <v>1</v>
      </c>
      <c r="U480">
        <f t="shared" si="193"/>
        <v>1</v>
      </c>
      <c r="V480">
        <f t="shared" si="194"/>
        <v>0</v>
      </c>
      <c r="W480">
        <f t="shared" si="195"/>
        <v>0</v>
      </c>
      <c r="X480">
        <f t="shared" si="196"/>
        <v>0</v>
      </c>
      <c r="Y480">
        <f t="shared" si="197"/>
        <v>0</v>
      </c>
      <c r="Z480">
        <f t="shared" si="198"/>
        <v>0</v>
      </c>
      <c r="AA480">
        <f t="shared" si="199"/>
        <v>0</v>
      </c>
      <c r="AB480">
        <f t="shared" si="182"/>
        <v>0</v>
      </c>
      <c r="AC480">
        <f t="shared" si="183"/>
        <v>1</v>
      </c>
      <c r="AD480">
        <f t="shared" si="184"/>
        <v>0</v>
      </c>
      <c r="AE480">
        <f t="shared" si="185"/>
        <v>0</v>
      </c>
      <c r="AF480">
        <f t="shared" si="186"/>
        <v>1</v>
      </c>
      <c r="AG480">
        <f t="shared" si="187"/>
        <v>1</v>
      </c>
      <c r="AH480">
        <f t="shared" si="200"/>
        <v>1</v>
      </c>
      <c r="AI480">
        <f t="shared" si="205"/>
        <v>0</v>
      </c>
      <c r="AJ480">
        <f t="shared" si="205"/>
        <v>0</v>
      </c>
      <c r="AK480">
        <f t="shared" si="205"/>
        <v>0</v>
      </c>
      <c r="AL480">
        <f t="shared" si="205"/>
        <v>0</v>
      </c>
      <c r="AM480">
        <f t="shared" si="205"/>
        <v>0</v>
      </c>
      <c r="AN480">
        <f t="shared" si="205"/>
        <v>0</v>
      </c>
      <c r="AO480">
        <f t="shared" si="205"/>
        <v>0</v>
      </c>
      <c r="AP480">
        <f t="shared" si="205"/>
        <v>0</v>
      </c>
      <c r="AQ480">
        <f t="shared" si="205"/>
        <v>0</v>
      </c>
      <c r="AR480">
        <f t="shared" si="205"/>
        <v>1</v>
      </c>
      <c r="AS480">
        <f t="shared" si="205"/>
        <v>0</v>
      </c>
      <c r="AT480">
        <f t="shared" si="205"/>
        <v>0</v>
      </c>
      <c r="AU480">
        <f t="shared" si="205"/>
        <v>0</v>
      </c>
      <c r="AV480">
        <f t="shared" si="205"/>
        <v>0</v>
      </c>
      <c r="AW480">
        <f t="shared" si="205"/>
        <v>0</v>
      </c>
      <c r="AX480">
        <f t="shared" si="201"/>
        <v>0</v>
      </c>
      <c r="AY480">
        <f t="shared" si="201"/>
        <v>0</v>
      </c>
      <c r="AZ480">
        <f t="shared" si="201"/>
        <v>0</v>
      </c>
      <c r="BA480">
        <f t="shared" si="202"/>
        <v>0</v>
      </c>
      <c r="BB480">
        <f t="shared" si="203"/>
        <v>0</v>
      </c>
    </row>
    <row r="481" spans="1:54">
      <c r="A481">
        <v>478</v>
      </c>
      <c r="B481" t="s">
        <v>30</v>
      </c>
      <c r="C481" t="s">
        <v>21</v>
      </c>
      <c r="D481" t="s">
        <v>22</v>
      </c>
      <c r="E481" t="s">
        <v>30</v>
      </c>
      <c r="F481" t="s">
        <v>21</v>
      </c>
      <c r="G481" t="s">
        <v>24</v>
      </c>
      <c r="H481" s="3">
        <v>2.37399591663797E-2</v>
      </c>
      <c r="I481" s="3">
        <v>2.2698174561806402E-2</v>
      </c>
      <c r="J481" s="3">
        <v>1.9885650887146899E-2</v>
      </c>
      <c r="K481" s="3">
        <v>2.06425793625672E-2</v>
      </c>
      <c r="L481" s="3">
        <v>1.4706882610140699E-2</v>
      </c>
      <c r="M481" s="3">
        <v>1.14307605596306E-2</v>
      </c>
      <c r="N481" s="3">
        <v>2.5416997617156399E-2</v>
      </c>
      <c r="O481" s="3">
        <v>1.6179380245389501E-2</v>
      </c>
      <c r="P481">
        <f t="shared" si="188"/>
        <v>0</v>
      </c>
      <c r="Q481">
        <f t="shared" si="189"/>
        <v>0</v>
      </c>
      <c r="R481">
        <f t="shared" si="190"/>
        <v>0</v>
      </c>
      <c r="S481">
        <f t="shared" si="191"/>
        <v>0</v>
      </c>
      <c r="T481">
        <f t="shared" si="192"/>
        <v>1</v>
      </c>
      <c r="U481">
        <f t="shared" si="193"/>
        <v>0</v>
      </c>
      <c r="V481">
        <f t="shared" si="194"/>
        <v>1</v>
      </c>
      <c r="W481">
        <f t="shared" si="195"/>
        <v>0</v>
      </c>
      <c r="X481">
        <f t="shared" si="196"/>
        <v>0</v>
      </c>
      <c r="Y481">
        <f t="shared" si="197"/>
        <v>0</v>
      </c>
      <c r="Z481">
        <f t="shared" si="198"/>
        <v>0</v>
      </c>
      <c r="AA481">
        <f t="shared" si="199"/>
        <v>0</v>
      </c>
      <c r="AB481">
        <f t="shared" si="182"/>
        <v>0</v>
      </c>
      <c r="AC481">
        <f t="shared" si="183"/>
        <v>0</v>
      </c>
      <c r="AD481">
        <f t="shared" si="184"/>
        <v>0</v>
      </c>
      <c r="AE481">
        <f t="shared" si="185"/>
        <v>0</v>
      </c>
      <c r="AF481">
        <f t="shared" si="186"/>
        <v>1</v>
      </c>
      <c r="AG481">
        <f t="shared" si="187"/>
        <v>1</v>
      </c>
      <c r="AH481">
        <f t="shared" si="200"/>
        <v>0</v>
      </c>
      <c r="AI481">
        <f t="shared" si="205"/>
        <v>0</v>
      </c>
      <c r="AJ481">
        <f t="shared" si="205"/>
        <v>0</v>
      </c>
      <c r="AK481">
        <f t="shared" si="205"/>
        <v>0</v>
      </c>
      <c r="AL481">
        <f t="shared" si="205"/>
        <v>0</v>
      </c>
      <c r="AM481">
        <f t="shared" si="205"/>
        <v>0</v>
      </c>
      <c r="AN481">
        <f t="shared" si="205"/>
        <v>0</v>
      </c>
      <c r="AO481">
        <f t="shared" si="205"/>
        <v>0</v>
      </c>
      <c r="AP481">
        <f t="shared" si="205"/>
        <v>0</v>
      </c>
      <c r="AQ481">
        <f t="shared" si="205"/>
        <v>0</v>
      </c>
      <c r="AR481">
        <f t="shared" si="205"/>
        <v>0</v>
      </c>
      <c r="AS481">
        <f t="shared" si="205"/>
        <v>1</v>
      </c>
      <c r="AT481">
        <f t="shared" si="205"/>
        <v>0</v>
      </c>
      <c r="AU481">
        <f t="shared" si="205"/>
        <v>0</v>
      </c>
      <c r="AV481">
        <f t="shared" si="205"/>
        <v>0</v>
      </c>
      <c r="AW481">
        <f t="shared" si="205"/>
        <v>0</v>
      </c>
      <c r="AX481">
        <f t="shared" si="201"/>
        <v>0</v>
      </c>
      <c r="AY481">
        <f t="shared" si="201"/>
        <v>0</v>
      </c>
      <c r="AZ481">
        <f t="shared" si="201"/>
        <v>0</v>
      </c>
      <c r="BA481">
        <f t="shared" si="202"/>
        <v>0</v>
      </c>
      <c r="BB481">
        <f t="shared" si="203"/>
        <v>0</v>
      </c>
    </row>
    <row r="482" spans="1:54">
      <c r="A482">
        <v>479</v>
      </c>
      <c r="B482" t="s">
        <v>30</v>
      </c>
      <c r="C482" t="s">
        <v>21</v>
      </c>
      <c r="D482" t="s">
        <v>22</v>
      </c>
      <c r="E482" t="s">
        <v>30</v>
      </c>
      <c r="F482" t="s">
        <v>21</v>
      </c>
      <c r="G482" t="s">
        <v>25</v>
      </c>
      <c r="H482" s="3">
        <v>1.7923946129838199E-2</v>
      </c>
      <c r="I482" s="3">
        <v>1.74574954344234E-2</v>
      </c>
      <c r="J482" s="3">
        <v>1.5194556636185901E-2</v>
      </c>
      <c r="K482" s="3">
        <v>1.6113627859708001E-2</v>
      </c>
      <c r="L482" s="3">
        <v>1.1636047967559101E-2</v>
      </c>
      <c r="M482" s="3">
        <v>9.3046303277414394E-3</v>
      </c>
      <c r="N482" s="3">
        <v>1.9184652278177401E-2</v>
      </c>
      <c r="O482" s="3">
        <v>1.2405707504848699E-2</v>
      </c>
      <c r="P482">
        <f t="shared" si="188"/>
        <v>0</v>
      </c>
      <c r="Q482">
        <f t="shared" si="189"/>
        <v>0</v>
      </c>
      <c r="R482">
        <f t="shared" si="190"/>
        <v>0</v>
      </c>
      <c r="S482">
        <f t="shared" si="191"/>
        <v>0</v>
      </c>
      <c r="T482">
        <f t="shared" si="192"/>
        <v>1</v>
      </c>
      <c r="U482">
        <f t="shared" si="193"/>
        <v>0</v>
      </c>
      <c r="V482">
        <f t="shared" si="194"/>
        <v>0</v>
      </c>
      <c r="W482">
        <f t="shared" si="195"/>
        <v>0</v>
      </c>
      <c r="X482">
        <f t="shared" si="196"/>
        <v>0</v>
      </c>
      <c r="Y482">
        <f t="shared" si="197"/>
        <v>0</v>
      </c>
      <c r="Z482">
        <f t="shared" si="198"/>
        <v>0</v>
      </c>
      <c r="AA482">
        <f t="shared" si="199"/>
        <v>0</v>
      </c>
      <c r="AB482">
        <f t="shared" si="182"/>
        <v>0</v>
      </c>
      <c r="AC482">
        <f t="shared" si="183"/>
        <v>0</v>
      </c>
      <c r="AD482">
        <f t="shared" si="184"/>
        <v>0</v>
      </c>
      <c r="AE482">
        <f t="shared" si="185"/>
        <v>0</v>
      </c>
      <c r="AF482">
        <f t="shared" si="186"/>
        <v>1</v>
      </c>
      <c r="AG482">
        <f t="shared" si="187"/>
        <v>1</v>
      </c>
      <c r="AH482">
        <f t="shared" si="200"/>
        <v>0</v>
      </c>
      <c r="AI482">
        <f t="shared" si="205"/>
        <v>0</v>
      </c>
      <c r="AJ482">
        <f t="shared" si="205"/>
        <v>0</v>
      </c>
      <c r="AK482">
        <f t="shared" si="205"/>
        <v>0</v>
      </c>
      <c r="AL482">
        <f t="shared" si="205"/>
        <v>0</v>
      </c>
      <c r="AM482">
        <f t="shared" si="205"/>
        <v>0</v>
      </c>
      <c r="AN482">
        <f t="shared" si="205"/>
        <v>1</v>
      </c>
      <c r="AO482">
        <f t="shared" si="205"/>
        <v>0</v>
      </c>
      <c r="AP482">
        <f t="shared" si="205"/>
        <v>0</v>
      </c>
      <c r="AQ482">
        <f t="shared" si="205"/>
        <v>0</v>
      </c>
      <c r="AR482">
        <f t="shared" si="205"/>
        <v>0</v>
      </c>
      <c r="AS482">
        <f t="shared" si="205"/>
        <v>0</v>
      </c>
      <c r="AT482">
        <f t="shared" si="205"/>
        <v>0</v>
      </c>
      <c r="AU482">
        <f t="shared" si="205"/>
        <v>0</v>
      </c>
      <c r="AV482">
        <f t="shared" si="205"/>
        <v>0</v>
      </c>
      <c r="AW482">
        <f t="shared" si="205"/>
        <v>0</v>
      </c>
      <c r="AX482">
        <f t="shared" si="201"/>
        <v>0</v>
      </c>
      <c r="AY482">
        <f t="shared" si="201"/>
        <v>0</v>
      </c>
      <c r="AZ482">
        <f t="shared" si="201"/>
        <v>0</v>
      </c>
      <c r="BA482">
        <f t="shared" si="202"/>
        <v>1</v>
      </c>
      <c r="BB482">
        <f t="shared" si="203"/>
        <v>0</v>
      </c>
    </row>
    <row r="483" spans="1:54">
      <c r="A483">
        <v>480</v>
      </c>
      <c r="B483" t="s">
        <v>30</v>
      </c>
      <c r="C483" t="s">
        <v>21</v>
      </c>
      <c r="D483" t="s">
        <v>22</v>
      </c>
      <c r="E483" t="s">
        <v>30</v>
      </c>
      <c r="F483" t="s">
        <v>21</v>
      </c>
      <c r="G483" t="s">
        <v>26</v>
      </c>
      <c r="H483" s="3">
        <v>1.8187137094144299E-2</v>
      </c>
      <c r="I483" s="3">
        <v>1.7716903738483499E-2</v>
      </c>
      <c r="J483" s="3">
        <v>1.54720467928641E-2</v>
      </c>
      <c r="K483" s="3">
        <v>1.63933179505911E-2</v>
      </c>
      <c r="L483" s="3">
        <v>1.19602383149118E-2</v>
      </c>
      <c r="M483" s="3">
        <v>9.5167393590922904E-3</v>
      </c>
      <c r="N483" s="3">
        <v>1.9423368740515898E-2</v>
      </c>
      <c r="O483" s="3">
        <v>1.2713735517876201E-2</v>
      </c>
      <c r="P483">
        <f t="shared" si="188"/>
        <v>0</v>
      </c>
      <c r="Q483">
        <f t="shared" si="189"/>
        <v>0</v>
      </c>
      <c r="R483">
        <f t="shared" si="190"/>
        <v>0</v>
      </c>
      <c r="S483">
        <f t="shared" si="191"/>
        <v>0</v>
      </c>
      <c r="T483">
        <f t="shared" si="192"/>
        <v>1</v>
      </c>
      <c r="U483">
        <f t="shared" si="193"/>
        <v>0</v>
      </c>
      <c r="V483">
        <f t="shared" si="194"/>
        <v>0</v>
      </c>
      <c r="W483">
        <f t="shared" si="195"/>
        <v>0</v>
      </c>
      <c r="X483">
        <f t="shared" si="196"/>
        <v>0</v>
      </c>
      <c r="Y483">
        <f t="shared" si="197"/>
        <v>0</v>
      </c>
      <c r="Z483">
        <f t="shared" si="198"/>
        <v>0</v>
      </c>
      <c r="AA483">
        <f t="shared" si="199"/>
        <v>0</v>
      </c>
      <c r="AB483">
        <f t="shared" si="182"/>
        <v>0</v>
      </c>
      <c r="AC483">
        <f t="shared" si="183"/>
        <v>0</v>
      </c>
      <c r="AD483">
        <f t="shared" si="184"/>
        <v>0</v>
      </c>
      <c r="AE483">
        <f t="shared" si="185"/>
        <v>0</v>
      </c>
      <c r="AF483">
        <f t="shared" si="186"/>
        <v>1</v>
      </c>
      <c r="AG483">
        <f t="shared" si="187"/>
        <v>1</v>
      </c>
      <c r="AH483">
        <f t="shared" si="200"/>
        <v>0</v>
      </c>
      <c r="AI483">
        <f t="shared" si="205"/>
        <v>0</v>
      </c>
      <c r="AJ483">
        <f t="shared" si="205"/>
        <v>1</v>
      </c>
      <c r="AK483">
        <f t="shared" si="205"/>
        <v>0</v>
      </c>
      <c r="AL483">
        <f t="shared" si="205"/>
        <v>0</v>
      </c>
      <c r="AM483">
        <f t="shared" si="205"/>
        <v>0</v>
      </c>
      <c r="AN483">
        <f t="shared" si="205"/>
        <v>0</v>
      </c>
      <c r="AO483">
        <f t="shared" si="205"/>
        <v>0</v>
      </c>
      <c r="AP483">
        <f t="shared" si="205"/>
        <v>0</v>
      </c>
      <c r="AQ483">
        <f t="shared" si="205"/>
        <v>0</v>
      </c>
      <c r="AR483">
        <f t="shared" si="205"/>
        <v>0</v>
      </c>
      <c r="AS483">
        <f t="shared" si="205"/>
        <v>0</v>
      </c>
      <c r="AT483">
        <f t="shared" si="205"/>
        <v>0</v>
      </c>
      <c r="AU483">
        <f t="shared" si="205"/>
        <v>0</v>
      </c>
      <c r="AV483">
        <f t="shared" si="205"/>
        <v>0</v>
      </c>
      <c r="AW483">
        <f t="shared" si="205"/>
        <v>0</v>
      </c>
      <c r="AX483">
        <f t="shared" si="201"/>
        <v>0</v>
      </c>
      <c r="AY483">
        <f t="shared" si="201"/>
        <v>0</v>
      </c>
      <c r="AZ483">
        <f t="shared" si="201"/>
        <v>0</v>
      </c>
      <c r="BA483">
        <f t="shared" si="202"/>
        <v>1</v>
      </c>
      <c r="BB483">
        <f t="shared" si="203"/>
        <v>0</v>
      </c>
    </row>
    <row r="484" spans="1:54">
      <c r="A484">
        <v>481</v>
      </c>
      <c r="B484" t="s">
        <v>30</v>
      </c>
      <c r="C484" t="s">
        <v>21</v>
      </c>
      <c r="D484" t="s">
        <v>22</v>
      </c>
      <c r="E484" t="s">
        <v>30</v>
      </c>
      <c r="F484" t="s">
        <v>21</v>
      </c>
      <c r="G484" t="s">
        <v>27</v>
      </c>
      <c r="H484" s="3">
        <v>5.9647876753723801E-2</v>
      </c>
      <c r="I484" s="3">
        <v>5.6895533324018699E-2</v>
      </c>
      <c r="J484" s="3">
        <v>4.9716739875056398E-2</v>
      </c>
      <c r="K484" s="3">
        <v>5.1203472744318697E-2</v>
      </c>
      <c r="L484" s="3">
        <v>3.8227493711347003E-2</v>
      </c>
      <c r="M484" s="3">
        <v>3.0013987892612299E-2</v>
      </c>
      <c r="N484" s="3">
        <v>6.4711830131445894E-2</v>
      </c>
      <c r="O484" s="3">
        <v>4.0030455075721998E-2</v>
      </c>
      <c r="P484">
        <f t="shared" si="188"/>
        <v>0</v>
      </c>
      <c r="Q484">
        <f t="shared" si="189"/>
        <v>0</v>
      </c>
      <c r="R484">
        <f t="shared" si="190"/>
        <v>0</v>
      </c>
      <c r="S484">
        <f t="shared" si="191"/>
        <v>0</v>
      </c>
      <c r="T484">
        <f t="shared" si="192"/>
        <v>1</v>
      </c>
      <c r="U484">
        <f t="shared" si="193"/>
        <v>0</v>
      </c>
      <c r="V484">
        <f t="shared" si="194"/>
        <v>0</v>
      </c>
      <c r="W484">
        <f t="shared" si="195"/>
        <v>1</v>
      </c>
      <c r="X484">
        <f t="shared" si="196"/>
        <v>0</v>
      </c>
      <c r="Y484">
        <f t="shared" si="197"/>
        <v>0</v>
      </c>
      <c r="Z484">
        <f t="shared" si="198"/>
        <v>0</v>
      </c>
      <c r="AA484">
        <f t="shared" si="199"/>
        <v>0</v>
      </c>
      <c r="AB484">
        <f t="shared" si="182"/>
        <v>0</v>
      </c>
      <c r="AC484">
        <f t="shared" si="183"/>
        <v>0</v>
      </c>
      <c r="AD484">
        <f t="shared" si="184"/>
        <v>0</v>
      </c>
      <c r="AE484">
        <f t="shared" si="185"/>
        <v>0</v>
      </c>
      <c r="AF484">
        <f t="shared" si="186"/>
        <v>1</v>
      </c>
      <c r="AG484">
        <f t="shared" si="187"/>
        <v>1</v>
      </c>
      <c r="AH484">
        <f t="shared" si="200"/>
        <v>0</v>
      </c>
      <c r="AI484">
        <f t="shared" si="205"/>
        <v>0</v>
      </c>
      <c r="AJ484">
        <f t="shared" si="205"/>
        <v>0</v>
      </c>
      <c r="AK484">
        <f t="shared" si="205"/>
        <v>0</v>
      </c>
      <c r="AL484">
        <f t="shared" si="205"/>
        <v>0</v>
      </c>
      <c r="AM484">
        <f t="shared" si="205"/>
        <v>0</v>
      </c>
      <c r="AN484">
        <f t="shared" si="205"/>
        <v>0</v>
      </c>
      <c r="AO484">
        <f t="shared" si="205"/>
        <v>0</v>
      </c>
      <c r="AP484">
        <f t="shared" si="205"/>
        <v>0</v>
      </c>
      <c r="AQ484">
        <f t="shared" si="205"/>
        <v>0</v>
      </c>
      <c r="AR484">
        <f t="shared" si="205"/>
        <v>0</v>
      </c>
      <c r="AS484">
        <f t="shared" si="205"/>
        <v>0</v>
      </c>
      <c r="AT484">
        <f t="shared" si="205"/>
        <v>1</v>
      </c>
      <c r="AU484">
        <f t="shared" si="205"/>
        <v>0</v>
      </c>
      <c r="AV484">
        <f t="shared" si="205"/>
        <v>0</v>
      </c>
      <c r="AW484">
        <f t="shared" si="205"/>
        <v>0</v>
      </c>
      <c r="AX484">
        <f t="shared" si="201"/>
        <v>0</v>
      </c>
      <c r="AY484">
        <f t="shared" si="201"/>
        <v>0</v>
      </c>
      <c r="AZ484">
        <f t="shared" si="201"/>
        <v>0</v>
      </c>
      <c r="BA484">
        <f t="shared" si="202"/>
        <v>0</v>
      </c>
      <c r="BB484">
        <f t="shared" si="203"/>
        <v>0</v>
      </c>
    </row>
    <row r="485" spans="1:54">
      <c r="A485">
        <v>482</v>
      </c>
      <c r="B485" t="s">
        <v>30</v>
      </c>
      <c r="C485" t="s">
        <v>21</v>
      </c>
      <c r="D485" t="s">
        <v>22</v>
      </c>
      <c r="E485" t="s">
        <v>30</v>
      </c>
      <c r="F485" t="s">
        <v>28</v>
      </c>
      <c r="G485" t="s">
        <v>22</v>
      </c>
      <c r="H485" s="3">
        <v>0.8428140965773</v>
      </c>
      <c r="I485" s="3">
        <v>0.86420355586098796</v>
      </c>
      <c r="J485" s="3">
        <v>0.77215799378513506</v>
      </c>
      <c r="K485" s="3">
        <v>0.83122751266863903</v>
      </c>
      <c r="L485" s="3">
        <v>0.75100736783870303</v>
      </c>
      <c r="M485" s="3">
        <v>0.68170819442244401</v>
      </c>
      <c r="N485" s="3">
        <v>0.91428571428571404</v>
      </c>
      <c r="O485" s="3">
        <v>0.737007301104875</v>
      </c>
      <c r="P485">
        <f t="shared" si="188"/>
        <v>1</v>
      </c>
      <c r="Q485">
        <f t="shared" si="189"/>
        <v>0</v>
      </c>
      <c r="R485">
        <f t="shared" si="190"/>
        <v>0</v>
      </c>
      <c r="S485">
        <f t="shared" si="191"/>
        <v>0</v>
      </c>
      <c r="T485">
        <f t="shared" si="192"/>
        <v>1</v>
      </c>
      <c r="U485">
        <f t="shared" si="193"/>
        <v>0</v>
      </c>
      <c r="V485">
        <f t="shared" si="194"/>
        <v>0</v>
      </c>
      <c r="W485">
        <f t="shared" si="195"/>
        <v>0</v>
      </c>
      <c r="X485">
        <f t="shared" si="196"/>
        <v>0</v>
      </c>
      <c r="Y485">
        <f t="shared" si="197"/>
        <v>0</v>
      </c>
      <c r="Z485">
        <f t="shared" si="198"/>
        <v>0</v>
      </c>
      <c r="AA485">
        <f t="shared" si="199"/>
        <v>0</v>
      </c>
      <c r="AB485">
        <f t="shared" si="182"/>
        <v>0</v>
      </c>
      <c r="AC485">
        <f t="shared" si="183"/>
        <v>1</v>
      </c>
      <c r="AD485">
        <f t="shared" si="184"/>
        <v>0</v>
      </c>
      <c r="AE485">
        <f t="shared" si="185"/>
        <v>0</v>
      </c>
      <c r="AF485">
        <f t="shared" si="186"/>
        <v>0</v>
      </c>
      <c r="AG485">
        <f t="shared" si="187"/>
        <v>1</v>
      </c>
      <c r="AH485">
        <f t="shared" si="200"/>
        <v>1</v>
      </c>
      <c r="AI485">
        <f t="shared" si="205"/>
        <v>0</v>
      </c>
      <c r="AJ485">
        <f t="shared" si="205"/>
        <v>0</v>
      </c>
      <c r="AK485">
        <f t="shared" si="205"/>
        <v>0</v>
      </c>
      <c r="AL485">
        <f t="shared" si="205"/>
        <v>0</v>
      </c>
      <c r="AM485">
        <f t="shared" si="205"/>
        <v>0</v>
      </c>
      <c r="AN485">
        <f t="shared" si="205"/>
        <v>0</v>
      </c>
      <c r="AO485">
        <f t="shared" si="205"/>
        <v>0</v>
      </c>
      <c r="AP485">
        <f t="shared" si="205"/>
        <v>0</v>
      </c>
      <c r="AQ485">
        <f t="shared" si="205"/>
        <v>0</v>
      </c>
      <c r="AR485">
        <f t="shared" si="205"/>
        <v>0</v>
      </c>
      <c r="AS485">
        <f t="shared" si="205"/>
        <v>0</v>
      </c>
      <c r="AT485">
        <f t="shared" si="205"/>
        <v>0</v>
      </c>
      <c r="AU485">
        <f t="shared" si="205"/>
        <v>0</v>
      </c>
      <c r="AV485">
        <f t="shared" si="205"/>
        <v>0</v>
      </c>
      <c r="AW485">
        <f t="shared" si="205"/>
        <v>0</v>
      </c>
      <c r="AX485">
        <f t="shared" si="201"/>
        <v>1</v>
      </c>
      <c r="AY485">
        <f t="shared" si="201"/>
        <v>0</v>
      </c>
      <c r="AZ485">
        <f t="shared" si="201"/>
        <v>0</v>
      </c>
      <c r="BA485">
        <f t="shared" si="202"/>
        <v>0</v>
      </c>
      <c r="BB485">
        <f t="shared" si="203"/>
        <v>0</v>
      </c>
    </row>
    <row r="486" spans="1:54">
      <c r="A486">
        <v>483</v>
      </c>
      <c r="B486" t="s">
        <v>30</v>
      </c>
      <c r="C486" t="s">
        <v>21</v>
      </c>
      <c r="D486" t="s">
        <v>22</v>
      </c>
      <c r="E486" t="s">
        <v>30</v>
      </c>
      <c r="F486" t="s">
        <v>28</v>
      </c>
      <c r="G486" t="s">
        <v>23</v>
      </c>
      <c r="H486" s="3">
        <v>0.70365725834391901</v>
      </c>
      <c r="I486" s="3">
        <v>0.67139701106003002</v>
      </c>
      <c r="J486" s="3">
        <v>0.57446663600916703</v>
      </c>
      <c r="K486" s="3">
        <v>0.60617780003341104</v>
      </c>
      <c r="L486" s="3">
        <v>0.478807493327356</v>
      </c>
      <c r="M486" s="3">
        <v>0.38085224985631499</v>
      </c>
      <c r="N486" s="3">
        <v>0.77108433734939696</v>
      </c>
      <c r="O486" s="3">
        <v>0.49275455887821901</v>
      </c>
      <c r="P486">
        <f t="shared" si="188"/>
        <v>0</v>
      </c>
      <c r="Q486">
        <f t="shared" si="189"/>
        <v>1</v>
      </c>
      <c r="R486">
        <f t="shared" si="190"/>
        <v>0</v>
      </c>
      <c r="S486">
        <f t="shared" si="191"/>
        <v>0</v>
      </c>
      <c r="T486">
        <f t="shared" si="192"/>
        <v>1</v>
      </c>
      <c r="U486">
        <f t="shared" si="193"/>
        <v>0</v>
      </c>
      <c r="V486">
        <f t="shared" si="194"/>
        <v>0</v>
      </c>
      <c r="W486">
        <f t="shared" si="195"/>
        <v>0</v>
      </c>
      <c r="X486">
        <f t="shared" si="196"/>
        <v>0</v>
      </c>
      <c r="Y486">
        <f t="shared" si="197"/>
        <v>0</v>
      </c>
      <c r="Z486">
        <f t="shared" si="198"/>
        <v>0</v>
      </c>
      <c r="AA486">
        <f t="shared" si="199"/>
        <v>0</v>
      </c>
      <c r="AB486">
        <f t="shared" si="182"/>
        <v>0</v>
      </c>
      <c r="AC486">
        <f t="shared" si="183"/>
        <v>1</v>
      </c>
      <c r="AD486">
        <f t="shared" si="184"/>
        <v>0</v>
      </c>
      <c r="AE486">
        <f t="shared" si="185"/>
        <v>0</v>
      </c>
      <c r="AF486">
        <f t="shared" si="186"/>
        <v>0</v>
      </c>
      <c r="AG486">
        <f t="shared" si="187"/>
        <v>1</v>
      </c>
      <c r="AH486">
        <f t="shared" si="200"/>
        <v>1</v>
      </c>
      <c r="AI486">
        <f t="shared" si="205"/>
        <v>0</v>
      </c>
      <c r="AJ486">
        <f t="shared" si="205"/>
        <v>0</v>
      </c>
      <c r="AK486">
        <f t="shared" si="205"/>
        <v>0</v>
      </c>
      <c r="AL486">
        <f t="shared" si="205"/>
        <v>0</v>
      </c>
      <c r="AM486">
        <f t="shared" si="205"/>
        <v>0</v>
      </c>
      <c r="AN486">
        <f t="shared" si="205"/>
        <v>0</v>
      </c>
      <c r="AO486">
        <f t="shared" si="205"/>
        <v>0</v>
      </c>
      <c r="AP486">
        <f t="shared" si="205"/>
        <v>0</v>
      </c>
      <c r="AQ486">
        <f t="shared" si="205"/>
        <v>0</v>
      </c>
      <c r="AR486">
        <f t="shared" si="205"/>
        <v>1</v>
      </c>
      <c r="AS486">
        <f t="shared" si="205"/>
        <v>0</v>
      </c>
      <c r="AT486">
        <f t="shared" si="205"/>
        <v>0</v>
      </c>
      <c r="AU486">
        <f t="shared" si="205"/>
        <v>0</v>
      </c>
      <c r="AV486">
        <f t="shared" si="205"/>
        <v>0</v>
      </c>
      <c r="AW486">
        <f t="shared" si="205"/>
        <v>0</v>
      </c>
      <c r="AX486">
        <f t="shared" si="201"/>
        <v>1</v>
      </c>
      <c r="AY486">
        <f t="shared" si="201"/>
        <v>0</v>
      </c>
      <c r="AZ486">
        <f t="shared" si="201"/>
        <v>0</v>
      </c>
      <c r="BA486">
        <f t="shared" si="202"/>
        <v>0</v>
      </c>
      <c r="BB486">
        <f t="shared" si="203"/>
        <v>0</v>
      </c>
    </row>
    <row r="487" spans="1:54">
      <c r="A487">
        <v>484</v>
      </c>
      <c r="B487" t="s">
        <v>30</v>
      </c>
      <c r="C487" t="s">
        <v>21</v>
      </c>
      <c r="D487" t="s">
        <v>22</v>
      </c>
      <c r="E487" t="s">
        <v>30</v>
      </c>
      <c r="F487" t="s">
        <v>28</v>
      </c>
      <c r="G487" t="s">
        <v>24</v>
      </c>
      <c r="H487" s="3">
        <v>2.3743433774105399E-2</v>
      </c>
      <c r="I487" s="3">
        <v>2.2370411117451999E-2</v>
      </c>
      <c r="J487" s="3">
        <v>1.97901762352585E-2</v>
      </c>
      <c r="K487" s="3">
        <v>2.0138754940374801E-2</v>
      </c>
      <c r="L487" s="3">
        <v>1.4926911817218899E-2</v>
      </c>
      <c r="M487" s="3">
        <v>1.1730286851680399E-2</v>
      </c>
      <c r="N487" s="3">
        <v>2.5457438345266498E-2</v>
      </c>
      <c r="O487" s="3">
        <v>1.6063424261433399E-2</v>
      </c>
      <c r="P487">
        <f t="shared" si="188"/>
        <v>0</v>
      </c>
      <c r="Q487">
        <f t="shared" si="189"/>
        <v>0</v>
      </c>
      <c r="R487">
        <f t="shared" si="190"/>
        <v>1</v>
      </c>
      <c r="S487">
        <f t="shared" si="191"/>
        <v>0</v>
      </c>
      <c r="T487">
        <f t="shared" si="192"/>
        <v>1</v>
      </c>
      <c r="U487">
        <f t="shared" si="193"/>
        <v>0</v>
      </c>
      <c r="V487">
        <f t="shared" si="194"/>
        <v>0</v>
      </c>
      <c r="W487">
        <f t="shared" si="195"/>
        <v>0</v>
      </c>
      <c r="X487">
        <f t="shared" si="196"/>
        <v>0</v>
      </c>
      <c r="Y487">
        <f t="shared" si="197"/>
        <v>0</v>
      </c>
      <c r="Z487">
        <f t="shared" si="198"/>
        <v>0</v>
      </c>
      <c r="AA487">
        <f t="shared" si="199"/>
        <v>0</v>
      </c>
      <c r="AB487">
        <f t="shared" si="182"/>
        <v>0</v>
      </c>
      <c r="AC487">
        <f t="shared" si="183"/>
        <v>0</v>
      </c>
      <c r="AD487">
        <f t="shared" si="184"/>
        <v>0</v>
      </c>
      <c r="AE487">
        <f t="shared" si="185"/>
        <v>0</v>
      </c>
      <c r="AF487">
        <f t="shared" si="186"/>
        <v>0</v>
      </c>
      <c r="AG487">
        <f t="shared" si="187"/>
        <v>1</v>
      </c>
      <c r="AH487">
        <f t="shared" si="200"/>
        <v>0</v>
      </c>
      <c r="AI487">
        <f t="shared" si="205"/>
        <v>0</v>
      </c>
      <c r="AJ487">
        <f t="shared" si="205"/>
        <v>0</v>
      </c>
      <c r="AK487">
        <f t="shared" si="205"/>
        <v>0</v>
      </c>
      <c r="AL487">
        <f t="shared" si="205"/>
        <v>0</v>
      </c>
      <c r="AM487">
        <f t="shared" si="205"/>
        <v>0</v>
      </c>
      <c r="AN487">
        <f t="shared" si="205"/>
        <v>0</v>
      </c>
      <c r="AO487">
        <f t="shared" si="205"/>
        <v>0</v>
      </c>
      <c r="AP487">
        <f t="shared" si="205"/>
        <v>0</v>
      </c>
      <c r="AQ487">
        <f t="shared" si="205"/>
        <v>0</v>
      </c>
      <c r="AR487">
        <f t="shared" si="205"/>
        <v>0</v>
      </c>
      <c r="AS487">
        <f t="shared" si="205"/>
        <v>1</v>
      </c>
      <c r="AT487">
        <f t="shared" si="205"/>
        <v>0</v>
      </c>
      <c r="AU487">
        <f t="shared" si="205"/>
        <v>0</v>
      </c>
      <c r="AV487">
        <f t="shared" si="205"/>
        <v>0</v>
      </c>
      <c r="AW487">
        <f t="shared" si="205"/>
        <v>0</v>
      </c>
      <c r="AX487">
        <f t="shared" si="201"/>
        <v>1</v>
      </c>
      <c r="AY487">
        <f t="shared" si="201"/>
        <v>0</v>
      </c>
      <c r="AZ487">
        <f t="shared" si="201"/>
        <v>0</v>
      </c>
      <c r="BA487">
        <f t="shared" si="202"/>
        <v>0</v>
      </c>
      <c r="BB487">
        <f t="shared" si="203"/>
        <v>0</v>
      </c>
    </row>
    <row r="488" spans="1:54">
      <c r="A488">
        <v>485</v>
      </c>
      <c r="B488" t="s">
        <v>30</v>
      </c>
      <c r="C488" t="s">
        <v>21</v>
      </c>
      <c r="D488" t="s">
        <v>22</v>
      </c>
      <c r="E488" t="s">
        <v>30</v>
      </c>
      <c r="F488" t="s">
        <v>28</v>
      </c>
      <c r="G488" t="s">
        <v>25</v>
      </c>
      <c r="H488" s="3">
        <v>1.78447418988892E-2</v>
      </c>
      <c r="I488" s="3">
        <v>1.7242126861287101E-2</v>
      </c>
      <c r="J488" s="3">
        <v>1.5333725634656801E-2</v>
      </c>
      <c r="K488" s="3">
        <v>1.5927610323450001E-2</v>
      </c>
      <c r="L488" s="3">
        <v>1.17253567980912E-2</v>
      </c>
      <c r="M488" s="3">
        <v>9.5015131421002392E-3</v>
      </c>
      <c r="N488" s="3">
        <v>1.8923713778829E-2</v>
      </c>
      <c r="O488" s="3">
        <v>1.2676502982306799E-2</v>
      </c>
      <c r="P488">
        <f t="shared" si="188"/>
        <v>0</v>
      </c>
      <c r="Q488">
        <f t="shared" si="189"/>
        <v>0</v>
      </c>
      <c r="R488">
        <f t="shared" si="190"/>
        <v>0</v>
      </c>
      <c r="S488">
        <f t="shared" si="191"/>
        <v>0</v>
      </c>
      <c r="T488">
        <f t="shared" si="192"/>
        <v>1</v>
      </c>
      <c r="U488">
        <f t="shared" si="193"/>
        <v>0</v>
      </c>
      <c r="V488">
        <f t="shared" si="194"/>
        <v>0</v>
      </c>
      <c r="W488">
        <f t="shared" si="195"/>
        <v>0</v>
      </c>
      <c r="X488">
        <f t="shared" si="196"/>
        <v>0</v>
      </c>
      <c r="Y488">
        <f t="shared" si="197"/>
        <v>0</v>
      </c>
      <c r="Z488">
        <f t="shared" si="198"/>
        <v>0</v>
      </c>
      <c r="AA488">
        <f t="shared" si="199"/>
        <v>0</v>
      </c>
      <c r="AB488">
        <f t="shared" si="182"/>
        <v>0</v>
      </c>
      <c r="AC488">
        <f t="shared" si="183"/>
        <v>0</v>
      </c>
      <c r="AD488">
        <f t="shared" si="184"/>
        <v>0</v>
      </c>
      <c r="AE488">
        <f t="shared" si="185"/>
        <v>0</v>
      </c>
      <c r="AF488">
        <f t="shared" si="186"/>
        <v>0</v>
      </c>
      <c r="AG488">
        <f t="shared" si="187"/>
        <v>1</v>
      </c>
      <c r="AH488">
        <f t="shared" si="200"/>
        <v>0</v>
      </c>
      <c r="AI488">
        <f t="shared" si="205"/>
        <v>0</v>
      </c>
      <c r="AJ488">
        <f t="shared" si="205"/>
        <v>0</v>
      </c>
      <c r="AK488">
        <f t="shared" si="205"/>
        <v>0</v>
      </c>
      <c r="AL488">
        <f t="shared" si="205"/>
        <v>0</v>
      </c>
      <c r="AM488">
        <f t="shared" si="205"/>
        <v>0</v>
      </c>
      <c r="AN488">
        <f t="shared" si="205"/>
        <v>1</v>
      </c>
      <c r="AO488">
        <f t="shared" si="205"/>
        <v>0</v>
      </c>
      <c r="AP488">
        <f t="shared" si="205"/>
        <v>0</v>
      </c>
      <c r="AQ488">
        <f t="shared" si="205"/>
        <v>0</v>
      </c>
      <c r="AR488">
        <f t="shared" si="205"/>
        <v>0</v>
      </c>
      <c r="AS488">
        <f t="shared" si="205"/>
        <v>0</v>
      </c>
      <c r="AT488">
        <f t="shared" si="205"/>
        <v>0</v>
      </c>
      <c r="AU488">
        <f t="shared" si="205"/>
        <v>0</v>
      </c>
      <c r="AV488">
        <f t="shared" si="205"/>
        <v>0</v>
      </c>
      <c r="AW488">
        <f t="shared" si="205"/>
        <v>0</v>
      </c>
      <c r="AX488">
        <f t="shared" si="201"/>
        <v>1</v>
      </c>
      <c r="AY488">
        <f t="shared" si="201"/>
        <v>0</v>
      </c>
      <c r="AZ488">
        <f t="shared" si="201"/>
        <v>0</v>
      </c>
      <c r="BA488">
        <f t="shared" si="202"/>
        <v>1</v>
      </c>
      <c r="BB488">
        <f t="shared" si="203"/>
        <v>0</v>
      </c>
    </row>
    <row r="489" spans="1:54">
      <c r="A489">
        <v>486</v>
      </c>
      <c r="B489" t="s">
        <v>30</v>
      </c>
      <c r="C489" t="s">
        <v>21</v>
      </c>
      <c r="D489" t="s">
        <v>22</v>
      </c>
      <c r="E489" t="s">
        <v>30</v>
      </c>
      <c r="F489" t="s">
        <v>28</v>
      </c>
      <c r="G489" t="s">
        <v>26</v>
      </c>
      <c r="H489" s="3">
        <v>1.8137097616358101E-2</v>
      </c>
      <c r="I489" s="3">
        <v>1.7560839325531201E-2</v>
      </c>
      <c r="J489" s="3">
        <v>1.5641493538105299E-2</v>
      </c>
      <c r="K489" s="3">
        <v>1.6267776819661E-2</v>
      </c>
      <c r="L489" s="3">
        <v>1.20120113556093E-2</v>
      </c>
      <c r="M489" s="3">
        <v>9.7179525077618397E-3</v>
      </c>
      <c r="N489" s="3">
        <v>1.9213449414590199E-2</v>
      </c>
      <c r="O489" s="3">
        <v>1.3018750075130101E-2</v>
      </c>
      <c r="P489">
        <f t="shared" si="188"/>
        <v>0</v>
      </c>
      <c r="Q489">
        <f t="shared" si="189"/>
        <v>0</v>
      </c>
      <c r="R489">
        <f t="shared" si="190"/>
        <v>0</v>
      </c>
      <c r="S489">
        <f t="shared" si="191"/>
        <v>0</v>
      </c>
      <c r="T489">
        <f t="shared" si="192"/>
        <v>1</v>
      </c>
      <c r="U489">
        <f t="shared" si="193"/>
        <v>0</v>
      </c>
      <c r="V489">
        <f t="shared" si="194"/>
        <v>0</v>
      </c>
      <c r="W489">
        <f t="shared" si="195"/>
        <v>0</v>
      </c>
      <c r="X489">
        <f t="shared" si="196"/>
        <v>0</v>
      </c>
      <c r="Y489">
        <f t="shared" si="197"/>
        <v>0</v>
      </c>
      <c r="Z489">
        <f t="shared" si="198"/>
        <v>0</v>
      </c>
      <c r="AA489">
        <f t="shared" si="199"/>
        <v>0</v>
      </c>
      <c r="AB489">
        <f t="shared" si="182"/>
        <v>0</v>
      </c>
      <c r="AC489">
        <f t="shared" si="183"/>
        <v>0</v>
      </c>
      <c r="AD489">
        <f t="shared" si="184"/>
        <v>0</v>
      </c>
      <c r="AE489">
        <f t="shared" si="185"/>
        <v>0</v>
      </c>
      <c r="AF489">
        <f t="shared" si="186"/>
        <v>0</v>
      </c>
      <c r="AG489">
        <f t="shared" si="187"/>
        <v>1</v>
      </c>
      <c r="AH489">
        <f t="shared" si="200"/>
        <v>0</v>
      </c>
      <c r="AI489">
        <f t="shared" si="205"/>
        <v>0</v>
      </c>
      <c r="AJ489">
        <f t="shared" si="205"/>
        <v>1</v>
      </c>
      <c r="AK489">
        <f t="shared" si="205"/>
        <v>0</v>
      </c>
      <c r="AL489">
        <f t="shared" si="205"/>
        <v>0</v>
      </c>
      <c r="AM489">
        <f t="shared" si="205"/>
        <v>0</v>
      </c>
      <c r="AN489">
        <f t="shared" si="205"/>
        <v>0</v>
      </c>
      <c r="AO489">
        <f t="shared" si="205"/>
        <v>0</v>
      </c>
      <c r="AP489">
        <f t="shared" si="205"/>
        <v>0</v>
      </c>
      <c r="AQ489">
        <f t="shared" si="205"/>
        <v>0</v>
      </c>
      <c r="AR489">
        <f t="shared" si="205"/>
        <v>0</v>
      </c>
      <c r="AS489">
        <f t="shared" si="205"/>
        <v>0</v>
      </c>
      <c r="AT489">
        <f t="shared" si="205"/>
        <v>0</v>
      </c>
      <c r="AU489">
        <f t="shared" si="205"/>
        <v>0</v>
      </c>
      <c r="AV489">
        <f t="shared" si="205"/>
        <v>0</v>
      </c>
      <c r="AW489">
        <f t="shared" si="205"/>
        <v>0</v>
      </c>
      <c r="AX489">
        <f t="shared" si="201"/>
        <v>1</v>
      </c>
      <c r="AY489">
        <f t="shared" si="201"/>
        <v>0</v>
      </c>
      <c r="AZ489">
        <f t="shared" si="201"/>
        <v>0</v>
      </c>
      <c r="BA489">
        <f t="shared" si="202"/>
        <v>1</v>
      </c>
      <c r="BB489">
        <f t="shared" si="203"/>
        <v>0</v>
      </c>
    </row>
    <row r="490" spans="1:54">
      <c r="A490">
        <v>487</v>
      </c>
      <c r="B490" t="s">
        <v>30</v>
      </c>
      <c r="C490" t="s">
        <v>21</v>
      </c>
      <c r="D490" t="s">
        <v>22</v>
      </c>
      <c r="E490" t="s">
        <v>30</v>
      </c>
      <c r="F490" t="s">
        <v>28</v>
      </c>
      <c r="G490" t="s">
        <v>27</v>
      </c>
      <c r="H490" s="3">
        <v>4.9221928199892302E-2</v>
      </c>
      <c r="I490" s="3">
        <v>4.67535427002485E-2</v>
      </c>
      <c r="J490" s="3">
        <v>4.0917446370712297E-2</v>
      </c>
      <c r="K490" s="3">
        <v>4.2323060624573597E-2</v>
      </c>
      <c r="L490" s="3">
        <v>3.12674677573948E-2</v>
      </c>
      <c r="M490" s="3">
        <v>2.52586258893772E-2</v>
      </c>
      <c r="N490" s="3">
        <v>5.2761747732893598E-2</v>
      </c>
      <c r="O490" s="3">
        <v>3.2843915759486197E-2</v>
      </c>
      <c r="P490">
        <f t="shared" si="188"/>
        <v>0</v>
      </c>
      <c r="Q490">
        <f t="shared" si="189"/>
        <v>0</v>
      </c>
      <c r="R490">
        <f t="shared" si="190"/>
        <v>0</v>
      </c>
      <c r="S490">
        <f t="shared" si="191"/>
        <v>1</v>
      </c>
      <c r="T490">
        <f t="shared" si="192"/>
        <v>1</v>
      </c>
      <c r="U490">
        <f t="shared" si="193"/>
        <v>0</v>
      </c>
      <c r="V490">
        <f t="shared" si="194"/>
        <v>0</v>
      </c>
      <c r="W490">
        <f t="shared" si="195"/>
        <v>0</v>
      </c>
      <c r="X490">
        <f t="shared" si="196"/>
        <v>0</v>
      </c>
      <c r="Y490">
        <f t="shared" si="197"/>
        <v>0</v>
      </c>
      <c r="Z490">
        <f t="shared" si="198"/>
        <v>0</v>
      </c>
      <c r="AA490">
        <f t="shared" si="199"/>
        <v>0</v>
      </c>
      <c r="AB490">
        <f t="shared" si="182"/>
        <v>0</v>
      </c>
      <c r="AC490">
        <f t="shared" si="183"/>
        <v>0</v>
      </c>
      <c r="AD490">
        <f t="shared" si="184"/>
        <v>0</v>
      </c>
      <c r="AE490">
        <f t="shared" si="185"/>
        <v>0</v>
      </c>
      <c r="AF490">
        <f t="shared" si="186"/>
        <v>0</v>
      </c>
      <c r="AG490">
        <f t="shared" si="187"/>
        <v>1</v>
      </c>
      <c r="AH490">
        <f t="shared" si="200"/>
        <v>0</v>
      </c>
      <c r="AI490">
        <f t="shared" si="205"/>
        <v>0</v>
      </c>
      <c r="AJ490">
        <f t="shared" si="205"/>
        <v>0</v>
      </c>
      <c r="AK490">
        <f t="shared" si="205"/>
        <v>0</v>
      </c>
      <c r="AL490">
        <f t="shared" si="205"/>
        <v>0</v>
      </c>
      <c r="AM490">
        <f t="shared" si="205"/>
        <v>0</v>
      </c>
      <c r="AN490">
        <f t="shared" si="205"/>
        <v>0</v>
      </c>
      <c r="AO490">
        <f t="shared" si="205"/>
        <v>0</v>
      </c>
      <c r="AP490">
        <f t="shared" si="205"/>
        <v>0</v>
      </c>
      <c r="AQ490">
        <f t="shared" si="205"/>
        <v>0</v>
      </c>
      <c r="AR490">
        <f t="shared" si="205"/>
        <v>0</v>
      </c>
      <c r="AS490">
        <f t="shared" si="205"/>
        <v>0</v>
      </c>
      <c r="AT490">
        <f t="shared" si="205"/>
        <v>1</v>
      </c>
      <c r="AU490">
        <f t="shared" si="205"/>
        <v>0</v>
      </c>
      <c r="AV490">
        <f t="shared" si="205"/>
        <v>0</v>
      </c>
      <c r="AW490">
        <f t="shared" si="205"/>
        <v>0</v>
      </c>
      <c r="AX490">
        <f t="shared" si="201"/>
        <v>1</v>
      </c>
      <c r="AY490">
        <f t="shared" si="201"/>
        <v>0</v>
      </c>
      <c r="AZ490">
        <f t="shared" si="201"/>
        <v>0</v>
      </c>
      <c r="BA490">
        <f t="shared" si="202"/>
        <v>0</v>
      </c>
      <c r="BB490">
        <f t="shared" si="203"/>
        <v>0</v>
      </c>
    </row>
    <row r="491" spans="1:54">
      <c r="A491">
        <v>488</v>
      </c>
      <c r="B491" t="s">
        <v>30</v>
      </c>
      <c r="C491" t="s">
        <v>21</v>
      </c>
      <c r="D491" t="s">
        <v>22</v>
      </c>
      <c r="E491" t="s">
        <v>30</v>
      </c>
      <c r="F491" t="s">
        <v>29</v>
      </c>
      <c r="G491" t="s">
        <v>22</v>
      </c>
      <c r="H491" s="3">
        <v>2.3690201952873101E-2</v>
      </c>
      <c r="I491" s="3">
        <v>2.3672861667691801E-2</v>
      </c>
      <c r="J491" s="3">
        <v>2.0688971739356399E-2</v>
      </c>
      <c r="K491" s="3">
        <v>2.2871261345497999E-2</v>
      </c>
      <c r="L491" s="3">
        <v>1.8346383808589301E-2</v>
      </c>
      <c r="M491" s="3">
        <v>1.5613751372482399E-2</v>
      </c>
      <c r="N491" s="3">
        <v>2.46438197920677E-2</v>
      </c>
      <c r="O491" s="3">
        <v>1.8725456635622601E-2</v>
      </c>
      <c r="P491">
        <f t="shared" si="188"/>
        <v>0</v>
      </c>
      <c r="Q491">
        <f t="shared" si="189"/>
        <v>0</v>
      </c>
      <c r="R491">
        <f t="shared" si="190"/>
        <v>0</v>
      </c>
      <c r="S491">
        <f t="shared" si="191"/>
        <v>0</v>
      </c>
      <c r="T491">
        <f t="shared" si="192"/>
        <v>1</v>
      </c>
      <c r="U491">
        <f t="shared" si="193"/>
        <v>0</v>
      </c>
      <c r="V491">
        <f t="shared" si="194"/>
        <v>0</v>
      </c>
      <c r="W491">
        <f t="shared" si="195"/>
        <v>0</v>
      </c>
      <c r="X491">
        <f t="shared" si="196"/>
        <v>1</v>
      </c>
      <c r="Y491">
        <f t="shared" si="197"/>
        <v>0</v>
      </c>
      <c r="Z491">
        <f t="shared" si="198"/>
        <v>0</v>
      </c>
      <c r="AA491">
        <f t="shared" si="199"/>
        <v>0</v>
      </c>
      <c r="AB491">
        <f t="shared" si="182"/>
        <v>0</v>
      </c>
      <c r="AC491">
        <f t="shared" si="183"/>
        <v>1</v>
      </c>
      <c r="AD491">
        <f t="shared" si="184"/>
        <v>0</v>
      </c>
      <c r="AE491">
        <f t="shared" si="185"/>
        <v>0</v>
      </c>
      <c r="AF491">
        <f t="shared" si="186"/>
        <v>0</v>
      </c>
      <c r="AG491">
        <f t="shared" si="187"/>
        <v>1</v>
      </c>
      <c r="AH491">
        <f t="shared" si="200"/>
        <v>1</v>
      </c>
      <c r="AI491">
        <f t="shared" si="205"/>
        <v>0</v>
      </c>
      <c r="AJ491">
        <f t="shared" si="205"/>
        <v>0</v>
      </c>
      <c r="AK491">
        <f t="shared" si="205"/>
        <v>0</v>
      </c>
      <c r="AL491">
        <f t="shared" si="205"/>
        <v>0</v>
      </c>
      <c r="AM491">
        <f t="shared" si="205"/>
        <v>0</v>
      </c>
      <c r="AN491">
        <f t="shared" si="205"/>
        <v>0</v>
      </c>
      <c r="AO491">
        <f t="shared" si="205"/>
        <v>0</v>
      </c>
      <c r="AP491">
        <f t="shared" si="205"/>
        <v>0</v>
      </c>
      <c r="AQ491">
        <f t="shared" si="205"/>
        <v>0</v>
      </c>
      <c r="AR491">
        <f t="shared" si="205"/>
        <v>0</v>
      </c>
      <c r="AS491">
        <f t="shared" si="205"/>
        <v>0</v>
      </c>
      <c r="AT491">
        <f t="shared" si="205"/>
        <v>0</v>
      </c>
      <c r="AU491">
        <f t="shared" si="205"/>
        <v>0</v>
      </c>
      <c r="AV491">
        <f t="shared" si="205"/>
        <v>0</v>
      </c>
      <c r="AW491">
        <f t="shared" si="205"/>
        <v>0</v>
      </c>
      <c r="AX491">
        <f t="shared" si="201"/>
        <v>0</v>
      </c>
      <c r="AY491">
        <f t="shared" si="201"/>
        <v>0</v>
      </c>
      <c r="AZ491">
        <f t="shared" si="201"/>
        <v>1</v>
      </c>
      <c r="BA491">
        <f t="shared" si="202"/>
        <v>0</v>
      </c>
      <c r="BB491">
        <f t="shared" si="203"/>
        <v>1</v>
      </c>
    </row>
    <row r="492" spans="1:54">
      <c r="A492">
        <v>489</v>
      </c>
      <c r="B492" t="s">
        <v>30</v>
      </c>
      <c r="C492" t="s">
        <v>21</v>
      </c>
      <c r="D492" t="s">
        <v>22</v>
      </c>
      <c r="E492" t="s">
        <v>30</v>
      </c>
      <c r="F492" t="s">
        <v>29</v>
      </c>
      <c r="G492" t="s">
        <v>23</v>
      </c>
      <c r="H492" s="3">
        <v>0.553348131148376</v>
      </c>
      <c r="I492" s="3">
        <v>0.53708907261866001</v>
      </c>
      <c r="J492" s="3">
        <v>0.44701136052942497</v>
      </c>
      <c r="K492" s="3">
        <v>0.49221676355759097</v>
      </c>
      <c r="L492" s="3">
        <v>0.36804215944059698</v>
      </c>
      <c r="M492" s="3">
        <v>0.29608193694614199</v>
      </c>
      <c r="N492" s="3">
        <v>0.59813084112149495</v>
      </c>
      <c r="O492" s="3">
        <v>0.38396199519940699</v>
      </c>
      <c r="P492">
        <f t="shared" si="188"/>
        <v>0</v>
      </c>
      <c r="Q492">
        <f t="shared" si="189"/>
        <v>0</v>
      </c>
      <c r="R492">
        <f t="shared" si="190"/>
        <v>0</v>
      </c>
      <c r="S492">
        <f t="shared" si="191"/>
        <v>0</v>
      </c>
      <c r="T492">
        <f t="shared" si="192"/>
        <v>1</v>
      </c>
      <c r="U492">
        <f t="shared" si="193"/>
        <v>0</v>
      </c>
      <c r="V492">
        <f t="shared" si="194"/>
        <v>0</v>
      </c>
      <c r="W492">
        <f t="shared" si="195"/>
        <v>0</v>
      </c>
      <c r="X492">
        <f t="shared" si="196"/>
        <v>0</v>
      </c>
      <c r="Y492">
        <f t="shared" si="197"/>
        <v>1</v>
      </c>
      <c r="Z492">
        <f t="shared" si="198"/>
        <v>0</v>
      </c>
      <c r="AA492">
        <f t="shared" si="199"/>
        <v>0</v>
      </c>
      <c r="AB492">
        <f t="shared" si="182"/>
        <v>0</v>
      </c>
      <c r="AC492">
        <f t="shared" si="183"/>
        <v>1</v>
      </c>
      <c r="AD492">
        <f t="shared" si="184"/>
        <v>0</v>
      </c>
      <c r="AE492">
        <f t="shared" si="185"/>
        <v>0</v>
      </c>
      <c r="AF492">
        <f t="shared" si="186"/>
        <v>0</v>
      </c>
      <c r="AG492">
        <f t="shared" si="187"/>
        <v>1</v>
      </c>
      <c r="AH492">
        <f t="shared" si="200"/>
        <v>1</v>
      </c>
      <c r="AI492">
        <f t="shared" si="205"/>
        <v>0</v>
      </c>
      <c r="AJ492">
        <f t="shared" si="205"/>
        <v>0</v>
      </c>
      <c r="AK492">
        <f t="shared" si="205"/>
        <v>0</v>
      </c>
      <c r="AL492">
        <f t="shared" si="205"/>
        <v>0</v>
      </c>
      <c r="AM492">
        <f t="shared" si="205"/>
        <v>0</v>
      </c>
      <c r="AN492">
        <f t="shared" si="205"/>
        <v>0</v>
      </c>
      <c r="AO492">
        <f t="shared" si="205"/>
        <v>0</v>
      </c>
      <c r="AP492">
        <f t="shared" si="205"/>
        <v>0</v>
      </c>
      <c r="AQ492">
        <f t="shared" si="205"/>
        <v>0</v>
      </c>
      <c r="AR492">
        <f t="shared" si="205"/>
        <v>1</v>
      </c>
      <c r="AS492">
        <f t="shared" si="205"/>
        <v>0</v>
      </c>
      <c r="AT492">
        <f t="shared" si="205"/>
        <v>0</v>
      </c>
      <c r="AU492">
        <f t="shared" si="205"/>
        <v>0</v>
      </c>
      <c r="AV492">
        <f t="shared" si="205"/>
        <v>0</v>
      </c>
      <c r="AW492">
        <f t="shared" si="205"/>
        <v>0</v>
      </c>
      <c r="AX492">
        <f t="shared" si="201"/>
        <v>0</v>
      </c>
      <c r="AY492">
        <f t="shared" si="201"/>
        <v>0</v>
      </c>
      <c r="AZ492">
        <f t="shared" si="201"/>
        <v>1</v>
      </c>
      <c r="BA492">
        <f t="shared" si="202"/>
        <v>0</v>
      </c>
      <c r="BB492">
        <f t="shared" si="203"/>
        <v>1</v>
      </c>
    </row>
    <row r="493" spans="1:54">
      <c r="A493">
        <v>490</v>
      </c>
      <c r="B493" t="s">
        <v>30</v>
      </c>
      <c r="C493" t="s">
        <v>21</v>
      </c>
      <c r="D493" t="s">
        <v>22</v>
      </c>
      <c r="E493" t="s">
        <v>30</v>
      </c>
      <c r="F493" t="s">
        <v>29</v>
      </c>
      <c r="G493" t="s">
        <v>24</v>
      </c>
      <c r="H493" s="3">
        <v>3.43252611187264E-2</v>
      </c>
      <c r="I493" s="3">
        <v>3.2319597349454901E-2</v>
      </c>
      <c r="J493" s="3">
        <v>2.8858347740802901E-2</v>
      </c>
      <c r="K493" s="3">
        <v>2.9117512313901198E-2</v>
      </c>
      <c r="L493" s="3">
        <v>2.1855888506807902E-2</v>
      </c>
      <c r="M493" s="3">
        <v>1.7301551132651902E-2</v>
      </c>
      <c r="N493" s="3">
        <v>3.6802760207015499E-2</v>
      </c>
      <c r="O493" s="3">
        <v>2.3542928496375699E-2</v>
      </c>
      <c r="P493">
        <f t="shared" si="188"/>
        <v>0</v>
      </c>
      <c r="Q493">
        <f t="shared" si="189"/>
        <v>0</v>
      </c>
      <c r="R493">
        <f t="shared" si="190"/>
        <v>0</v>
      </c>
      <c r="S493">
        <f t="shared" si="191"/>
        <v>0</v>
      </c>
      <c r="T493">
        <f t="shared" si="192"/>
        <v>1</v>
      </c>
      <c r="U493">
        <f t="shared" si="193"/>
        <v>0</v>
      </c>
      <c r="V493">
        <f t="shared" si="194"/>
        <v>0</v>
      </c>
      <c r="W493">
        <f t="shared" si="195"/>
        <v>0</v>
      </c>
      <c r="X493">
        <f t="shared" si="196"/>
        <v>0</v>
      </c>
      <c r="Y493">
        <f t="shared" si="197"/>
        <v>0</v>
      </c>
      <c r="Z493">
        <f t="shared" si="198"/>
        <v>0</v>
      </c>
      <c r="AA493">
        <f t="shared" si="199"/>
        <v>1</v>
      </c>
      <c r="AB493">
        <f t="shared" si="182"/>
        <v>0</v>
      </c>
      <c r="AC493">
        <f t="shared" si="183"/>
        <v>0</v>
      </c>
      <c r="AD493">
        <f t="shared" si="184"/>
        <v>0</v>
      </c>
      <c r="AE493">
        <f t="shared" si="185"/>
        <v>0</v>
      </c>
      <c r="AF493">
        <f t="shared" si="186"/>
        <v>0</v>
      </c>
      <c r="AG493">
        <f t="shared" si="187"/>
        <v>1</v>
      </c>
      <c r="AH493">
        <f t="shared" si="200"/>
        <v>0</v>
      </c>
      <c r="AI493">
        <f t="shared" si="205"/>
        <v>0</v>
      </c>
      <c r="AJ493">
        <f t="shared" si="205"/>
        <v>0</v>
      </c>
      <c r="AK493">
        <f t="shared" si="205"/>
        <v>0</v>
      </c>
      <c r="AL493">
        <f t="shared" si="205"/>
        <v>0</v>
      </c>
      <c r="AM493">
        <f t="shared" si="205"/>
        <v>0</v>
      </c>
      <c r="AN493">
        <f t="shared" si="205"/>
        <v>0</v>
      </c>
      <c r="AO493">
        <f t="shared" si="205"/>
        <v>0</v>
      </c>
      <c r="AP493">
        <f t="shared" si="205"/>
        <v>0</v>
      </c>
      <c r="AQ493">
        <f t="shared" si="205"/>
        <v>0</v>
      </c>
      <c r="AR493">
        <f t="shared" si="205"/>
        <v>0</v>
      </c>
      <c r="AS493">
        <f t="shared" si="205"/>
        <v>1</v>
      </c>
      <c r="AT493">
        <f t="shared" si="205"/>
        <v>0</v>
      </c>
      <c r="AU493">
        <f t="shared" si="205"/>
        <v>0</v>
      </c>
      <c r="AV493">
        <f t="shared" si="205"/>
        <v>0</v>
      </c>
      <c r="AW493">
        <f t="shared" si="205"/>
        <v>0</v>
      </c>
      <c r="AX493">
        <f t="shared" si="201"/>
        <v>0</v>
      </c>
      <c r="AY493">
        <f t="shared" si="201"/>
        <v>0</v>
      </c>
      <c r="AZ493">
        <f t="shared" si="201"/>
        <v>1</v>
      </c>
      <c r="BA493">
        <f t="shared" si="202"/>
        <v>0</v>
      </c>
      <c r="BB493">
        <f t="shared" si="203"/>
        <v>1</v>
      </c>
    </row>
    <row r="494" spans="1:54">
      <c r="A494">
        <v>491</v>
      </c>
      <c r="B494" t="s">
        <v>30</v>
      </c>
      <c r="C494" t="s">
        <v>21</v>
      </c>
      <c r="D494" t="s">
        <v>22</v>
      </c>
      <c r="E494" t="s">
        <v>30</v>
      </c>
      <c r="F494" t="s">
        <v>29</v>
      </c>
      <c r="G494" t="s">
        <v>31</v>
      </c>
      <c r="H494" s="3">
        <v>0.44513288773073301</v>
      </c>
      <c r="I494" s="3">
        <v>0.42305316370459001</v>
      </c>
      <c r="J494" s="3">
        <v>0.36129891749783399</v>
      </c>
      <c r="K494" s="3">
        <v>0.37642335563999302</v>
      </c>
      <c r="L494" s="3">
        <v>0.29136669178879099</v>
      </c>
      <c r="M494" s="3">
        <v>0.225945820076669</v>
      </c>
      <c r="N494" s="3">
        <v>0.492307692307692</v>
      </c>
      <c r="O494" s="3">
        <v>0.29557315874627099</v>
      </c>
      <c r="P494">
        <f t="shared" si="188"/>
        <v>0</v>
      </c>
      <c r="Q494">
        <f t="shared" si="189"/>
        <v>0</v>
      </c>
      <c r="R494">
        <f t="shared" si="190"/>
        <v>0</v>
      </c>
      <c r="S494">
        <f t="shared" si="191"/>
        <v>0</v>
      </c>
      <c r="T494">
        <f t="shared" si="192"/>
        <v>1</v>
      </c>
      <c r="U494">
        <f t="shared" si="193"/>
        <v>0</v>
      </c>
      <c r="V494">
        <f t="shared" si="194"/>
        <v>0</v>
      </c>
      <c r="W494">
        <f t="shared" si="195"/>
        <v>0</v>
      </c>
      <c r="X494">
        <f t="shared" si="196"/>
        <v>0</v>
      </c>
      <c r="Y494">
        <f t="shared" si="197"/>
        <v>0</v>
      </c>
      <c r="Z494">
        <f t="shared" si="198"/>
        <v>1</v>
      </c>
      <c r="AA494">
        <f t="shared" si="199"/>
        <v>0</v>
      </c>
      <c r="AB494">
        <f t="shared" si="182"/>
        <v>0</v>
      </c>
      <c r="AC494">
        <f t="shared" si="183"/>
        <v>1</v>
      </c>
      <c r="AD494">
        <f t="shared" si="184"/>
        <v>0</v>
      </c>
      <c r="AE494">
        <f t="shared" si="185"/>
        <v>0</v>
      </c>
      <c r="AF494">
        <f t="shared" si="186"/>
        <v>0</v>
      </c>
      <c r="AG494">
        <f t="shared" si="187"/>
        <v>1</v>
      </c>
      <c r="AH494">
        <f t="shared" si="200"/>
        <v>1</v>
      </c>
      <c r="AI494">
        <f t="shared" ref="AI494:AW510" si="206">IF(OR(AND($D494=AI$1,$G494=AI$2),AND($D494=AI$2,$G494=AI$1)),1,0)</f>
        <v>0</v>
      </c>
      <c r="AJ494">
        <f t="shared" si="206"/>
        <v>0</v>
      </c>
      <c r="AK494">
        <f t="shared" si="206"/>
        <v>0</v>
      </c>
      <c r="AL494">
        <f t="shared" si="206"/>
        <v>0</v>
      </c>
      <c r="AM494">
        <f t="shared" si="206"/>
        <v>0</v>
      </c>
      <c r="AN494">
        <f t="shared" si="206"/>
        <v>0</v>
      </c>
      <c r="AO494">
        <f t="shared" si="206"/>
        <v>0</v>
      </c>
      <c r="AP494">
        <f t="shared" si="206"/>
        <v>0</v>
      </c>
      <c r="AQ494">
        <f t="shared" si="206"/>
        <v>0</v>
      </c>
      <c r="AR494">
        <f t="shared" si="206"/>
        <v>0</v>
      </c>
      <c r="AS494">
        <f t="shared" si="206"/>
        <v>0</v>
      </c>
      <c r="AT494">
        <f t="shared" si="206"/>
        <v>0</v>
      </c>
      <c r="AU494">
        <f t="shared" si="206"/>
        <v>0</v>
      </c>
      <c r="AV494">
        <f t="shared" si="206"/>
        <v>0</v>
      </c>
      <c r="AW494">
        <f t="shared" si="206"/>
        <v>0</v>
      </c>
      <c r="AX494">
        <f t="shared" si="201"/>
        <v>0</v>
      </c>
      <c r="AY494">
        <f t="shared" si="201"/>
        <v>0</v>
      </c>
      <c r="AZ494">
        <f t="shared" si="201"/>
        <v>1</v>
      </c>
      <c r="BA494">
        <f t="shared" si="202"/>
        <v>0</v>
      </c>
      <c r="BB494">
        <f t="shared" si="203"/>
        <v>1</v>
      </c>
    </row>
    <row r="495" spans="1:54">
      <c r="A495">
        <v>492</v>
      </c>
      <c r="B495" t="s">
        <v>30</v>
      </c>
      <c r="C495" t="s">
        <v>21</v>
      </c>
      <c r="D495" t="s">
        <v>22</v>
      </c>
      <c r="E495" t="s">
        <v>30</v>
      </c>
      <c r="F495" t="s">
        <v>29</v>
      </c>
      <c r="G495" t="s">
        <v>25</v>
      </c>
      <c r="H495" s="3">
        <v>3.00758858536766E-3</v>
      </c>
      <c r="I495" s="3">
        <v>2.8973606418076798E-3</v>
      </c>
      <c r="J495" s="3">
        <v>2.54397020976948E-3</v>
      </c>
      <c r="K495" s="3">
        <v>2.6568926507970301E-3</v>
      </c>
      <c r="L495" s="3">
        <v>1.9794489115163398E-3</v>
      </c>
      <c r="M495" s="3">
        <v>1.5707747904416399E-3</v>
      </c>
      <c r="N495" s="3">
        <v>3.21269012599769E-3</v>
      </c>
      <c r="O495" s="3">
        <v>2.0866230961997401E-3</v>
      </c>
      <c r="P495">
        <f t="shared" si="188"/>
        <v>0</v>
      </c>
      <c r="Q495">
        <f t="shared" si="189"/>
        <v>0</v>
      </c>
      <c r="R495">
        <f t="shared" si="190"/>
        <v>0</v>
      </c>
      <c r="S495">
        <f t="shared" si="191"/>
        <v>0</v>
      </c>
      <c r="T495">
        <f t="shared" si="192"/>
        <v>1</v>
      </c>
      <c r="U495">
        <f t="shared" si="193"/>
        <v>0</v>
      </c>
      <c r="V495">
        <f t="shared" si="194"/>
        <v>0</v>
      </c>
      <c r="W495">
        <f t="shared" si="195"/>
        <v>0</v>
      </c>
      <c r="X495">
        <f t="shared" si="196"/>
        <v>0</v>
      </c>
      <c r="Y495">
        <f t="shared" si="197"/>
        <v>0</v>
      </c>
      <c r="Z495">
        <f t="shared" si="198"/>
        <v>0</v>
      </c>
      <c r="AA495">
        <f t="shared" si="199"/>
        <v>0</v>
      </c>
      <c r="AB495">
        <f t="shared" si="182"/>
        <v>0</v>
      </c>
      <c r="AC495">
        <f t="shared" si="183"/>
        <v>0</v>
      </c>
      <c r="AD495">
        <f t="shared" si="184"/>
        <v>0</v>
      </c>
      <c r="AE495">
        <f t="shared" si="185"/>
        <v>0</v>
      </c>
      <c r="AF495">
        <f t="shared" si="186"/>
        <v>0</v>
      </c>
      <c r="AG495">
        <f t="shared" si="187"/>
        <v>1</v>
      </c>
      <c r="AH495">
        <f t="shared" si="200"/>
        <v>0</v>
      </c>
      <c r="AI495">
        <f t="shared" si="206"/>
        <v>0</v>
      </c>
      <c r="AJ495">
        <f t="shared" si="206"/>
        <v>0</v>
      </c>
      <c r="AK495">
        <f t="shared" si="206"/>
        <v>0</v>
      </c>
      <c r="AL495">
        <f t="shared" si="206"/>
        <v>0</v>
      </c>
      <c r="AM495">
        <f t="shared" si="206"/>
        <v>0</v>
      </c>
      <c r="AN495">
        <f t="shared" si="206"/>
        <v>1</v>
      </c>
      <c r="AO495">
        <f t="shared" si="206"/>
        <v>0</v>
      </c>
      <c r="AP495">
        <f t="shared" si="206"/>
        <v>0</v>
      </c>
      <c r="AQ495">
        <f t="shared" si="206"/>
        <v>0</v>
      </c>
      <c r="AR495">
        <f t="shared" si="206"/>
        <v>0</v>
      </c>
      <c r="AS495">
        <f t="shared" si="206"/>
        <v>0</v>
      </c>
      <c r="AT495">
        <f t="shared" si="206"/>
        <v>0</v>
      </c>
      <c r="AU495">
        <f t="shared" si="206"/>
        <v>0</v>
      </c>
      <c r="AV495">
        <f t="shared" si="206"/>
        <v>0</v>
      </c>
      <c r="AW495">
        <f t="shared" si="206"/>
        <v>0</v>
      </c>
      <c r="AX495">
        <f t="shared" si="201"/>
        <v>0</v>
      </c>
      <c r="AY495">
        <f t="shared" si="201"/>
        <v>0</v>
      </c>
      <c r="AZ495">
        <f t="shared" si="201"/>
        <v>1</v>
      </c>
      <c r="BA495">
        <f t="shared" si="202"/>
        <v>1</v>
      </c>
      <c r="BB495">
        <f t="shared" si="203"/>
        <v>1</v>
      </c>
    </row>
    <row r="496" spans="1:54">
      <c r="A496">
        <v>493</v>
      </c>
      <c r="B496" t="s">
        <v>30</v>
      </c>
      <c r="C496" t="s">
        <v>21</v>
      </c>
      <c r="D496" t="s">
        <v>22</v>
      </c>
      <c r="E496" t="s">
        <v>30</v>
      </c>
      <c r="F496" t="s">
        <v>29</v>
      </c>
      <c r="G496" t="s">
        <v>26</v>
      </c>
      <c r="H496" s="3">
        <v>3.07595471090597E-3</v>
      </c>
      <c r="I496" s="3">
        <v>2.9728024511178901E-3</v>
      </c>
      <c r="J496" s="3">
        <v>2.6102596844033302E-3</v>
      </c>
      <c r="K496" s="3">
        <v>2.7330440741754401E-3</v>
      </c>
      <c r="L496" s="3">
        <v>2.0358738938864199E-3</v>
      </c>
      <c r="M496" s="3">
        <v>1.6190080362636699E-3</v>
      </c>
      <c r="N496" s="3">
        <v>3.2854209445585202E-3</v>
      </c>
      <c r="O496" s="3">
        <v>2.14560826525538E-3</v>
      </c>
      <c r="P496">
        <f t="shared" si="188"/>
        <v>0</v>
      </c>
      <c r="Q496">
        <f t="shared" si="189"/>
        <v>0</v>
      </c>
      <c r="R496">
        <f t="shared" si="190"/>
        <v>0</v>
      </c>
      <c r="S496">
        <f t="shared" si="191"/>
        <v>0</v>
      </c>
      <c r="T496">
        <f t="shared" si="192"/>
        <v>1</v>
      </c>
      <c r="U496">
        <f t="shared" si="193"/>
        <v>0</v>
      </c>
      <c r="V496">
        <f t="shared" si="194"/>
        <v>0</v>
      </c>
      <c r="W496">
        <f t="shared" si="195"/>
        <v>0</v>
      </c>
      <c r="X496">
        <f t="shared" si="196"/>
        <v>0</v>
      </c>
      <c r="Y496">
        <f t="shared" si="197"/>
        <v>0</v>
      </c>
      <c r="Z496">
        <f t="shared" si="198"/>
        <v>0</v>
      </c>
      <c r="AA496">
        <f t="shared" si="199"/>
        <v>0</v>
      </c>
      <c r="AB496">
        <f t="shared" si="182"/>
        <v>0</v>
      </c>
      <c r="AC496">
        <f t="shared" si="183"/>
        <v>0</v>
      </c>
      <c r="AD496">
        <f t="shared" si="184"/>
        <v>0</v>
      </c>
      <c r="AE496">
        <f t="shared" si="185"/>
        <v>0</v>
      </c>
      <c r="AF496">
        <f t="shared" si="186"/>
        <v>0</v>
      </c>
      <c r="AG496">
        <f t="shared" si="187"/>
        <v>1</v>
      </c>
      <c r="AH496">
        <f t="shared" si="200"/>
        <v>0</v>
      </c>
      <c r="AI496">
        <f t="shared" si="206"/>
        <v>0</v>
      </c>
      <c r="AJ496">
        <f t="shared" si="206"/>
        <v>1</v>
      </c>
      <c r="AK496">
        <f t="shared" si="206"/>
        <v>0</v>
      </c>
      <c r="AL496">
        <f t="shared" si="206"/>
        <v>0</v>
      </c>
      <c r="AM496">
        <f t="shared" si="206"/>
        <v>0</v>
      </c>
      <c r="AN496">
        <f t="shared" si="206"/>
        <v>0</v>
      </c>
      <c r="AO496">
        <f t="shared" si="206"/>
        <v>0</v>
      </c>
      <c r="AP496">
        <f t="shared" si="206"/>
        <v>0</v>
      </c>
      <c r="AQ496">
        <f t="shared" si="206"/>
        <v>0</v>
      </c>
      <c r="AR496">
        <f t="shared" si="206"/>
        <v>0</v>
      </c>
      <c r="AS496">
        <f t="shared" si="206"/>
        <v>0</v>
      </c>
      <c r="AT496">
        <f t="shared" si="206"/>
        <v>0</v>
      </c>
      <c r="AU496">
        <f t="shared" si="206"/>
        <v>0</v>
      </c>
      <c r="AV496">
        <f t="shared" si="206"/>
        <v>0</v>
      </c>
      <c r="AW496">
        <f t="shared" si="206"/>
        <v>0</v>
      </c>
      <c r="AX496">
        <f t="shared" si="201"/>
        <v>0</v>
      </c>
      <c r="AY496">
        <f t="shared" si="201"/>
        <v>0</v>
      </c>
      <c r="AZ496">
        <f t="shared" si="201"/>
        <v>1</v>
      </c>
      <c r="BA496">
        <f t="shared" si="202"/>
        <v>1</v>
      </c>
      <c r="BB496">
        <f t="shared" si="203"/>
        <v>1</v>
      </c>
    </row>
    <row r="497" spans="1:54">
      <c r="A497">
        <v>494</v>
      </c>
      <c r="B497" t="s">
        <v>30</v>
      </c>
      <c r="C497" t="s">
        <v>21</v>
      </c>
      <c r="D497" t="s">
        <v>23</v>
      </c>
      <c r="E497" t="s">
        <v>30</v>
      </c>
      <c r="F497" t="s">
        <v>21</v>
      </c>
      <c r="G497" t="s">
        <v>24</v>
      </c>
      <c r="H497" s="3">
        <v>2.5445811738724199E-2</v>
      </c>
      <c r="I497" s="3">
        <v>2.4235838256160901E-2</v>
      </c>
      <c r="J497" s="3">
        <v>2.1263025962496102E-2</v>
      </c>
      <c r="K497" s="3">
        <v>2.1853907142039199E-2</v>
      </c>
      <c r="L497" s="3">
        <v>1.53643180098674E-2</v>
      </c>
      <c r="M497" s="3">
        <v>1.1673533175358901E-2</v>
      </c>
      <c r="N497" s="3">
        <v>2.7402700555996799E-2</v>
      </c>
      <c r="O497" s="3">
        <v>1.6775792753406401E-2</v>
      </c>
      <c r="P497">
        <f t="shared" si="188"/>
        <v>0</v>
      </c>
      <c r="Q497">
        <f t="shared" si="189"/>
        <v>0</v>
      </c>
      <c r="R497">
        <f t="shared" si="190"/>
        <v>0</v>
      </c>
      <c r="S497">
        <f t="shared" si="191"/>
        <v>0</v>
      </c>
      <c r="T497">
        <f t="shared" si="192"/>
        <v>0</v>
      </c>
      <c r="U497">
        <f t="shared" si="193"/>
        <v>1</v>
      </c>
      <c r="V497">
        <f t="shared" si="194"/>
        <v>1</v>
      </c>
      <c r="W497">
        <f t="shared" si="195"/>
        <v>0</v>
      </c>
      <c r="X497">
        <f t="shared" si="196"/>
        <v>0</v>
      </c>
      <c r="Y497">
        <f t="shared" si="197"/>
        <v>0</v>
      </c>
      <c r="Z497">
        <f t="shared" si="198"/>
        <v>0</v>
      </c>
      <c r="AA497">
        <f t="shared" si="199"/>
        <v>0</v>
      </c>
      <c r="AB497">
        <f t="shared" si="182"/>
        <v>0</v>
      </c>
      <c r="AC497">
        <f t="shared" si="183"/>
        <v>0</v>
      </c>
      <c r="AD497">
        <f t="shared" si="184"/>
        <v>0</v>
      </c>
      <c r="AE497">
        <f t="shared" si="185"/>
        <v>0</v>
      </c>
      <c r="AF497">
        <f t="shared" si="186"/>
        <v>1</v>
      </c>
      <c r="AG497">
        <f t="shared" si="187"/>
        <v>1</v>
      </c>
      <c r="AH497">
        <f t="shared" si="200"/>
        <v>0</v>
      </c>
      <c r="AI497">
        <f t="shared" si="206"/>
        <v>0</v>
      </c>
      <c r="AJ497">
        <f t="shared" si="206"/>
        <v>0</v>
      </c>
      <c r="AK497">
        <f t="shared" si="206"/>
        <v>0</v>
      </c>
      <c r="AL497">
        <f t="shared" si="206"/>
        <v>0</v>
      </c>
      <c r="AM497">
        <f t="shared" si="206"/>
        <v>0</v>
      </c>
      <c r="AN497">
        <f t="shared" si="206"/>
        <v>0</v>
      </c>
      <c r="AO497">
        <f t="shared" si="206"/>
        <v>0</v>
      </c>
      <c r="AP497">
        <f t="shared" si="206"/>
        <v>0</v>
      </c>
      <c r="AQ497">
        <f t="shared" si="206"/>
        <v>0</v>
      </c>
      <c r="AR497">
        <f t="shared" si="206"/>
        <v>0</v>
      </c>
      <c r="AS497">
        <f t="shared" si="206"/>
        <v>0</v>
      </c>
      <c r="AT497">
        <f t="shared" si="206"/>
        <v>0</v>
      </c>
      <c r="AU497">
        <f t="shared" si="206"/>
        <v>1</v>
      </c>
      <c r="AV497">
        <f t="shared" si="206"/>
        <v>0</v>
      </c>
      <c r="AW497">
        <f t="shared" si="206"/>
        <v>0</v>
      </c>
      <c r="AX497">
        <f t="shared" si="201"/>
        <v>0</v>
      </c>
      <c r="AY497">
        <f t="shared" si="201"/>
        <v>0</v>
      </c>
      <c r="AZ497">
        <f t="shared" si="201"/>
        <v>0</v>
      </c>
      <c r="BA497">
        <f t="shared" si="202"/>
        <v>0</v>
      </c>
      <c r="BB497">
        <f t="shared" si="203"/>
        <v>0</v>
      </c>
    </row>
    <row r="498" spans="1:54">
      <c r="A498">
        <v>495</v>
      </c>
      <c r="B498" t="s">
        <v>30</v>
      </c>
      <c r="C498" t="s">
        <v>21</v>
      </c>
      <c r="D498" t="s">
        <v>23</v>
      </c>
      <c r="E498" t="s">
        <v>30</v>
      </c>
      <c r="F498" t="s">
        <v>21</v>
      </c>
      <c r="G498" t="s">
        <v>25</v>
      </c>
      <c r="H498" s="3">
        <v>1.9221239984088999E-2</v>
      </c>
      <c r="I498" s="3">
        <v>1.8541330679073501E-2</v>
      </c>
      <c r="J498" s="3">
        <v>1.6149449680993501E-2</v>
      </c>
      <c r="K498" s="3">
        <v>1.6905574153291199E-2</v>
      </c>
      <c r="L498" s="3">
        <v>1.19652191176268E-2</v>
      </c>
      <c r="M498" s="3">
        <v>9.2991380510991407E-3</v>
      </c>
      <c r="N498" s="3">
        <v>2.0683453237409999E-2</v>
      </c>
      <c r="O498" s="3">
        <v>1.28173228154418E-2</v>
      </c>
      <c r="P498">
        <f t="shared" si="188"/>
        <v>0</v>
      </c>
      <c r="Q498">
        <f t="shared" si="189"/>
        <v>0</v>
      </c>
      <c r="R498">
        <f t="shared" si="190"/>
        <v>0</v>
      </c>
      <c r="S498">
        <f t="shared" si="191"/>
        <v>0</v>
      </c>
      <c r="T498">
        <f t="shared" si="192"/>
        <v>0</v>
      </c>
      <c r="U498">
        <f t="shared" si="193"/>
        <v>1</v>
      </c>
      <c r="V498">
        <f t="shared" si="194"/>
        <v>0</v>
      </c>
      <c r="W498">
        <f t="shared" si="195"/>
        <v>0</v>
      </c>
      <c r="X498">
        <f t="shared" si="196"/>
        <v>0</v>
      </c>
      <c r="Y498">
        <f t="shared" si="197"/>
        <v>0</v>
      </c>
      <c r="Z498">
        <f t="shared" si="198"/>
        <v>0</v>
      </c>
      <c r="AA498">
        <f t="shared" si="199"/>
        <v>0</v>
      </c>
      <c r="AB498">
        <f t="shared" si="182"/>
        <v>0</v>
      </c>
      <c r="AC498">
        <f t="shared" si="183"/>
        <v>0</v>
      </c>
      <c r="AD498">
        <f t="shared" si="184"/>
        <v>0</v>
      </c>
      <c r="AE498">
        <f t="shared" si="185"/>
        <v>0</v>
      </c>
      <c r="AF498">
        <f t="shared" si="186"/>
        <v>1</v>
      </c>
      <c r="AG498">
        <f t="shared" si="187"/>
        <v>1</v>
      </c>
      <c r="AH498">
        <f t="shared" si="200"/>
        <v>0</v>
      </c>
      <c r="AI498">
        <f t="shared" si="206"/>
        <v>0</v>
      </c>
      <c r="AJ498">
        <f t="shared" si="206"/>
        <v>0</v>
      </c>
      <c r="AK498">
        <f t="shared" si="206"/>
        <v>0</v>
      </c>
      <c r="AL498">
        <f t="shared" si="206"/>
        <v>0</v>
      </c>
      <c r="AM498">
        <f t="shared" si="206"/>
        <v>0</v>
      </c>
      <c r="AN498">
        <f t="shared" si="206"/>
        <v>0</v>
      </c>
      <c r="AO498">
        <f t="shared" si="206"/>
        <v>1</v>
      </c>
      <c r="AP498">
        <f t="shared" si="206"/>
        <v>0</v>
      </c>
      <c r="AQ498">
        <f t="shared" si="206"/>
        <v>0</v>
      </c>
      <c r="AR498">
        <f t="shared" si="206"/>
        <v>0</v>
      </c>
      <c r="AS498">
        <f t="shared" si="206"/>
        <v>0</v>
      </c>
      <c r="AT498">
        <f t="shared" si="206"/>
        <v>0</v>
      </c>
      <c r="AU498">
        <f t="shared" si="206"/>
        <v>0</v>
      </c>
      <c r="AV498">
        <f t="shared" si="206"/>
        <v>0</v>
      </c>
      <c r="AW498">
        <f t="shared" si="206"/>
        <v>0</v>
      </c>
      <c r="AX498">
        <f t="shared" si="201"/>
        <v>0</v>
      </c>
      <c r="AY498">
        <f t="shared" si="201"/>
        <v>0</v>
      </c>
      <c r="AZ498">
        <f t="shared" si="201"/>
        <v>0</v>
      </c>
      <c r="BA498">
        <f t="shared" si="202"/>
        <v>1</v>
      </c>
      <c r="BB498">
        <f t="shared" si="203"/>
        <v>0</v>
      </c>
    </row>
    <row r="499" spans="1:54">
      <c r="A499">
        <v>496</v>
      </c>
      <c r="B499" t="s">
        <v>30</v>
      </c>
      <c r="C499" t="s">
        <v>21</v>
      </c>
      <c r="D499" t="s">
        <v>23</v>
      </c>
      <c r="E499" t="s">
        <v>30</v>
      </c>
      <c r="F499" t="s">
        <v>21</v>
      </c>
      <c r="G499" t="s">
        <v>26</v>
      </c>
      <c r="H499" s="3">
        <v>1.94814299915048E-2</v>
      </c>
      <c r="I499" s="3">
        <v>1.88007223005346E-2</v>
      </c>
      <c r="J499" s="3">
        <v>1.6399929633912399E-2</v>
      </c>
      <c r="K499" s="3">
        <v>1.7169400124476101E-2</v>
      </c>
      <c r="L499" s="3">
        <v>1.21441716032552E-2</v>
      </c>
      <c r="M499" s="3">
        <v>9.4357608376519596E-3</v>
      </c>
      <c r="N499" s="3">
        <v>2.0940819423368701E-2</v>
      </c>
      <c r="O499" s="3">
        <v>1.3078193721277101E-2</v>
      </c>
      <c r="P499">
        <f t="shared" si="188"/>
        <v>0</v>
      </c>
      <c r="Q499">
        <f t="shared" si="189"/>
        <v>0</v>
      </c>
      <c r="R499">
        <f t="shared" si="190"/>
        <v>0</v>
      </c>
      <c r="S499">
        <f t="shared" si="191"/>
        <v>0</v>
      </c>
      <c r="T499">
        <f t="shared" si="192"/>
        <v>0</v>
      </c>
      <c r="U499">
        <f t="shared" si="193"/>
        <v>1</v>
      </c>
      <c r="V499">
        <f t="shared" si="194"/>
        <v>0</v>
      </c>
      <c r="W499">
        <f t="shared" si="195"/>
        <v>0</v>
      </c>
      <c r="X499">
        <f t="shared" si="196"/>
        <v>0</v>
      </c>
      <c r="Y499">
        <f t="shared" si="197"/>
        <v>0</v>
      </c>
      <c r="Z499">
        <f t="shared" si="198"/>
        <v>0</v>
      </c>
      <c r="AA499">
        <f t="shared" si="199"/>
        <v>0</v>
      </c>
      <c r="AB499">
        <f t="shared" si="182"/>
        <v>0</v>
      </c>
      <c r="AC499">
        <f t="shared" si="183"/>
        <v>0</v>
      </c>
      <c r="AD499">
        <f t="shared" si="184"/>
        <v>0</v>
      </c>
      <c r="AE499">
        <f t="shared" si="185"/>
        <v>0</v>
      </c>
      <c r="AF499">
        <f t="shared" si="186"/>
        <v>1</v>
      </c>
      <c r="AG499">
        <f t="shared" si="187"/>
        <v>1</v>
      </c>
      <c r="AH499">
        <f t="shared" si="200"/>
        <v>0</v>
      </c>
      <c r="AI499">
        <f t="shared" si="206"/>
        <v>0</v>
      </c>
      <c r="AJ499">
        <f t="shared" si="206"/>
        <v>0</v>
      </c>
      <c r="AK499">
        <f t="shared" si="206"/>
        <v>1</v>
      </c>
      <c r="AL499">
        <f t="shared" si="206"/>
        <v>0</v>
      </c>
      <c r="AM499">
        <f t="shared" si="206"/>
        <v>0</v>
      </c>
      <c r="AN499">
        <f t="shared" si="206"/>
        <v>0</v>
      </c>
      <c r="AO499">
        <f t="shared" si="206"/>
        <v>0</v>
      </c>
      <c r="AP499">
        <f t="shared" si="206"/>
        <v>0</v>
      </c>
      <c r="AQ499">
        <f t="shared" si="206"/>
        <v>0</v>
      </c>
      <c r="AR499">
        <f t="shared" si="206"/>
        <v>0</v>
      </c>
      <c r="AS499">
        <f t="shared" si="206"/>
        <v>0</v>
      </c>
      <c r="AT499">
        <f t="shared" si="206"/>
        <v>0</v>
      </c>
      <c r="AU499">
        <f t="shared" si="206"/>
        <v>0</v>
      </c>
      <c r="AV499">
        <f t="shared" si="206"/>
        <v>0</v>
      </c>
      <c r="AW499">
        <f t="shared" si="206"/>
        <v>0</v>
      </c>
      <c r="AX499">
        <f t="shared" si="201"/>
        <v>0</v>
      </c>
      <c r="AY499">
        <f t="shared" si="201"/>
        <v>0</v>
      </c>
      <c r="AZ499">
        <f t="shared" si="201"/>
        <v>0</v>
      </c>
      <c r="BA499">
        <f t="shared" si="202"/>
        <v>1</v>
      </c>
      <c r="BB499">
        <f t="shared" si="203"/>
        <v>0</v>
      </c>
    </row>
    <row r="500" spans="1:54">
      <c r="A500">
        <v>497</v>
      </c>
      <c r="B500" t="s">
        <v>30</v>
      </c>
      <c r="C500" t="s">
        <v>21</v>
      </c>
      <c r="D500" t="s">
        <v>23</v>
      </c>
      <c r="E500" t="s">
        <v>30</v>
      </c>
      <c r="F500" t="s">
        <v>21</v>
      </c>
      <c r="G500" t="s">
        <v>27</v>
      </c>
      <c r="H500" s="3">
        <v>6.3917571807888707E-2</v>
      </c>
      <c r="I500" s="3">
        <v>6.1107831625314697E-2</v>
      </c>
      <c r="J500" s="3">
        <v>5.2725793576654502E-2</v>
      </c>
      <c r="K500" s="3">
        <v>5.4806705051404399E-2</v>
      </c>
      <c r="L500" s="3">
        <v>3.8772400448856E-2</v>
      </c>
      <c r="M500" s="3">
        <v>2.9641483300345901E-2</v>
      </c>
      <c r="N500" s="3">
        <v>6.9767441860465101E-2</v>
      </c>
      <c r="O500" s="3">
        <v>4.10542240182196E-2</v>
      </c>
      <c r="P500">
        <f t="shared" si="188"/>
        <v>0</v>
      </c>
      <c r="Q500">
        <f t="shared" si="189"/>
        <v>0</v>
      </c>
      <c r="R500">
        <f t="shared" si="190"/>
        <v>0</v>
      </c>
      <c r="S500">
        <f t="shared" si="191"/>
        <v>0</v>
      </c>
      <c r="T500">
        <f t="shared" si="192"/>
        <v>0</v>
      </c>
      <c r="U500">
        <f t="shared" si="193"/>
        <v>1</v>
      </c>
      <c r="V500">
        <f t="shared" si="194"/>
        <v>0</v>
      </c>
      <c r="W500">
        <f t="shared" si="195"/>
        <v>1</v>
      </c>
      <c r="X500">
        <f t="shared" si="196"/>
        <v>0</v>
      </c>
      <c r="Y500">
        <f t="shared" si="197"/>
        <v>0</v>
      </c>
      <c r="Z500">
        <f t="shared" si="198"/>
        <v>0</v>
      </c>
      <c r="AA500">
        <f t="shared" si="199"/>
        <v>0</v>
      </c>
      <c r="AB500">
        <f t="shared" si="182"/>
        <v>0</v>
      </c>
      <c r="AC500">
        <f t="shared" si="183"/>
        <v>0</v>
      </c>
      <c r="AD500">
        <f t="shared" si="184"/>
        <v>0</v>
      </c>
      <c r="AE500">
        <f t="shared" si="185"/>
        <v>0</v>
      </c>
      <c r="AF500">
        <f t="shared" si="186"/>
        <v>1</v>
      </c>
      <c r="AG500">
        <f t="shared" si="187"/>
        <v>1</v>
      </c>
      <c r="AH500">
        <f t="shared" si="200"/>
        <v>0</v>
      </c>
      <c r="AI500">
        <f t="shared" si="206"/>
        <v>0</v>
      </c>
      <c r="AJ500">
        <f t="shared" si="206"/>
        <v>0</v>
      </c>
      <c r="AK500">
        <f t="shared" si="206"/>
        <v>0</v>
      </c>
      <c r="AL500">
        <f t="shared" si="206"/>
        <v>0</v>
      </c>
      <c r="AM500">
        <f t="shared" si="206"/>
        <v>0</v>
      </c>
      <c r="AN500">
        <f t="shared" si="206"/>
        <v>0</v>
      </c>
      <c r="AO500">
        <f t="shared" si="206"/>
        <v>0</v>
      </c>
      <c r="AP500">
        <f t="shared" si="206"/>
        <v>0</v>
      </c>
      <c r="AQ500">
        <f t="shared" si="206"/>
        <v>0</v>
      </c>
      <c r="AR500">
        <f t="shared" si="206"/>
        <v>0</v>
      </c>
      <c r="AS500">
        <f t="shared" si="206"/>
        <v>0</v>
      </c>
      <c r="AT500">
        <f t="shared" si="206"/>
        <v>0</v>
      </c>
      <c r="AU500">
        <f t="shared" si="206"/>
        <v>0</v>
      </c>
      <c r="AV500">
        <f t="shared" si="206"/>
        <v>1</v>
      </c>
      <c r="AW500">
        <f t="shared" si="206"/>
        <v>0</v>
      </c>
      <c r="AX500">
        <f t="shared" si="201"/>
        <v>0</v>
      </c>
      <c r="AY500">
        <f t="shared" si="201"/>
        <v>0</v>
      </c>
      <c r="AZ500">
        <f t="shared" si="201"/>
        <v>0</v>
      </c>
      <c r="BA500">
        <f t="shared" si="202"/>
        <v>0</v>
      </c>
      <c r="BB500">
        <f t="shared" si="203"/>
        <v>0</v>
      </c>
    </row>
    <row r="501" spans="1:54">
      <c r="A501">
        <v>498</v>
      </c>
      <c r="B501" t="s">
        <v>30</v>
      </c>
      <c r="C501" t="s">
        <v>21</v>
      </c>
      <c r="D501" t="s">
        <v>23</v>
      </c>
      <c r="E501" t="s">
        <v>30</v>
      </c>
      <c r="F501" t="s">
        <v>28</v>
      </c>
      <c r="G501" t="s">
        <v>22</v>
      </c>
      <c r="H501" s="3">
        <v>0.84627349209867797</v>
      </c>
      <c r="I501" s="3">
        <v>0.82222355048271401</v>
      </c>
      <c r="J501" s="3">
        <v>0.671711058043584</v>
      </c>
      <c r="K501" s="3">
        <v>0.74139280454399104</v>
      </c>
      <c r="L501" s="3">
        <v>0.55302211925088196</v>
      </c>
      <c r="M501" s="3">
        <v>0.43779167540512398</v>
      </c>
      <c r="N501" s="3">
        <v>0.98571428571428499</v>
      </c>
      <c r="O501" s="3">
        <v>0.57445749946228197</v>
      </c>
      <c r="P501">
        <f t="shared" si="188"/>
        <v>1</v>
      </c>
      <c r="Q501">
        <f t="shared" si="189"/>
        <v>0</v>
      </c>
      <c r="R501">
        <f t="shared" si="190"/>
        <v>0</v>
      </c>
      <c r="S501">
        <f t="shared" si="191"/>
        <v>0</v>
      </c>
      <c r="T501">
        <f t="shared" si="192"/>
        <v>0</v>
      </c>
      <c r="U501">
        <f t="shared" si="193"/>
        <v>1</v>
      </c>
      <c r="V501">
        <f t="shared" si="194"/>
        <v>0</v>
      </c>
      <c r="W501">
        <f t="shared" si="195"/>
        <v>0</v>
      </c>
      <c r="X501">
        <f t="shared" si="196"/>
        <v>0</v>
      </c>
      <c r="Y501">
        <f t="shared" si="197"/>
        <v>0</v>
      </c>
      <c r="Z501">
        <f t="shared" si="198"/>
        <v>0</v>
      </c>
      <c r="AA501">
        <f t="shared" si="199"/>
        <v>0</v>
      </c>
      <c r="AB501">
        <f t="shared" si="182"/>
        <v>0</v>
      </c>
      <c r="AC501">
        <f t="shared" si="183"/>
        <v>1</v>
      </c>
      <c r="AD501">
        <f t="shared" si="184"/>
        <v>0</v>
      </c>
      <c r="AE501">
        <f t="shared" si="185"/>
        <v>0</v>
      </c>
      <c r="AF501">
        <f t="shared" si="186"/>
        <v>0</v>
      </c>
      <c r="AG501">
        <f t="shared" si="187"/>
        <v>1</v>
      </c>
      <c r="AH501">
        <f t="shared" si="200"/>
        <v>1</v>
      </c>
      <c r="AI501">
        <f t="shared" si="206"/>
        <v>0</v>
      </c>
      <c r="AJ501">
        <f t="shared" si="206"/>
        <v>0</v>
      </c>
      <c r="AK501">
        <f t="shared" si="206"/>
        <v>0</v>
      </c>
      <c r="AL501">
        <f t="shared" si="206"/>
        <v>0</v>
      </c>
      <c r="AM501">
        <f t="shared" si="206"/>
        <v>0</v>
      </c>
      <c r="AN501">
        <f t="shared" si="206"/>
        <v>0</v>
      </c>
      <c r="AO501">
        <f t="shared" si="206"/>
        <v>0</v>
      </c>
      <c r="AP501">
        <f t="shared" si="206"/>
        <v>0</v>
      </c>
      <c r="AQ501">
        <f t="shared" si="206"/>
        <v>0</v>
      </c>
      <c r="AR501">
        <f t="shared" si="206"/>
        <v>1</v>
      </c>
      <c r="AS501">
        <f t="shared" si="206"/>
        <v>0</v>
      </c>
      <c r="AT501">
        <f t="shared" si="206"/>
        <v>0</v>
      </c>
      <c r="AU501">
        <f t="shared" si="206"/>
        <v>0</v>
      </c>
      <c r="AV501">
        <f t="shared" si="206"/>
        <v>0</v>
      </c>
      <c r="AW501">
        <f t="shared" si="206"/>
        <v>0</v>
      </c>
      <c r="AX501">
        <f t="shared" si="201"/>
        <v>1</v>
      </c>
      <c r="AY501">
        <f t="shared" si="201"/>
        <v>0</v>
      </c>
      <c r="AZ501">
        <f t="shared" si="201"/>
        <v>0</v>
      </c>
      <c r="BA501">
        <f t="shared" si="202"/>
        <v>0</v>
      </c>
      <c r="BB501">
        <f t="shared" si="203"/>
        <v>0</v>
      </c>
    </row>
    <row r="502" spans="1:54">
      <c r="A502">
        <v>499</v>
      </c>
      <c r="B502" t="s">
        <v>30</v>
      </c>
      <c r="C502" t="s">
        <v>21</v>
      </c>
      <c r="D502" t="s">
        <v>23</v>
      </c>
      <c r="E502" t="s">
        <v>30</v>
      </c>
      <c r="F502" t="s">
        <v>28</v>
      </c>
      <c r="G502" t="s">
        <v>23</v>
      </c>
      <c r="H502" s="3">
        <v>0.77122055473583395</v>
      </c>
      <c r="I502" s="3">
        <v>0.77244949775134297</v>
      </c>
      <c r="J502" s="3">
        <v>0.69144391827818197</v>
      </c>
      <c r="K502" s="3">
        <v>0.72945125253401899</v>
      </c>
      <c r="L502" s="3">
        <v>0.65124431389847104</v>
      </c>
      <c r="M502" s="3">
        <v>0.57212204274647904</v>
      </c>
      <c r="N502" s="3">
        <v>0.83132530120481896</v>
      </c>
      <c r="O502" s="3">
        <v>0.65294153341594796</v>
      </c>
      <c r="P502">
        <f t="shared" si="188"/>
        <v>0</v>
      </c>
      <c r="Q502">
        <f t="shared" si="189"/>
        <v>1</v>
      </c>
      <c r="R502">
        <f t="shared" si="190"/>
        <v>0</v>
      </c>
      <c r="S502">
        <f t="shared" si="191"/>
        <v>0</v>
      </c>
      <c r="T502">
        <f t="shared" si="192"/>
        <v>0</v>
      </c>
      <c r="U502">
        <f t="shared" si="193"/>
        <v>1</v>
      </c>
      <c r="V502">
        <f t="shared" si="194"/>
        <v>0</v>
      </c>
      <c r="W502">
        <f t="shared" si="195"/>
        <v>0</v>
      </c>
      <c r="X502">
        <f t="shared" si="196"/>
        <v>0</v>
      </c>
      <c r="Y502">
        <f t="shared" si="197"/>
        <v>0</v>
      </c>
      <c r="Z502">
        <f t="shared" si="198"/>
        <v>0</v>
      </c>
      <c r="AA502">
        <f t="shared" si="199"/>
        <v>0</v>
      </c>
      <c r="AB502">
        <f t="shared" si="182"/>
        <v>0</v>
      </c>
      <c r="AC502">
        <f t="shared" si="183"/>
        <v>1</v>
      </c>
      <c r="AD502">
        <f t="shared" si="184"/>
        <v>0</v>
      </c>
      <c r="AE502">
        <f t="shared" si="185"/>
        <v>0</v>
      </c>
      <c r="AF502">
        <f t="shared" si="186"/>
        <v>0</v>
      </c>
      <c r="AG502">
        <f t="shared" si="187"/>
        <v>1</v>
      </c>
      <c r="AH502">
        <f t="shared" si="200"/>
        <v>1</v>
      </c>
      <c r="AI502">
        <f t="shared" si="206"/>
        <v>0</v>
      </c>
      <c r="AJ502">
        <f t="shared" si="206"/>
        <v>0</v>
      </c>
      <c r="AK502">
        <f t="shared" si="206"/>
        <v>0</v>
      </c>
      <c r="AL502">
        <f t="shared" si="206"/>
        <v>0</v>
      </c>
      <c r="AM502">
        <f t="shared" si="206"/>
        <v>0</v>
      </c>
      <c r="AN502">
        <f t="shared" si="206"/>
        <v>0</v>
      </c>
      <c r="AO502">
        <f t="shared" si="206"/>
        <v>0</v>
      </c>
      <c r="AP502">
        <f t="shared" si="206"/>
        <v>0</v>
      </c>
      <c r="AQ502">
        <f t="shared" si="206"/>
        <v>0</v>
      </c>
      <c r="AR502">
        <f t="shared" si="206"/>
        <v>0</v>
      </c>
      <c r="AS502">
        <f t="shared" si="206"/>
        <v>0</v>
      </c>
      <c r="AT502">
        <f t="shared" si="206"/>
        <v>0</v>
      </c>
      <c r="AU502">
        <f t="shared" si="206"/>
        <v>0</v>
      </c>
      <c r="AV502">
        <f t="shared" si="206"/>
        <v>0</v>
      </c>
      <c r="AW502">
        <f t="shared" si="206"/>
        <v>0</v>
      </c>
      <c r="AX502">
        <f t="shared" si="201"/>
        <v>1</v>
      </c>
      <c r="AY502">
        <f t="shared" si="201"/>
        <v>0</v>
      </c>
      <c r="AZ502">
        <f t="shared" si="201"/>
        <v>0</v>
      </c>
      <c r="BA502">
        <f t="shared" si="202"/>
        <v>0</v>
      </c>
      <c r="BB502">
        <f t="shared" si="203"/>
        <v>0</v>
      </c>
    </row>
    <row r="503" spans="1:54">
      <c r="A503">
        <v>500</v>
      </c>
      <c r="B503" t="s">
        <v>30</v>
      </c>
      <c r="C503" t="s">
        <v>21</v>
      </c>
      <c r="D503" t="s">
        <v>23</v>
      </c>
      <c r="E503" t="s">
        <v>30</v>
      </c>
      <c r="F503" t="s">
        <v>28</v>
      </c>
      <c r="G503" t="s">
        <v>24</v>
      </c>
      <c r="H503" s="3">
        <v>2.5405973129712101E-2</v>
      </c>
      <c r="I503" s="3">
        <v>2.4219357522739599E-2</v>
      </c>
      <c r="J503" s="3">
        <v>2.1216277198568698E-2</v>
      </c>
      <c r="K503" s="3">
        <v>2.1813709554177999E-2</v>
      </c>
      <c r="L503" s="3">
        <v>1.54153742860132E-2</v>
      </c>
      <c r="M503" s="3">
        <v>1.1769127405359899E-2</v>
      </c>
      <c r="N503" s="3">
        <v>2.7446300715990399E-2</v>
      </c>
      <c r="O503" s="3">
        <v>1.6735471689168498E-2</v>
      </c>
      <c r="P503">
        <f t="shared" si="188"/>
        <v>0</v>
      </c>
      <c r="Q503">
        <f t="shared" si="189"/>
        <v>0</v>
      </c>
      <c r="R503">
        <f t="shared" si="190"/>
        <v>1</v>
      </c>
      <c r="S503">
        <f t="shared" si="191"/>
        <v>0</v>
      </c>
      <c r="T503">
        <f t="shared" si="192"/>
        <v>0</v>
      </c>
      <c r="U503">
        <f t="shared" si="193"/>
        <v>1</v>
      </c>
      <c r="V503">
        <f t="shared" si="194"/>
        <v>0</v>
      </c>
      <c r="W503">
        <f t="shared" si="195"/>
        <v>0</v>
      </c>
      <c r="X503">
        <f t="shared" si="196"/>
        <v>0</v>
      </c>
      <c r="Y503">
        <f t="shared" si="197"/>
        <v>0</v>
      </c>
      <c r="Z503">
        <f t="shared" si="198"/>
        <v>0</v>
      </c>
      <c r="AA503">
        <f t="shared" si="199"/>
        <v>0</v>
      </c>
      <c r="AB503">
        <f t="shared" si="182"/>
        <v>0</v>
      </c>
      <c r="AC503">
        <f t="shared" si="183"/>
        <v>0</v>
      </c>
      <c r="AD503">
        <f t="shared" si="184"/>
        <v>0</v>
      </c>
      <c r="AE503">
        <f t="shared" si="185"/>
        <v>0</v>
      </c>
      <c r="AF503">
        <f t="shared" si="186"/>
        <v>0</v>
      </c>
      <c r="AG503">
        <f t="shared" si="187"/>
        <v>1</v>
      </c>
      <c r="AH503">
        <f t="shared" si="200"/>
        <v>0</v>
      </c>
      <c r="AI503">
        <f t="shared" si="206"/>
        <v>0</v>
      </c>
      <c r="AJ503">
        <f t="shared" si="206"/>
        <v>0</v>
      </c>
      <c r="AK503">
        <f t="shared" si="206"/>
        <v>0</v>
      </c>
      <c r="AL503">
        <f t="shared" si="206"/>
        <v>0</v>
      </c>
      <c r="AM503">
        <f t="shared" si="206"/>
        <v>0</v>
      </c>
      <c r="AN503">
        <f t="shared" si="206"/>
        <v>0</v>
      </c>
      <c r="AO503">
        <f t="shared" si="206"/>
        <v>0</v>
      </c>
      <c r="AP503">
        <f t="shared" si="206"/>
        <v>0</v>
      </c>
      <c r="AQ503">
        <f t="shared" si="206"/>
        <v>0</v>
      </c>
      <c r="AR503">
        <f t="shared" si="206"/>
        <v>0</v>
      </c>
      <c r="AS503">
        <f t="shared" si="206"/>
        <v>0</v>
      </c>
      <c r="AT503">
        <f t="shared" si="206"/>
        <v>0</v>
      </c>
      <c r="AU503">
        <f t="shared" si="206"/>
        <v>1</v>
      </c>
      <c r="AV503">
        <f t="shared" si="206"/>
        <v>0</v>
      </c>
      <c r="AW503">
        <f t="shared" si="206"/>
        <v>0</v>
      </c>
      <c r="AX503">
        <f t="shared" si="201"/>
        <v>1</v>
      </c>
      <c r="AY503">
        <f t="shared" si="201"/>
        <v>0</v>
      </c>
      <c r="AZ503">
        <f t="shared" si="201"/>
        <v>0</v>
      </c>
      <c r="BA503">
        <f t="shared" si="202"/>
        <v>0</v>
      </c>
      <c r="BB503">
        <f t="shared" si="203"/>
        <v>0</v>
      </c>
    </row>
    <row r="504" spans="1:54">
      <c r="A504">
        <v>501</v>
      </c>
      <c r="B504" t="s">
        <v>30</v>
      </c>
      <c r="C504" t="s">
        <v>21</v>
      </c>
      <c r="D504" t="s">
        <v>23</v>
      </c>
      <c r="E504" t="s">
        <v>30</v>
      </c>
      <c r="F504" t="s">
        <v>28</v>
      </c>
      <c r="G504" t="s">
        <v>25</v>
      </c>
      <c r="H504" s="3">
        <v>1.9164270686369101E-2</v>
      </c>
      <c r="I504" s="3">
        <v>1.83542358673346E-2</v>
      </c>
      <c r="J504" s="3">
        <v>1.6171501709361699E-2</v>
      </c>
      <c r="K504" s="3">
        <v>1.6777301741081E-2</v>
      </c>
      <c r="L504" s="3">
        <v>1.20223570212521E-2</v>
      </c>
      <c r="M504" s="3">
        <v>9.3372533664449597E-3</v>
      </c>
      <c r="N504" s="3">
        <v>2.0402128917800098E-2</v>
      </c>
      <c r="O504" s="3">
        <v>1.31219525016742E-2</v>
      </c>
      <c r="P504">
        <f t="shared" si="188"/>
        <v>0</v>
      </c>
      <c r="Q504">
        <f t="shared" si="189"/>
        <v>0</v>
      </c>
      <c r="R504">
        <f t="shared" si="190"/>
        <v>0</v>
      </c>
      <c r="S504">
        <f t="shared" si="191"/>
        <v>0</v>
      </c>
      <c r="T504">
        <f t="shared" si="192"/>
        <v>0</v>
      </c>
      <c r="U504">
        <f t="shared" si="193"/>
        <v>1</v>
      </c>
      <c r="V504">
        <f t="shared" si="194"/>
        <v>0</v>
      </c>
      <c r="W504">
        <f t="shared" si="195"/>
        <v>0</v>
      </c>
      <c r="X504">
        <f t="shared" si="196"/>
        <v>0</v>
      </c>
      <c r="Y504">
        <f t="shared" si="197"/>
        <v>0</v>
      </c>
      <c r="Z504">
        <f t="shared" si="198"/>
        <v>0</v>
      </c>
      <c r="AA504">
        <f t="shared" si="199"/>
        <v>0</v>
      </c>
      <c r="AB504">
        <f t="shared" si="182"/>
        <v>0</v>
      </c>
      <c r="AC504">
        <f t="shared" si="183"/>
        <v>0</v>
      </c>
      <c r="AD504">
        <f t="shared" si="184"/>
        <v>0</v>
      </c>
      <c r="AE504">
        <f t="shared" si="185"/>
        <v>0</v>
      </c>
      <c r="AF504">
        <f t="shared" si="186"/>
        <v>0</v>
      </c>
      <c r="AG504">
        <f t="shared" si="187"/>
        <v>1</v>
      </c>
      <c r="AH504">
        <f t="shared" si="200"/>
        <v>0</v>
      </c>
      <c r="AI504">
        <f t="shared" si="206"/>
        <v>0</v>
      </c>
      <c r="AJ504">
        <f t="shared" si="206"/>
        <v>0</v>
      </c>
      <c r="AK504">
        <f t="shared" si="206"/>
        <v>0</v>
      </c>
      <c r="AL504">
        <f t="shared" si="206"/>
        <v>0</v>
      </c>
      <c r="AM504">
        <f t="shared" si="206"/>
        <v>0</v>
      </c>
      <c r="AN504">
        <f t="shared" si="206"/>
        <v>0</v>
      </c>
      <c r="AO504">
        <f t="shared" si="206"/>
        <v>1</v>
      </c>
      <c r="AP504">
        <f t="shared" si="206"/>
        <v>0</v>
      </c>
      <c r="AQ504">
        <f t="shared" si="206"/>
        <v>0</v>
      </c>
      <c r="AR504">
        <f t="shared" si="206"/>
        <v>0</v>
      </c>
      <c r="AS504">
        <f t="shared" si="206"/>
        <v>0</v>
      </c>
      <c r="AT504">
        <f t="shared" si="206"/>
        <v>0</v>
      </c>
      <c r="AU504">
        <f t="shared" si="206"/>
        <v>0</v>
      </c>
      <c r="AV504">
        <f t="shared" si="206"/>
        <v>0</v>
      </c>
      <c r="AW504">
        <f t="shared" si="206"/>
        <v>0</v>
      </c>
      <c r="AX504">
        <f t="shared" si="201"/>
        <v>1</v>
      </c>
      <c r="AY504">
        <f t="shared" si="201"/>
        <v>0</v>
      </c>
      <c r="AZ504">
        <f t="shared" si="201"/>
        <v>0</v>
      </c>
      <c r="BA504">
        <f t="shared" si="202"/>
        <v>1</v>
      </c>
      <c r="BB504">
        <f t="shared" si="203"/>
        <v>0</v>
      </c>
    </row>
    <row r="505" spans="1:54">
      <c r="A505">
        <v>502</v>
      </c>
      <c r="B505" t="s">
        <v>30</v>
      </c>
      <c r="C505" t="s">
        <v>21</v>
      </c>
      <c r="D505" t="s">
        <v>23</v>
      </c>
      <c r="E505" t="s">
        <v>30</v>
      </c>
      <c r="F505" t="s">
        <v>28</v>
      </c>
      <c r="G505" t="s">
        <v>26</v>
      </c>
      <c r="H505" s="3">
        <v>1.9475242015944E-2</v>
      </c>
      <c r="I505" s="3">
        <v>1.86846054628447E-2</v>
      </c>
      <c r="J505" s="3">
        <v>1.647579836127E-2</v>
      </c>
      <c r="K505" s="3">
        <v>1.71209576572793E-2</v>
      </c>
      <c r="L505" s="3">
        <v>1.2259990777501201E-2</v>
      </c>
      <c r="M505" s="3">
        <v>9.4991642613220708E-3</v>
      </c>
      <c r="N505" s="3">
        <v>2.0714500150105002E-2</v>
      </c>
      <c r="O505" s="3">
        <v>1.33953126212581E-2</v>
      </c>
      <c r="P505">
        <f t="shared" si="188"/>
        <v>0</v>
      </c>
      <c r="Q505">
        <f t="shared" si="189"/>
        <v>0</v>
      </c>
      <c r="R505">
        <f t="shared" si="190"/>
        <v>0</v>
      </c>
      <c r="S505">
        <f t="shared" si="191"/>
        <v>0</v>
      </c>
      <c r="T505">
        <f t="shared" si="192"/>
        <v>0</v>
      </c>
      <c r="U505">
        <f t="shared" si="193"/>
        <v>1</v>
      </c>
      <c r="V505">
        <f t="shared" si="194"/>
        <v>0</v>
      </c>
      <c r="W505">
        <f t="shared" si="195"/>
        <v>0</v>
      </c>
      <c r="X505">
        <f t="shared" si="196"/>
        <v>0</v>
      </c>
      <c r="Y505">
        <f t="shared" si="197"/>
        <v>0</v>
      </c>
      <c r="Z505">
        <f t="shared" si="198"/>
        <v>0</v>
      </c>
      <c r="AA505">
        <f t="shared" si="199"/>
        <v>0</v>
      </c>
      <c r="AB505">
        <f t="shared" si="182"/>
        <v>0</v>
      </c>
      <c r="AC505">
        <f t="shared" si="183"/>
        <v>0</v>
      </c>
      <c r="AD505">
        <f t="shared" si="184"/>
        <v>0</v>
      </c>
      <c r="AE505">
        <f t="shared" si="185"/>
        <v>0</v>
      </c>
      <c r="AF505">
        <f t="shared" si="186"/>
        <v>0</v>
      </c>
      <c r="AG505">
        <f t="shared" si="187"/>
        <v>1</v>
      </c>
      <c r="AH505">
        <f t="shared" si="200"/>
        <v>0</v>
      </c>
      <c r="AI505">
        <f t="shared" si="206"/>
        <v>0</v>
      </c>
      <c r="AJ505">
        <f t="shared" si="206"/>
        <v>0</v>
      </c>
      <c r="AK505">
        <f t="shared" si="206"/>
        <v>1</v>
      </c>
      <c r="AL505">
        <f t="shared" si="206"/>
        <v>0</v>
      </c>
      <c r="AM505">
        <f t="shared" si="206"/>
        <v>0</v>
      </c>
      <c r="AN505">
        <f t="shared" si="206"/>
        <v>0</v>
      </c>
      <c r="AO505">
        <f t="shared" si="206"/>
        <v>0</v>
      </c>
      <c r="AP505">
        <f t="shared" si="206"/>
        <v>0</v>
      </c>
      <c r="AQ505">
        <f t="shared" si="206"/>
        <v>0</v>
      </c>
      <c r="AR505">
        <f t="shared" si="206"/>
        <v>0</v>
      </c>
      <c r="AS505">
        <f t="shared" si="206"/>
        <v>0</v>
      </c>
      <c r="AT505">
        <f t="shared" si="206"/>
        <v>0</v>
      </c>
      <c r="AU505">
        <f t="shared" si="206"/>
        <v>0</v>
      </c>
      <c r="AV505">
        <f t="shared" si="206"/>
        <v>0</v>
      </c>
      <c r="AW505">
        <f t="shared" si="206"/>
        <v>0</v>
      </c>
      <c r="AX505">
        <f t="shared" si="201"/>
        <v>1</v>
      </c>
      <c r="AY505">
        <f t="shared" si="201"/>
        <v>0</v>
      </c>
      <c r="AZ505">
        <f t="shared" si="201"/>
        <v>0</v>
      </c>
      <c r="BA505">
        <f t="shared" si="202"/>
        <v>1</v>
      </c>
      <c r="BB505">
        <f t="shared" si="203"/>
        <v>0</v>
      </c>
    </row>
    <row r="506" spans="1:54">
      <c r="A506">
        <v>503</v>
      </c>
      <c r="B506" t="s">
        <v>30</v>
      </c>
      <c r="C506" t="s">
        <v>21</v>
      </c>
      <c r="D506" t="s">
        <v>23</v>
      </c>
      <c r="E506" t="s">
        <v>30</v>
      </c>
      <c r="F506" t="s">
        <v>28</v>
      </c>
      <c r="G506" t="s">
        <v>27</v>
      </c>
      <c r="H506" s="3">
        <v>5.2378195138033601E-2</v>
      </c>
      <c r="I506" s="3">
        <v>4.9951107804846198E-2</v>
      </c>
      <c r="J506" s="3">
        <v>4.2937082475426498E-2</v>
      </c>
      <c r="K506" s="3">
        <v>4.4869307964491303E-2</v>
      </c>
      <c r="L506" s="3">
        <v>3.1525212601448097E-2</v>
      </c>
      <c r="M506" s="3">
        <v>2.4282809885372601E-2</v>
      </c>
      <c r="N506" s="3">
        <v>5.6883759274525901E-2</v>
      </c>
      <c r="O506" s="3">
        <v>3.3447755036815102E-2</v>
      </c>
      <c r="P506">
        <f t="shared" si="188"/>
        <v>0</v>
      </c>
      <c r="Q506">
        <f t="shared" si="189"/>
        <v>0</v>
      </c>
      <c r="R506">
        <f t="shared" si="190"/>
        <v>0</v>
      </c>
      <c r="S506">
        <f t="shared" si="191"/>
        <v>1</v>
      </c>
      <c r="T506">
        <f t="shared" si="192"/>
        <v>0</v>
      </c>
      <c r="U506">
        <f t="shared" si="193"/>
        <v>1</v>
      </c>
      <c r="V506">
        <f t="shared" si="194"/>
        <v>0</v>
      </c>
      <c r="W506">
        <f t="shared" si="195"/>
        <v>0</v>
      </c>
      <c r="X506">
        <f t="shared" si="196"/>
        <v>0</v>
      </c>
      <c r="Y506">
        <f t="shared" si="197"/>
        <v>0</v>
      </c>
      <c r="Z506">
        <f t="shared" si="198"/>
        <v>0</v>
      </c>
      <c r="AA506">
        <f t="shared" si="199"/>
        <v>0</v>
      </c>
      <c r="AB506">
        <f t="shared" si="182"/>
        <v>0</v>
      </c>
      <c r="AC506">
        <f t="shared" si="183"/>
        <v>0</v>
      </c>
      <c r="AD506">
        <f t="shared" si="184"/>
        <v>0</v>
      </c>
      <c r="AE506">
        <f t="shared" si="185"/>
        <v>0</v>
      </c>
      <c r="AF506">
        <f t="shared" si="186"/>
        <v>0</v>
      </c>
      <c r="AG506">
        <f t="shared" si="187"/>
        <v>1</v>
      </c>
      <c r="AH506">
        <f t="shared" si="200"/>
        <v>0</v>
      </c>
      <c r="AI506">
        <f t="shared" si="206"/>
        <v>0</v>
      </c>
      <c r="AJ506">
        <f t="shared" si="206"/>
        <v>0</v>
      </c>
      <c r="AK506">
        <f t="shared" si="206"/>
        <v>0</v>
      </c>
      <c r="AL506">
        <f t="shared" si="206"/>
        <v>0</v>
      </c>
      <c r="AM506">
        <f t="shared" si="206"/>
        <v>0</v>
      </c>
      <c r="AN506">
        <f t="shared" si="206"/>
        <v>0</v>
      </c>
      <c r="AO506">
        <f t="shared" si="206"/>
        <v>0</v>
      </c>
      <c r="AP506">
        <f t="shared" si="206"/>
        <v>0</v>
      </c>
      <c r="AQ506">
        <f t="shared" si="206"/>
        <v>0</v>
      </c>
      <c r="AR506">
        <f t="shared" si="206"/>
        <v>0</v>
      </c>
      <c r="AS506">
        <f t="shared" si="206"/>
        <v>0</v>
      </c>
      <c r="AT506">
        <f t="shared" si="206"/>
        <v>0</v>
      </c>
      <c r="AU506">
        <f t="shared" si="206"/>
        <v>0</v>
      </c>
      <c r="AV506">
        <f t="shared" si="206"/>
        <v>1</v>
      </c>
      <c r="AW506">
        <f t="shared" si="206"/>
        <v>0</v>
      </c>
      <c r="AX506">
        <f t="shared" si="201"/>
        <v>1</v>
      </c>
      <c r="AY506">
        <f t="shared" si="201"/>
        <v>0</v>
      </c>
      <c r="AZ506">
        <f t="shared" si="201"/>
        <v>0</v>
      </c>
      <c r="BA506">
        <f t="shared" si="202"/>
        <v>0</v>
      </c>
      <c r="BB506">
        <f t="shared" si="203"/>
        <v>0</v>
      </c>
    </row>
    <row r="507" spans="1:54">
      <c r="A507">
        <v>504</v>
      </c>
      <c r="B507" t="s">
        <v>30</v>
      </c>
      <c r="C507" t="s">
        <v>21</v>
      </c>
      <c r="D507" t="s">
        <v>23</v>
      </c>
      <c r="E507" t="s">
        <v>30</v>
      </c>
      <c r="F507" t="s">
        <v>29</v>
      </c>
      <c r="G507" t="s">
        <v>22</v>
      </c>
      <c r="H507" s="3">
        <v>2.52602750094554E-2</v>
      </c>
      <c r="I507" s="3">
        <v>2.4662982922289599E-2</v>
      </c>
      <c r="J507" s="3">
        <v>2.1523242077247502E-2</v>
      </c>
      <c r="K507" s="3">
        <v>2.3139003137715101E-2</v>
      </c>
      <c r="L507" s="3">
        <v>1.6462926710734498E-2</v>
      </c>
      <c r="M507" s="3">
        <v>1.2965714031494499E-2</v>
      </c>
      <c r="N507" s="3">
        <v>2.6569118213323001E-2</v>
      </c>
      <c r="O507" s="3">
        <v>1.82608874334566E-2</v>
      </c>
      <c r="P507">
        <f t="shared" si="188"/>
        <v>0</v>
      </c>
      <c r="Q507">
        <f t="shared" si="189"/>
        <v>0</v>
      </c>
      <c r="R507">
        <f t="shared" si="190"/>
        <v>0</v>
      </c>
      <c r="S507">
        <f t="shared" si="191"/>
        <v>0</v>
      </c>
      <c r="T507">
        <f t="shared" si="192"/>
        <v>0</v>
      </c>
      <c r="U507">
        <f t="shared" si="193"/>
        <v>1</v>
      </c>
      <c r="V507">
        <f t="shared" si="194"/>
        <v>0</v>
      </c>
      <c r="W507">
        <f t="shared" si="195"/>
        <v>0</v>
      </c>
      <c r="X507">
        <f t="shared" si="196"/>
        <v>1</v>
      </c>
      <c r="Y507">
        <f t="shared" si="197"/>
        <v>0</v>
      </c>
      <c r="Z507">
        <f t="shared" si="198"/>
        <v>0</v>
      </c>
      <c r="AA507">
        <f t="shared" si="199"/>
        <v>0</v>
      </c>
      <c r="AB507">
        <f t="shared" si="182"/>
        <v>0</v>
      </c>
      <c r="AC507">
        <f t="shared" si="183"/>
        <v>1</v>
      </c>
      <c r="AD507">
        <f t="shared" si="184"/>
        <v>0</v>
      </c>
      <c r="AE507">
        <f t="shared" si="185"/>
        <v>0</v>
      </c>
      <c r="AF507">
        <f t="shared" si="186"/>
        <v>0</v>
      </c>
      <c r="AG507">
        <f t="shared" si="187"/>
        <v>1</v>
      </c>
      <c r="AH507">
        <f t="shared" si="200"/>
        <v>1</v>
      </c>
      <c r="AI507">
        <f t="shared" si="206"/>
        <v>0</v>
      </c>
      <c r="AJ507">
        <f t="shared" si="206"/>
        <v>0</v>
      </c>
      <c r="AK507">
        <f t="shared" si="206"/>
        <v>0</v>
      </c>
      <c r="AL507">
        <f t="shared" si="206"/>
        <v>0</v>
      </c>
      <c r="AM507">
        <f t="shared" si="206"/>
        <v>0</v>
      </c>
      <c r="AN507">
        <f t="shared" si="206"/>
        <v>0</v>
      </c>
      <c r="AO507">
        <f t="shared" si="206"/>
        <v>0</v>
      </c>
      <c r="AP507">
        <f t="shared" si="206"/>
        <v>0</v>
      </c>
      <c r="AQ507">
        <f t="shared" si="206"/>
        <v>0</v>
      </c>
      <c r="AR507">
        <f t="shared" si="206"/>
        <v>1</v>
      </c>
      <c r="AS507">
        <f t="shared" si="206"/>
        <v>0</v>
      </c>
      <c r="AT507">
        <f t="shared" si="206"/>
        <v>0</v>
      </c>
      <c r="AU507">
        <f t="shared" si="206"/>
        <v>0</v>
      </c>
      <c r="AV507">
        <f t="shared" si="206"/>
        <v>0</v>
      </c>
      <c r="AW507">
        <f t="shared" si="206"/>
        <v>0</v>
      </c>
      <c r="AX507">
        <f t="shared" si="201"/>
        <v>0</v>
      </c>
      <c r="AY507">
        <f t="shared" si="201"/>
        <v>0</v>
      </c>
      <c r="AZ507">
        <f t="shared" si="201"/>
        <v>1</v>
      </c>
      <c r="BA507">
        <f t="shared" si="202"/>
        <v>0</v>
      </c>
      <c r="BB507">
        <f t="shared" si="203"/>
        <v>1</v>
      </c>
    </row>
    <row r="508" spans="1:54">
      <c r="A508">
        <v>505</v>
      </c>
      <c r="B508" t="s">
        <v>30</v>
      </c>
      <c r="C508" t="s">
        <v>21</v>
      </c>
      <c r="D508" t="s">
        <v>23</v>
      </c>
      <c r="E508" t="s">
        <v>30</v>
      </c>
      <c r="F508" t="s">
        <v>29</v>
      </c>
      <c r="G508" t="s">
        <v>23</v>
      </c>
      <c r="H508" s="3">
        <v>0.60252670804459196</v>
      </c>
      <c r="I508" s="3">
        <v>0.60336019773000005</v>
      </c>
      <c r="J508" s="3">
        <v>0.53431529945267198</v>
      </c>
      <c r="K508" s="3">
        <v>0.57128409988540296</v>
      </c>
      <c r="L508" s="3">
        <v>0.50072670028031396</v>
      </c>
      <c r="M508" s="3">
        <v>0.43672785231546701</v>
      </c>
      <c r="N508" s="3">
        <v>0.644859813084112</v>
      </c>
      <c r="O508" s="3">
        <v>0.493713387594933</v>
      </c>
      <c r="P508">
        <f t="shared" si="188"/>
        <v>0</v>
      </c>
      <c r="Q508">
        <f t="shared" si="189"/>
        <v>0</v>
      </c>
      <c r="R508">
        <f t="shared" si="190"/>
        <v>0</v>
      </c>
      <c r="S508">
        <f t="shared" si="191"/>
        <v>0</v>
      </c>
      <c r="T508">
        <f t="shared" si="192"/>
        <v>0</v>
      </c>
      <c r="U508">
        <f t="shared" si="193"/>
        <v>1</v>
      </c>
      <c r="V508">
        <f t="shared" si="194"/>
        <v>0</v>
      </c>
      <c r="W508">
        <f t="shared" si="195"/>
        <v>0</v>
      </c>
      <c r="X508">
        <f t="shared" si="196"/>
        <v>0</v>
      </c>
      <c r="Y508">
        <f t="shared" si="197"/>
        <v>1</v>
      </c>
      <c r="Z508">
        <f t="shared" si="198"/>
        <v>0</v>
      </c>
      <c r="AA508">
        <f t="shared" si="199"/>
        <v>0</v>
      </c>
      <c r="AB508">
        <f t="shared" si="182"/>
        <v>0</v>
      </c>
      <c r="AC508">
        <f t="shared" si="183"/>
        <v>1</v>
      </c>
      <c r="AD508">
        <f t="shared" si="184"/>
        <v>0</v>
      </c>
      <c r="AE508">
        <f t="shared" si="185"/>
        <v>0</v>
      </c>
      <c r="AF508">
        <f t="shared" si="186"/>
        <v>0</v>
      </c>
      <c r="AG508">
        <f t="shared" si="187"/>
        <v>1</v>
      </c>
      <c r="AH508">
        <f t="shared" si="200"/>
        <v>1</v>
      </c>
      <c r="AI508">
        <f t="shared" si="206"/>
        <v>0</v>
      </c>
      <c r="AJ508">
        <f t="shared" si="206"/>
        <v>0</v>
      </c>
      <c r="AK508">
        <f t="shared" si="206"/>
        <v>0</v>
      </c>
      <c r="AL508">
        <f t="shared" si="206"/>
        <v>0</v>
      </c>
      <c r="AM508">
        <f t="shared" si="206"/>
        <v>0</v>
      </c>
      <c r="AN508">
        <f t="shared" si="206"/>
        <v>0</v>
      </c>
      <c r="AO508">
        <f t="shared" si="206"/>
        <v>0</v>
      </c>
      <c r="AP508">
        <f t="shared" si="206"/>
        <v>0</v>
      </c>
      <c r="AQ508">
        <f t="shared" si="206"/>
        <v>0</v>
      </c>
      <c r="AR508">
        <f t="shared" si="206"/>
        <v>0</v>
      </c>
      <c r="AS508">
        <f t="shared" si="206"/>
        <v>0</v>
      </c>
      <c r="AT508">
        <f t="shared" si="206"/>
        <v>0</v>
      </c>
      <c r="AU508">
        <f t="shared" si="206"/>
        <v>0</v>
      </c>
      <c r="AV508">
        <f t="shared" si="206"/>
        <v>0</v>
      </c>
      <c r="AW508">
        <f t="shared" si="206"/>
        <v>0</v>
      </c>
      <c r="AX508">
        <f t="shared" si="201"/>
        <v>0</v>
      </c>
      <c r="AY508">
        <f t="shared" si="201"/>
        <v>0</v>
      </c>
      <c r="AZ508">
        <f t="shared" si="201"/>
        <v>1</v>
      </c>
      <c r="BA508">
        <f t="shared" si="202"/>
        <v>0</v>
      </c>
      <c r="BB508">
        <f t="shared" si="203"/>
        <v>1</v>
      </c>
    </row>
    <row r="509" spans="1:54">
      <c r="A509">
        <v>506</v>
      </c>
      <c r="B509" t="s">
        <v>30</v>
      </c>
      <c r="C509" t="s">
        <v>21</v>
      </c>
      <c r="D509" t="s">
        <v>23</v>
      </c>
      <c r="E509" t="s">
        <v>30</v>
      </c>
      <c r="F509" t="s">
        <v>29</v>
      </c>
      <c r="G509" t="s">
        <v>24</v>
      </c>
      <c r="H509" s="3">
        <v>3.6714896208800203E-2</v>
      </c>
      <c r="I509" s="3">
        <v>3.5044922524898603E-2</v>
      </c>
      <c r="J509" s="3">
        <v>3.0892297295488699E-2</v>
      </c>
      <c r="K509" s="3">
        <v>3.1597305135327602E-2</v>
      </c>
      <c r="L509" s="3">
        <v>2.2991653593795E-2</v>
      </c>
      <c r="M509" s="3">
        <v>1.74019013964863E-2</v>
      </c>
      <c r="N509" s="3">
        <v>3.96779758481886E-2</v>
      </c>
      <c r="O509" s="3">
        <v>2.4714941558019999E-2</v>
      </c>
      <c r="P509">
        <f t="shared" si="188"/>
        <v>0</v>
      </c>
      <c r="Q509">
        <f t="shared" si="189"/>
        <v>0</v>
      </c>
      <c r="R509">
        <f t="shared" si="190"/>
        <v>0</v>
      </c>
      <c r="S509">
        <f t="shared" si="191"/>
        <v>0</v>
      </c>
      <c r="T509">
        <f t="shared" si="192"/>
        <v>0</v>
      </c>
      <c r="U509">
        <f t="shared" si="193"/>
        <v>1</v>
      </c>
      <c r="V509">
        <f t="shared" si="194"/>
        <v>0</v>
      </c>
      <c r="W509">
        <f t="shared" si="195"/>
        <v>0</v>
      </c>
      <c r="X509">
        <f t="shared" si="196"/>
        <v>0</v>
      </c>
      <c r="Y509">
        <f t="shared" si="197"/>
        <v>0</v>
      </c>
      <c r="Z509">
        <f t="shared" si="198"/>
        <v>0</v>
      </c>
      <c r="AA509">
        <f t="shared" si="199"/>
        <v>1</v>
      </c>
      <c r="AB509">
        <f t="shared" si="182"/>
        <v>0</v>
      </c>
      <c r="AC509">
        <f t="shared" si="183"/>
        <v>0</v>
      </c>
      <c r="AD509">
        <f t="shared" si="184"/>
        <v>0</v>
      </c>
      <c r="AE509">
        <f t="shared" si="185"/>
        <v>0</v>
      </c>
      <c r="AF509">
        <f t="shared" si="186"/>
        <v>0</v>
      </c>
      <c r="AG509">
        <f t="shared" si="187"/>
        <v>1</v>
      </c>
      <c r="AH509">
        <f t="shared" si="200"/>
        <v>0</v>
      </c>
      <c r="AI509">
        <f t="shared" si="206"/>
        <v>0</v>
      </c>
      <c r="AJ509">
        <f t="shared" si="206"/>
        <v>0</v>
      </c>
      <c r="AK509">
        <f t="shared" si="206"/>
        <v>0</v>
      </c>
      <c r="AL509">
        <f t="shared" si="206"/>
        <v>0</v>
      </c>
      <c r="AM509">
        <f t="shared" si="206"/>
        <v>0</v>
      </c>
      <c r="AN509">
        <f t="shared" si="206"/>
        <v>0</v>
      </c>
      <c r="AO509">
        <f t="shared" si="206"/>
        <v>0</v>
      </c>
      <c r="AP509">
        <f t="shared" si="206"/>
        <v>0</v>
      </c>
      <c r="AQ509">
        <f t="shared" si="206"/>
        <v>0</v>
      </c>
      <c r="AR509">
        <f t="shared" si="206"/>
        <v>0</v>
      </c>
      <c r="AS509">
        <f t="shared" si="206"/>
        <v>0</v>
      </c>
      <c r="AT509">
        <f t="shared" si="206"/>
        <v>0</v>
      </c>
      <c r="AU509">
        <f t="shared" si="206"/>
        <v>1</v>
      </c>
      <c r="AV509">
        <f t="shared" si="206"/>
        <v>0</v>
      </c>
      <c r="AW509">
        <f t="shared" si="206"/>
        <v>0</v>
      </c>
      <c r="AX509">
        <f t="shared" si="201"/>
        <v>0</v>
      </c>
      <c r="AY509">
        <f t="shared" si="201"/>
        <v>0</v>
      </c>
      <c r="AZ509">
        <f t="shared" si="201"/>
        <v>1</v>
      </c>
      <c r="BA509">
        <f t="shared" si="202"/>
        <v>0</v>
      </c>
      <c r="BB509">
        <f t="shared" si="203"/>
        <v>1</v>
      </c>
    </row>
    <row r="510" spans="1:54">
      <c r="A510">
        <v>507</v>
      </c>
      <c r="B510" t="s">
        <v>30</v>
      </c>
      <c r="C510" t="s">
        <v>21</v>
      </c>
      <c r="D510" t="s">
        <v>23</v>
      </c>
      <c r="E510" t="s">
        <v>30</v>
      </c>
      <c r="F510" t="s">
        <v>29</v>
      </c>
      <c r="G510" t="s">
        <v>31</v>
      </c>
      <c r="H510" s="3">
        <v>0.47468726621360802</v>
      </c>
      <c r="I510" s="3">
        <v>0.45180448428436298</v>
      </c>
      <c r="J510" s="3">
        <v>0.38354981720801001</v>
      </c>
      <c r="K510" s="3">
        <v>0.39777594535690802</v>
      </c>
      <c r="L510" s="3">
        <v>0.30249670600839301</v>
      </c>
      <c r="M510" s="3">
        <v>0.22835419969669199</v>
      </c>
      <c r="N510" s="3">
        <v>0.53076923076922999</v>
      </c>
      <c r="O510" s="3">
        <v>0.30609928735450698</v>
      </c>
      <c r="P510">
        <f t="shared" si="188"/>
        <v>0</v>
      </c>
      <c r="Q510">
        <f t="shared" si="189"/>
        <v>0</v>
      </c>
      <c r="R510">
        <f t="shared" si="190"/>
        <v>0</v>
      </c>
      <c r="S510">
        <f t="shared" si="191"/>
        <v>0</v>
      </c>
      <c r="T510">
        <f t="shared" si="192"/>
        <v>0</v>
      </c>
      <c r="U510">
        <f t="shared" si="193"/>
        <v>1</v>
      </c>
      <c r="V510">
        <f t="shared" si="194"/>
        <v>0</v>
      </c>
      <c r="W510">
        <f t="shared" si="195"/>
        <v>0</v>
      </c>
      <c r="X510">
        <f t="shared" si="196"/>
        <v>0</v>
      </c>
      <c r="Y510">
        <f t="shared" si="197"/>
        <v>0</v>
      </c>
      <c r="Z510">
        <f t="shared" si="198"/>
        <v>1</v>
      </c>
      <c r="AA510">
        <f t="shared" si="199"/>
        <v>0</v>
      </c>
      <c r="AB510">
        <f t="shared" si="182"/>
        <v>0</v>
      </c>
      <c r="AC510">
        <f t="shared" si="183"/>
        <v>1</v>
      </c>
      <c r="AD510">
        <f t="shared" si="184"/>
        <v>0</v>
      </c>
      <c r="AE510">
        <f t="shared" si="185"/>
        <v>0</v>
      </c>
      <c r="AF510">
        <f t="shared" si="186"/>
        <v>0</v>
      </c>
      <c r="AG510">
        <f t="shared" si="187"/>
        <v>1</v>
      </c>
      <c r="AH510">
        <f t="shared" si="200"/>
        <v>1</v>
      </c>
      <c r="AI510">
        <f t="shared" si="206"/>
        <v>0</v>
      </c>
      <c r="AJ510">
        <f t="shared" si="206"/>
        <v>0</v>
      </c>
      <c r="AK510">
        <f t="shared" si="206"/>
        <v>0</v>
      </c>
      <c r="AL510">
        <f t="shared" si="206"/>
        <v>0</v>
      </c>
      <c r="AM510">
        <f t="shared" si="206"/>
        <v>0</v>
      </c>
      <c r="AN510">
        <f t="shared" si="206"/>
        <v>0</v>
      </c>
      <c r="AO510">
        <f t="shared" si="206"/>
        <v>0</v>
      </c>
      <c r="AP510">
        <f t="shared" si="206"/>
        <v>0</v>
      </c>
      <c r="AQ510">
        <f t="shared" si="206"/>
        <v>0</v>
      </c>
      <c r="AR510">
        <f t="shared" si="206"/>
        <v>0</v>
      </c>
      <c r="AS510">
        <f t="shared" si="206"/>
        <v>0</v>
      </c>
      <c r="AT510">
        <f t="shared" si="206"/>
        <v>0</v>
      </c>
      <c r="AU510">
        <f t="shared" si="206"/>
        <v>0</v>
      </c>
      <c r="AV510">
        <f t="shared" si="206"/>
        <v>0</v>
      </c>
      <c r="AW510">
        <f t="shared" si="206"/>
        <v>0</v>
      </c>
      <c r="AX510">
        <f t="shared" si="201"/>
        <v>0</v>
      </c>
      <c r="AY510">
        <f t="shared" si="201"/>
        <v>0</v>
      </c>
      <c r="AZ510">
        <f t="shared" si="201"/>
        <v>1</v>
      </c>
      <c r="BA510">
        <f t="shared" si="202"/>
        <v>0</v>
      </c>
      <c r="BB510">
        <f t="shared" si="203"/>
        <v>1</v>
      </c>
    </row>
    <row r="511" spans="1:54">
      <c r="A511">
        <v>508</v>
      </c>
      <c r="B511" t="s">
        <v>30</v>
      </c>
      <c r="C511" t="s">
        <v>21</v>
      </c>
      <c r="D511" t="s">
        <v>23</v>
      </c>
      <c r="E511" t="s">
        <v>30</v>
      </c>
      <c r="F511" t="s">
        <v>29</v>
      </c>
      <c r="G511" t="s">
        <v>25</v>
      </c>
      <c r="H511" s="3">
        <v>3.2069028940458202E-3</v>
      </c>
      <c r="I511" s="3">
        <v>3.09541435339629E-3</v>
      </c>
      <c r="J511" s="3">
        <v>2.6896338813287902E-3</v>
      </c>
      <c r="K511" s="3">
        <v>2.8147998089397301E-3</v>
      </c>
      <c r="L511" s="3">
        <v>2.0403922792087302E-3</v>
      </c>
      <c r="M511" s="3">
        <v>1.5890326112873901E-3</v>
      </c>
      <c r="N511" s="3">
        <v>3.46368154209126E-3</v>
      </c>
      <c r="O511" s="3">
        <v>2.1479318397629702E-3</v>
      </c>
      <c r="P511">
        <f t="shared" si="188"/>
        <v>0</v>
      </c>
      <c r="Q511">
        <f t="shared" si="189"/>
        <v>0</v>
      </c>
      <c r="R511">
        <f t="shared" si="190"/>
        <v>0</v>
      </c>
      <c r="S511">
        <f t="shared" si="191"/>
        <v>0</v>
      </c>
      <c r="T511">
        <f t="shared" si="192"/>
        <v>0</v>
      </c>
      <c r="U511">
        <f t="shared" si="193"/>
        <v>1</v>
      </c>
      <c r="V511">
        <f t="shared" si="194"/>
        <v>0</v>
      </c>
      <c r="W511">
        <f t="shared" si="195"/>
        <v>0</v>
      </c>
      <c r="X511">
        <f t="shared" si="196"/>
        <v>0</v>
      </c>
      <c r="Y511">
        <f t="shared" si="197"/>
        <v>0</v>
      </c>
      <c r="Z511">
        <f t="shared" si="198"/>
        <v>0</v>
      </c>
      <c r="AA511">
        <f t="shared" si="199"/>
        <v>0</v>
      </c>
      <c r="AB511">
        <f t="shared" si="182"/>
        <v>0</v>
      </c>
      <c r="AC511">
        <f t="shared" si="183"/>
        <v>0</v>
      </c>
      <c r="AD511">
        <f t="shared" si="184"/>
        <v>0</v>
      </c>
      <c r="AE511">
        <f t="shared" si="185"/>
        <v>0</v>
      </c>
      <c r="AF511">
        <f t="shared" si="186"/>
        <v>0</v>
      </c>
      <c r="AG511">
        <f t="shared" si="187"/>
        <v>1</v>
      </c>
      <c r="AH511">
        <f t="shared" si="200"/>
        <v>0</v>
      </c>
      <c r="AI511">
        <f t="shared" ref="AI511:AW527" si="207">IF(OR(AND($D511=AI$1,$G511=AI$2),AND($D511=AI$2,$G511=AI$1)),1,0)</f>
        <v>0</v>
      </c>
      <c r="AJ511">
        <f t="shared" si="207"/>
        <v>0</v>
      </c>
      <c r="AK511">
        <f t="shared" si="207"/>
        <v>0</v>
      </c>
      <c r="AL511">
        <f t="shared" si="207"/>
        <v>0</v>
      </c>
      <c r="AM511">
        <f t="shared" si="207"/>
        <v>0</v>
      </c>
      <c r="AN511">
        <f t="shared" si="207"/>
        <v>0</v>
      </c>
      <c r="AO511">
        <f t="shared" si="207"/>
        <v>1</v>
      </c>
      <c r="AP511">
        <f t="shared" si="207"/>
        <v>0</v>
      </c>
      <c r="AQ511">
        <f t="shared" si="207"/>
        <v>0</v>
      </c>
      <c r="AR511">
        <f t="shared" si="207"/>
        <v>0</v>
      </c>
      <c r="AS511">
        <f t="shared" si="207"/>
        <v>0</v>
      </c>
      <c r="AT511">
        <f t="shared" si="207"/>
        <v>0</v>
      </c>
      <c r="AU511">
        <f t="shared" si="207"/>
        <v>0</v>
      </c>
      <c r="AV511">
        <f t="shared" si="207"/>
        <v>0</v>
      </c>
      <c r="AW511">
        <f t="shared" si="207"/>
        <v>0</v>
      </c>
      <c r="AX511">
        <f t="shared" si="201"/>
        <v>0</v>
      </c>
      <c r="AY511">
        <f t="shared" si="201"/>
        <v>0</v>
      </c>
      <c r="AZ511">
        <f t="shared" si="201"/>
        <v>1</v>
      </c>
      <c r="BA511">
        <f t="shared" si="202"/>
        <v>1</v>
      </c>
      <c r="BB511">
        <f t="shared" si="203"/>
        <v>1</v>
      </c>
    </row>
    <row r="512" spans="1:54">
      <c r="A512">
        <v>509</v>
      </c>
      <c r="B512" t="s">
        <v>30</v>
      </c>
      <c r="C512" t="s">
        <v>21</v>
      </c>
      <c r="D512" t="s">
        <v>23</v>
      </c>
      <c r="E512" t="s">
        <v>30</v>
      </c>
      <c r="F512" t="s">
        <v>29</v>
      </c>
      <c r="G512" t="s">
        <v>26</v>
      </c>
      <c r="H512" s="3">
        <v>3.2811034314989898E-3</v>
      </c>
      <c r="I512" s="3">
        <v>3.1714438580000802E-3</v>
      </c>
      <c r="J512" s="3">
        <v>2.7610893501567799E-3</v>
      </c>
      <c r="K512" s="3">
        <v>2.8881635463759501E-3</v>
      </c>
      <c r="L512" s="3">
        <v>2.0946044619165201E-3</v>
      </c>
      <c r="M512" s="3">
        <v>1.6329857503072E-3</v>
      </c>
      <c r="N512" s="3">
        <v>3.5420944558521498E-3</v>
      </c>
      <c r="O512" s="3">
        <v>2.2121971913338099E-3</v>
      </c>
      <c r="P512">
        <f t="shared" si="188"/>
        <v>0</v>
      </c>
      <c r="Q512">
        <f t="shared" si="189"/>
        <v>0</v>
      </c>
      <c r="R512">
        <f t="shared" si="190"/>
        <v>0</v>
      </c>
      <c r="S512">
        <f t="shared" si="191"/>
        <v>0</v>
      </c>
      <c r="T512">
        <f t="shared" si="192"/>
        <v>0</v>
      </c>
      <c r="U512">
        <f t="shared" si="193"/>
        <v>1</v>
      </c>
      <c r="V512">
        <f t="shared" si="194"/>
        <v>0</v>
      </c>
      <c r="W512">
        <f t="shared" si="195"/>
        <v>0</v>
      </c>
      <c r="X512">
        <f t="shared" si="196"/>
        <v>0</v>
      </c>
      <c r="Y512">
        <f t="shared" si="197"/>
        <v>0</v>
      </c>
      <c r="Z512">
        <f t="shared" si="198"/>
        <v>0</v>
      </c>
      <c r="AA512">
        <f t="shared" si="199"/>
        <v>0</v>
      </c>
      <c r="AB512">
        <f t="shared" si="182"/>
        <v>0</v>
      </c>
      <c r="AC512">
        <f t="shared" si="183"/>
        <v>0</v>
      </c>
      <c r="AD512">
        <f t="shared" si="184"/>
        <v>0</v>
      </c>
      <c r="AE512">
        <f t="shared" si="185"/>
        <v>0</v>
      </c>
      <c r="AF512">
        <f t="shared" si="186"/>
        <v>0</v>
      </c>
      <c r="AG512">
        <f t="shared" si="187"/>
        <v>1</v>
      </c>
      <c r="AH512">
        <f t="shared" si="200"/>
        <v>0</v>
      </c>
      <c r="AI512">
        <f t="shared" si="207"/>
        <v>0</v>
      </c>
      <c r="AJ512">
        <f t="shared" si="207"/>
        <v>0</v>
      </c>
      <c r="AK512">
        <f t="shared" si="207"/>
        <v>1</v>
      </c>
      <c r="AL512">
        <f t="shared" si="207"/>
        <v>0</v>
      </c>
      <c r="AM512">
        <f t="shared" si="207"/>
        <v>0</v>
      </c>
      <c r="AN512">
        <f t="shared" si="207"/>
        <v>0</v>
      </c>
      <c r="AO512">
        <f t="shared" si="207"/>
        <v>0</v>
      </c>
      <c r="AP512">
        <f t="shared" si="207"/>
        <v>0</v>
      </c>
      <c r="AQ512">
        <f t="shared" si="207"/>
        <v>0</v>
      </c>
      <c r="AR512">
        <f t="shared" si="207"/>
        <v>0</v>
      </c>
      <c r="AS512">
        <f t="shared" si="207"/>
        <v>0</v>
      </c>
      <c r="AT512">
        <f t="shared" si="207"/>
        <v>0</v>
      </c>
      <c r="AU512">
        <f t="shared" si="207"/>
        <v>0</v>
      </c>
      <c r="AV512">
        <f t="shared" si="207"/>
        <v>0</v>
      </c>
      <c r="AW512">
        <f t="shared" si="207"/>
        <v>0</v>
      </c>
      <c r="AX512">
        <f t="shared" si="201"/>
        <v>0</v>
      </c>
      <c r="AY512">
        <f t="shared" si="201"/>
        <v>0</v>
      </c>
      <c r="AZ512">
        <f t="shared" si="201"/>
        <v>1</v>
      </c>
      <c r="BA512">
        <f t="shared" si="202"/>
        <v>1</v>
      </c>
      <c r="BB512">
        <f t="shared" si="203"/>
        <v>1</v>
      </c>
    </row>
    <row r="513" spans="1:54">
      <c r="A513">
        <v>510</v>
      </c>
      <c r="B513" t="s">
        <v>30</v>
      </c>
      <c r="C513" t="s">
        <v>21</v>
      </c>
      <c r="D513" t="s">
        <v>24</v>
      </c>
      <c r="E513" t="s">
        <v>30</v>
      </c>
      <c r="F513" t="s">
        <v>21</v>
      </c>
      <c r="G513" t="s">
        <v>25</v>
      </c>
      <c r="H513" s="3">
        <v>0.58841874456932697</v>
      </c>
      <c r="I513" s="3">
        <v>0.62466271883442304</v>
      </c>
      <c r="J513" s="3">
        <v>0.44982139615219002</v>
      </c>
      <c r="K513" s="3">
        <v>0.54234858815954601</v>
      </c>
      <c r="L513" s="3">
        <v>0.33113689438271898</v>
      </c>
      <c r="M513" s="3">
        <v>0.24248093201934701</v>
      </c>
      <c r="N513" s="3">
        <v>0.75478313001772501</v>
      </c>
      <c r="O513" s="3">
        <v>0.34906561203598202</v>
      </c>
      <c r="P513">
        <f t="shared" si="188"/>
        <v>0</v>
      </c>
      <c r="Q513">
        <f t="shared" si="189"/>
        <v>0</v>
      </c>
      <c r="R513">
        <f t="shared" si="190"/>
        <v>0</v>
      </c>
      <c r="S513">
        <f t="shared" si="191"/>
        <v>0</v>
      </c>
      <c r="T513">
        <f t="shared" si="192"/>
        <v>0</v>
      </c>
      <c r="U513">
        <f t="shared" si="193"/>
        <v>0</v>
      </c>
      <c r="V513">
        <f t="shared" si="194"/>
        <v>1</v>
      </c>
      <c r="W513">
        <f t="shared" si="195"/>
        <v>0</v>
      </c>
      <c r="X513">
        <f t="shared" si="196"/>
        <v>0</v>
      </c>
      <c r="Y513">
        <f t="shared" si="197"/>
        <v>0</v>
      </c>
      <c r="Z513">
        <f t="shared" si="198"/>
        <v>0</v>
      </c>
      <c r="AA513">
        <f t="shared" si="199"/>
        <v>0</v>
      </c>
      <c r="AB513">
        <f t="shared" si="182"/>
        <v>0</v>
      </c>
      <c r="AC513">
        <f t="shared" si="183"/>
        <v>0</v>
      </c>
      <c r="AD513">
        <f t="shared" si="184"/>
        <v>0</v>
      </c>
      <c r="AE513">
        <f t="shared" si="185"/>
        <v>0</v>
      </c>
      <c r="AF513">
        <f t="shared" si="186"/>
        <v>1</v>
      </c>
      <c r="AG513">
        <f t="shared" si="187"/>
        <v>1</v>
      </c>
      <c r="AH513">
        <f t="shared" si="200"/>
        <v>0</v>
      </c>
      <c r="AI513">
        <f t="shared" si="207"/>
        <v>0</v>
      </c>
      <c r="AJ513">
        <f t="shared" si="207"/>
        <v>0</v>
      </c>
      <c r="AK513">
        <f t="shared" si="207"/>
        <v>0</v>
      </c>
      <c r="AL513">
        <f t="shared" si="207"/>
        <v>0</v>
      </c>
      <c r="AM513">
        <f t="shared" si="207"/>
        <v>0</v>
      </c>
      <c r="AN513">
        <f t="shared" si="207"/>
        <v>0</v>
      </c>
      <c r="AO513">
        <f t="shared" si="207"/>
        <v>0</v>
      </c>
      <c r="AP513">
        <f t="shared" si="207"/>
        <v>1</v>
      </c>
      <c r="AQ513">
        <f t="shared" si="207"/>
        <v>0</v>
      </c>
      <c r="AR513">
        <f t="shared" si="207"/>
        <v>0</v>
      </c>
      <c r="AS513">
        <f t="shared" si="207"/>
        <v>0</v>
      </c>
      <c r="AT513">
        <f t="shared" si="207"/>
        <v>0</v>
      </c>
      <c r="AU513">
        <f t="shared" si="207"/>
        <v>0</v>
      </c>
      <c r="AV513">
        <f t="shared" si="207"/>
        <v>0</v>
      </c>
      <c r="AW513">
        <f t="shared" si="207"/>
        <v>0</v>
      </c>
      <c r="AX513">
        <f t="shared" si="201"/>
        <v>0</v>
      </c>
      <c r="AY513">
        <f t="shared" si="201"/>
        <v>0</v>
      </c>
      <c r="AZ513">
        <f t="shared" si="201"/>
        <v>0</v>
      </c>
      <c r="BA513">
        <f t="shared" si="202"/>
        <v>1</v>
      </c>
      <c r="BB513">
        <f t="shared" si="203"/>
        <v>0</v>
      </c>
    </row>
    <row r="514" spans="1:54">
      <c r="A514">
        <v>511</v>
      </c>
      <c r="B514" t="s">
        <v>30</v>
      </c>
      <c r="C514" t="s">
        <v>21</v>
      </c>
      <c r="D514" t="s">
        <v>24</v>
      </c>
      <c r="E514" t="s">
        <v>30</v>
      </c>
      <c r="F514" t="s">
        <v>21</v>
      </c>
      <c r="G514" t="s">
        <v>26</v>
      </c>
      <c r="H514" s="3">
        <v>0.594587293100723</v>
      </c>
      <c r="I514" s="3">
        <v>0.63152162407552903</v>
      </c>
      <c r="J514" s="3">
        <v>0.45230877231101801</v>
      </c>
      <c r="K514" s="3">
        <v>0.54788860636939796</v>
      </c>
      <c r="L514" s="3">
        <v>0.33405401628599701</v>
      </c>
      <c r="M514" s="3">
        <v>0.24444008073506401</v>
      </c>
      <c r="N514" s="3">
        <v>0.76418816388467303</v>
      </c>
      <c r="O514" s="3">
        <v>0.35128678847495498</v>
      </c>
      <c r="P514">
        <f t="shared" si="188"/>
        <v>0</v>
      </c>
      <c r="Q514">
        <f t="shared" si="189"/>
        <v>0</v>
      </c>
      <c r="R514">
        <f t="shared" si="190"/>
        <v>0</v>
      </c>
      <c r="S514">
        <f t="shared" si="191"/>
        <v>0</v>
      </c>
      <c r="T514">
        <f t="shared" si="192"/>
        <v>0</v>
      </c>
      <c r="U514">
        <f t="shared" si="193"/>
        <v>0</v>
      </c>
      <c r="V514">
        <f t="shared" si="194"/>
        <v>1</v>
      </c>
      <c r="W514">
        <f t="shared" si="195"/>
        <v>0</v>
      </c>
      <c r="X514">
        <f t="shared" si="196"/>
        <v>0</v>
      </c>
      <c r="Y514">
        <f t="shared" si="197"/>
        <v>0</v>
      </c>
      <c r="Z514">
        <f t="shared" si="198"/>
        <v>0</v>
      </c>
      <c r="AA514">
        <f t="shared" si="199"/>
        <v>0</v>
      </c>
      <c r="AB514">
        <f t="shared" si="182"/>
        <v>0</v>
      </c>
      <c r="AC514">
        <f t="shared" si="183"/>
        <v>0</v>
      </c>
      <c r="AD514">
        <f t="shared" si="184"/>
        <v>0</v>
      </c>
      <c r="AE514">
        <f t="shared" si="185"/>
        <v>0</v>
      </c>
      <c r="AF514">
        <f t="shared" si="186"/>
        <v>1</v>
      </c>
      <c r="AG514">
        <f t="shared" si="187"/>
        <v>1</v>
      </c>
      <c r="AH514">
        <f t="shared" si="200"/>
        <v>0</v>
      </c>
      <c r="AI514">
        <f t="shared" si="207"/>
        <v>0</v>
      </c>
      <c r="AJ514">
        <f t="shared" si="207"/>
        <v>0</v>
      </c>
      <c r="AK514">
        <f t="shared" si="207"/>
        <v>0</v>
      </c>
      <c r="AL514">
        <f t="shared" si="207"/>
        <v>1</v>
      </c>
      <c r="AM514">
        <f t="shared" si="207"/>
        <v>0</v>
      </c>
      <c r="AN514">
        <f t="shared" si="207"/>
        <v>0</v>
      </c>
      <c r="AO514">
        <f t="shared" si="207"/>
        <v>0</v>
      </c>
      <c r="AP514">
        <f t="shared" si="207"/>
        <v>0</v>
      </c>
      <c r="AQ514">
        <f t="shared" si="207"/>
        <v>0</v>
      </c>
      <c r="AR514">
        <f t="shared" si="207"/>
        <v>0</v>
      </c>
      <c r="AS514">
        <f t="shared" si="207"/>
        <v>0</v>
      </c>
      <c r="AT514">
        <f t="shared" si="207"/>
        <v>0</v>
      </c>
      <c r="AU514">
        <f t="shared" si="207"/>
        <v>0</v>
      </c>
      <c r="AV514">
        <f t="shared" si="207"/>
        <v>0</v>
      </c>
      <c r="AW514">
        <f t="shared" si="207"/>
        <v>0</v>
      </c>
      <c r="AX514">
        <f t="shared" si="201"/>
        <v>0</v>
      </c>
      <c r="AY514">
        <f t="shared" si="201"/>
        <v>0</v>
      </c>
      <c r="AZ514">
        <f t="shared" si="201"/>
        <v>0</v>
      </c>
      <c r="BA514">
        <f t="shared" si="202"/>
        <v>1</v>
      </c>
      <c r="BB514">
        <f t="shared" si="203"/>
        <v>0</v>
      </c>
    </row>
    <row r="515" spans="1:54">
      <c r="A515">
        <v>512</v>
      </c>
      <c r="B515" t="s">
        <v>30</v>
      </c>
      <c r="C515" t="s">
        <v>21</v>
      </c>
      <c r="D515" t="s">
        <v>24</v>
      </c>
      <c r="E515" t="s">
        <v>30</v>
      </c>
      <c r="F515" t="s">
        <v>21</v>
      </c>
      <c r="G515" t="s">
        <v>27</v>
      </c>
      <c r="H515" s="3">
        <v>0.28869158608155598</v>
      </c>
      <c r="I515" s="3">
        <v>0.29296405618751598</v>
      </c>
      <c r="J515" s="3">
        <v>0.23336996922901701</v>
      </c>
      <c r="K515" s="3">
        <v>0.25596515705589601</v>
      </c>
      <c r="L515" s="3">
        <v>0.19239523080615201</v>
      </c>
      <c r="M515" s="3">
        <v>0.153488045462432</v>
      </c>
      <c r="N515" s="3">
        <v>0.392772041302621</v>
      </c>
      <c r="O515" s="3">
        <v>0.189320803466031</v>
      </c>
      <c r="P515">
        <f t="shared" si="188"/>
        <v>0</v>
      </c>
      <c r="Q515">
        <f t="shared" si="189"/>
        <v>0</v>
      </c>
      <c r="R515">
        <f t="shared" si="190"/>
        <v>0</v>
      </c>
      <c r="S515">
        <f t="shared" si="191"/>
        <v>0</v>
      </c>
      <c r="T515">
        <f t="shared" si="192"/>
        <v>0</v>
      </c>
      <c r="U515">
        <f t="shared" si="193"/>
        <v>0</v>
      </c>
      <c r="V515">
        <f t="shared" si="194"/>
        <v>1</v>
      </c>
      <c r="W515">
        <f t="shared" si="195"/>
        <v>1</v>
      </c>
      <c r="X515">
        <f t="shared" si="196"/>
        <v>0</v>
      </c>
      <c r="Y515">
        <f t="shared" si="197"/>
        <v>0</v>
      </c>
      <c r="Z515">
        <f t="shared" si="198"/>
        <v>0</v>
      </c>
      <c r="AA515">
        <f t="shared" si="199"/>
        <v>0</v>
      </c>
      <c r="AB515">
        <f t="shared" ref="AB515:AB578" si="208">IF(AND(AND(C515="windows",D515="clang"),AND(F515="windows",G515="clang")),1,0)</f>
        <v>0</v>
      </c>
      <c r="AC515">
        <f t="shared" ref="AC515:AC578" si="209">IF(AND(OR(D515="clang",D515="gcc",D515="msvc"),OR(G515="gcc",G515="clang",G515="msvc")),1,0)</f>
        <v>0</v>
      </c>
      <c r="AD515">
        <f t="shared" ref="AD515:AD578" si="210">IF(AND(OR(D515="go",D515="tgo"),OR(G515="go",G515="tgo")),1,0)</f>
        <v>1</v>
      </c>
      <c r="AE515">
        <f t="shared" ref="AE515:AE578" si="211">IF(AND(OR(D515="rs-pure",D515="rs-sys"),OR(G515="rs-pure",G515="rs-sys")),1,0)</f>
        <v>0</v>
      </c>
      <c r="AF515">
        <f t="shared" ref="AF515:AF578" si="212">IF(C515=F515,1,0)</f>
        <v>1</v>
      </c>
      <c r="AG515">
        <f t="shared" ref="AG515:AG578" si="213">IF(B515=E515,1,0)</f>
        <v>1</v>
      </c>
      <c r="AH515">
        <f t="shared" si="200"/>
        <v>1</v>
      </c>
      <c r="AI515">
        <f t="shared" si="207"/>
        <v>0</v>
      </c>
      <c r="AJ515">
        <f t="shared" si="207"/>
        <v>0</v>
      </c>
      <c r="AK515">
        <f t="shared" si="207"/>
        <v>0</v>
      </c>
      <c r="AL515">
        <f t="shared" si="207"/>
        <v>0</v>
      </c>
      <c r="AM515">
        <f t="shared" si="207"/>
        <v>0</v>
      </c>
      <c r="AN515">
        <f t="shared" si="207"/>
        <v>0</v>
      </c>
      <c r="AO515">
        <f t="shared" si="207"/>
        <v>0</v>
      </c>
      <c r="AP515">
        <f t="shared" si="207"/>
        <v>0</v>
      </c>
      <c r="AQ515">
        <f t="shared" si="207"/>
        <v>0</v>
      </c>
      <c r="AR515">
        <f t="shared" si="207"/>
        <v>0</v>
      </c>
      <c r="AS515">
        <f t="shared" si="207"/>
        <v>0</v>
      </c>
      <c r="AT515">
        <f t="shared" si="207"/>
        <v>0</v>
      </c>
      <c r="AU515">
        <f t="shared" si="207"/>
        <v>0</v>
      </c>
      <c r="AV515">
        <f t="shared" si="207"/>
        <v>0</v>
      </c>
      <c r="AW515">
        <f t="shared" si="207"/>
        <v>1</v>
      </c>
      <c r="AX515">
        <f t="shared" si="201"/>
        <v>0</v>
      </c>
      <c r="AY515">
        <f t="shared" si="201"/>
        <v>0</v>
      </c>
      <c r="AZ515">
        <f t="shared" si="201"/>
        <v>0</v>
      </c>
      <c r="BA515">
        <f t="shared" si="202"/>
        <v>0</v>
      </c>
      <c r="BB515">
        <f t="shared" si="203"/>
        <v>0</v>
      </c>
    </row>
    <row r="516" spans="1:54">
      <c r="A516">
        <v>513</v>
      </c>
      <c r="B516" t="s">
        <v>30</v>
      </c>
      <c r="C516" t="s">
        <v>21</v>
      </c>
      <c r="D516" t="s">
        <v>24</v>
      </c>
      <c r="E516" t="s">
        <v>30</v>
      </c>
      <c r="F516" t="s">
        <v>28</v>
      </c>
      <c r="G516" t="s">
        <v>22</v>
      </c>
      <c r="H516" s="3">
        <v>2.59075203452451E-2</v>
      </c>
      <c r="I516" s="3">
        <v>2.5097515843954799E-2</v>
      </c>
      <c r="J516" s="3">
        <v>2.2093237389659098E-2</v>
      </c>
      <c r="K516" s="3">
        <v>2.3084246760074E-2</v>
      </c>
      <c r="L516" s="3">
        <v>1.6710253115026101E-2</v>
      </c>
      <c r="M516" s="3">
        <v>1.3418870250508599E-2</v>
      </c>
      <c r="N516" s="3">
        <v>2.7799841143764801E-2</v>
      </c>
      <c r="O516" s="3">
        <v>1.8175850117172199E-2</v>
      </c>
      <c r="P516">
        <f t="shared" ref="P516:P579" si="214">IF(OR(AND($C516="linux",$D516="clang"),AND($F516="linux",$G516="clang")),1,0)</f>
        <v>1</v>
      </c>
      <c r="Q516">
        <f t="shared" ref="Q516:Q579" si="215">IF(OR(AND($C516="linux",$D516="gcc"),AND($F516="linux",$G516="gcc")),1,0)</f>
        <v>0</v>
      </c>
      <c r="R516">
        <f t="shared" ref="R516:R579" si="216">IF(OR(AND($C516="linux",$D516="go"),AND($F516="linux",$G516="go")),1,0)</f>
        <v>0</v>
      </c>
      <c r="S516">
        <f t="shared" ref="S516:S579" si="217">IF(OR(AND($C516="linux",$D516="tgo"),AND($F516="linux",$G516="tgo")),1,0)</f>
        <v>0</v>
      </c>
      <c r="T516">
        <f t="shared" ref="T516:T579" si="218">IF(OR(AND($C516="darwin",$D516="clang"),AND($F516="darwin",$G516="clang")),1,0)</f>
        <v>0</v>
      </c>
      <c r="U516">
        <f t="shared" ref="U516:U579" si="219">IF(OR(AND($C516="darwin",$D516="gcc"),AND($F516="darwin",$G516="gcc")),1,0)</f>
        <v>0</v>
      </c>
      <c r="V516">
        <f t="shared" ref="V516:V579" si="220">IF(OR(AND($C516="darwin",$D516="go"),AND($F516="darwin",$G516="go")),1,0)</f>
        <v>1</v>
      </c>
      <c r="W516">
        <f t="shared" ref="W516:W579" si="221">IF(OR(AND($C516="darwin",$D516="tgo"),AND($F516="darwin",$G516="tgo")),1,0)</f>
        <v>0</v>
      </c>
      <c r="X516">
        <f t="shared" ref="X516:X579" si="222">IF(OR(AND($C516="windows",$D516="clang"),AND($F516="windows",$G516="clang")),1,0)</f>
        <v>0</v>
      </c>
      <c r="Y516">
        <f t="shared" ref="Y516:Y579" si="223">IF(OR(AND($C516="windows",$D516="gcc"),AND($F516="windows",$G516="gcc")),1,0)</f>
        <v>0</v>
      </c>
      <c r="Z516">
        <f t="shared" ref="Z516:Z579" si="224">IF(OR(AND($C516="windows",$D516="msvc"),AND($F516="windows",$G516="msvc")),1,0)</f>
        <v>0</v>
      </c>
      <c r="AA516">
        <f t="shared" ref="AA516:AA579" si="225">IF(OR(AND($C516="windows",$D516="go"),AND($F516="windows",$G516="go")),1,0)</f>
        <v>0</v>
      </c>
      <c r="AB516">
        <f t="shared" si="208"/>
        <v>0</v>
      </c>
      <c r="AC516">
        <f t="shared" si="209"/>
        <v>0</v>
      </c>
      <c r="AD516">
        <f t="shared" si="210"/>
        <v>0</v>
      </c>
      <c r="AE516">
        <f t="shared" si="211"/>
        <v>0</v>
      </c>
      <c r="AF516">
        <f t="shared" si="212"/>
        <v>0</v>
      </c>
      <c r="AG516">
        <f t="shared" si="213"/>
        <v>1</v>
      </c>
      <c r="AH516">
        <f t="shared" ref="AH516:AH579" si="226">IF(SUM(AC516:AE516)=1,1,0)</f>
        <v>0</v>
      </c>
      <c r="AI516">
        <f t="shared" si="207"/>
        <v>0</v>
      </c>
      <c r="AJ516">
        <f t="shared" si="207"/>
        <v>0</v>
      </c>
      <c r="AK516">
        <f t="shared" si="207"/>
        <v>0</v>
      </c>
      <c r="AL516">
        <f t="shared" si="207"/>
        <v>0</v>
      </c>
      <c r="AM516">
        <f t="shared" si="207"/>
        <v>0</v>
      </c>
      <c r="AN516">
        <f t="shared" si="207"/>
        <v>0</v>
      </c>
      <c r="AO516">
        <f t="shared" si="207"/>
        <v>0</v>
      </c>
      <c r="AP516">
        <f t="shared" si="207"/>
        <v>0</v>
      </c>
      <c r="AQ516">
        <f t="shared" si="207"/>
        <v>0</v>
      </c>
      <c r="AR516">
        <f t="shared" si="207"/>
        <v>0</v>
      </c>
      <c r="AS516">
        <f t="shared" si="207"/>
        <v>1</v>
      </c>
      <c r="AT516">
        <f t="shared" si="207"/>
        <v>0</v>
      </c>
      <c r="AU516">
        <f t="shared" si="207"/>
        <v>0</v>
      </c>
      <c r="AV516">
        <f t="shared" si="207"/>
        <v>0</v>
      </c>
      <c r="AW516">
        <f t="shared" si="207"/>
        <v>0</v>
      </c>
      <c r="AX516">
        <f t="shared" ref="AX516:AZ547" si="227">IF(OR(AND($C516=AX$1,$F516=AX$2),AND($C516=AX$2,$F516=AX$1)),1,0)</f>
        <v>1</v>
      </c>
      <c r="AY516">
        <f t="shared" si="227"/>
        <v>0</v>
      </c>
      <c r="AZ516">
        <f t="shared" si="227"/>
        <v>0</v>
      </c>
      <c r="BA516">
        <f t="shared" ref="BA516:BA579" si="228">IF(SUM(AI516:AQ516)=1,1,0)</f>
        <v>0</v>
      </c>
      <c r="BB516">
        <f t="shared" ref="BB516:BB579" si="229">IF(OR(C516="windows",F516="windows"),1,0)</f>
        <v>0</v>
      </c>
    </row>
    <row r="517" spans="1:54">
      <c r="A517">
        <v>514</v>
      </c>
      <c r="B517" t="s">
        <v>30</v>
      </c>
      <c r="C517" t="s">
        <v>21</v>
      </c>
      <c r="D517" t="s">
        <v>24</v>
      </c>
      <c r="E517" t="s">
        <v>30</v>
      </c>
      <c r="F517" t="s">
        <v>28</v>
      </c>
      <c r="G517" t="s">
        <v>23</v>
      </c>
      <c r="H517" s="3">
        <v>3.0629962890265299E-2</v>
      </c>
      <c r="I517" s="3">
        <v>2.9592862277664299E-2</v>
      </c>
      <c r="J517" s="3">
        <v>2.5974317694286299E-2</v>
      </c>
      <c r="K517" s="3">
        <v>2.7118364994808498E-2</v>
      </c>
      <c r="L517" s="3">
        <v>1.9617307583735401E-2</v>
      </c>
      <c r="M517" s="3">
        <v>1.5562007978161501E-2</v>
      </c>
      <c r="N517" s="3">
        <v>3.29626687847498E-2</v>
      </c>
      <c r="O517" s="3">
        <v>2.10387591444865E-2</v>
      </c>
      <c r="P517">
        <f t="shared" si="214"/>
        <v>0</v>
      </c>
      <c r="Q517">
        <f t="shared" si="215"/>
        <v>1</v>
      </c>
      <c r="R517">
        <f t="shared" si="216"/>
        <v>0</v>
      </c>
      <c r="S517">
        <f t="shared" si="217"/>
        <v>0</v>
      </c>
      <c r="T517">
        <f t="shared" si="218"/>
        <v>0</v>
      </c>
      <c r="U517">
        <f t="shared" si="219"/>
        <v>0</v>
      </c>
      <c r="V517">
        <f t="shared" si="220"/>
        <v>1</v>
      </c>
      <c r="W517">
        <f t="shared" si="221"/>
        <v>0</v>
      </c>
      <c r="X517">
        <f t="shared" si="222"/>
        <v>0</v>
      </c>
      <c r="Y517">
        <f t="shared" si="223"/>
        <v>0</v>
      </c>
      <c r="Z517">
        <f t="shared" si="224"/>
        <v>0</v>
      </c>
      <c r="AA517">
        <f t="shared" si="225"/>
        <v>0</v>
      </c>
      <c r="AB517">
        <f t="shared" si="208"/>
        <v>0</v>
      </c>
      <c r="AC517">
        <f t="shared" si="209"/>
        <v>0</v>
      </c>
      <c r="AD517">
        <f t="shared" si="210"/>
        <v>0</v>
      </c>
      <c r="AE517">
        <f t="shared" si="211"/>
        <v>0</v>
      </c>
      <c r="AF517">
        <f t="shared" si="212"/>
        <v>0</v>
      </c>
      <c r="AG517">
        <f t="shared" si="213"/>
        <v>1</v>
      </c>
      <c r="AH517">
        <f t="shared" si="226"/>
        <v>0</v>
      </c>
      <c r="AI517">
        <f t="shared" si="207"/>
        <v>0</v>
      </c>
      <c r="AJ517">
        <f t="shared" si="207"/>
        <v>0</v>
      </c>
      <c r="AK517">
        <f t="shared" si="207"/>
        <v>0</v>
      </c>
      <c r="AL517">
        <f t="shared" si="207"/>
        <v>0</v>
      </c>
      <c r="AM517">
        <f t="shared" si="207"/>
        <v>0</v>
      </c>
      <c r="AN517">
        <f t="shared" si="207"/>
        <v>0</v>
      </c>
      <c r="AO517">
        <f t="shared" si="207"/>
        <v>0</v>
      </c>
      <c r="AP517">
        <f t="shared" si="207"/>
        <v>0</v>
      </c>
      <c r="AQ517">
        <f t="shared" si="207"/>
        <v>0</v>
      </c>
      <c r="AR517">
        <f t="shared" si="207"/>
        <v>0</v>
      </c>
      <c r="AS517">
        <f t="shared" si="207"/>
        <v>0</v>
      </c>
      <c r="AT517">
        <f t="shared" si="207"/>
        <v>0</v>
      </c>
      <c r="AU517">
        <f t="shared" si="207"/>
        <v>1</v>
      </c>
      <c r="AV517">
        <f t="shared" si="207"/>
        <v>0</v>
      </c>
      <c r="AW517">
        <f t="shared" si="207"/>
        <v>0</v>
      </c>
      <c r="AX517">
        <f t="shared" si="227"/>
        <v>1</v>
      </c>
      <c r="AY517">
        <f t="shared" si="227"/>
        <v>0</v>
      </c>
      <c r="AZ517">
        <f t="shared" si="227"/>
        <v>0</v>
      </c>
      <c r="BA517">
        <f t="shared" si="228"/>
        <v>0</v>
      </c>
      <c r="BB517">
        <f t="shared" si="229"/>
        <v>0</v>
      </c>
    </row>
    <row r="518" spans="1:54">
      <c r="A518">
        <v>515</v>
      </c>
      <c r="B518" t="s">
        <v>30</v>
      </c>
      <c r="C518" t="s">
        <v>21</v>
      </c>
      <c r="D518" t="s">
        <v>24</v>
      </c>
      <c r="E518" t="s">
        <v>30</v>
      </c>
      <c r="F518" t="s">
        <v>28</v>
      </c>
      <c r="G518" t="s">
        <v>24</v>
      </c>
      <c r="H518" s="3">
        <v>0.92651168727933997</v>
      </c>
      <c r="I518" s="3">
        <v>0.91688337432612799</v>
      </c>
      <c r="J518" s="3">
        <v>0.84341543154958099</v>
      </c>
      <c r="K518" s="3">
        <v>0.875121410922298</v>
      </c>
      <c r="L518" s="3">
        <v>0.82066280720547702</v>
      </c>
      <c r="M518" s="3">
        <v>0.75411625529406701</v>
      </c>
      <c r="N518" s="3">
        <v>0.99841143764892704</v>
      </c>
      <c r="O518" s="3">
        <v>0.78715667373078002</v>
      </c>
      <c r="P518">
        <f t="shared" si="214"/>
        <v>0</v>
      </c>
      <c r="Q518">
        <f t="shared" si="215"/>
        <v>0</v>
      </c>
      <c r="R518">
        <f t="shared" si="216"/>
        <v>1</v>
      </c>
      <c r="S518">
        <f t="shared" si="217"/>
        <v>0</v>
      </c>
      <c r="T518">
        <f t="shared" si="218"/>
        <v>0</v>
      </c>
      <c r="U518">
        <f t="shared" si="219"/>
        <v>0</v>
      </c>
      <c r="V518">
        <f t="shared" si="220"/>
        <v>1</v>
      </c>
      <c r="W518">
        <f t="shared" si="221"/>
        <v>0</v>
      </c>
      <c r="X518">
        <f t="shared" si="222"/>
        <v>0</v>
      </c>
      <c r="Y518">
        <f t="shared" si="223"/>
        <v>0</v>
      </c>
      <c r="Z518">
        <f t="shared" si="224"/>
        <v>0</v>
      </c>
      <c r="AA518">
        <f t="shared" si="225"/>
        <v>0</v>
      </c>
      <c r="AB518">
        <f t="shared" si="208"/>
        <v>0</v>
      </c>
      <c r="AC518">
        <f t="shared" si="209"/>
        <v>0</v>
      </c>
      <c r="AD518">
        <f t="shared" si="210"/>
        <v>1</v>
      </c>
      <c r="AE518">
        <f t="shared" si="211"/>
        <v>0</v>
      </c>
      <c r="AF518">
        <f t="shared" si="212"/>
        <v>0</v>
      </c>
      <c r="AG518">
        <f t="shared" si="213"/>
        <v>1</v>
      </c>
      <c r="AH518">
        <f t="shared" si="226"/>
        <v>1</v>
      </c>
      <c r="AI518">
        <f t="shared" si="207"/>
        <v>0</v>
      </c>
      <c r="AJ518">
        <f t="shared" si="207"/>
        <v>0</v>
      </c>
      <c r="AK518">
        <f t="shared" si="207"/>
        <v>0</v>
      </c>
      <c r="AL518">
        <f t="shared" si="207"/>
        <v>0</v>
      </c>
      <c r="AM518">
        <f t="shared" si="207"/>
        <v>0</v>
      </c>
      <c r="AN518">
        <f t="shared" si="207"/>
        <v>0</v>
      </c>
      <c r="AO518">
        <f t="shared" si="207"/>
        <v>0</v>
      </c>
      <c r="AP518">
        <f t="shared" si="207"/>
        <v>0</v>
      </c>
      <c r="AQ518">
        <f t="shared" si="207"/>
        <v>0</v>
      </c>
      <c r="AR518">
        <f t="shared" si="207"/>
        <v>0</v>
      </c>
      <c r="AS518">
        <f t="shared" si="207"/>
        <v>0</v>
      </c>
      <c r="AT518">
        <f t="shared" si="207"/>
        <v>0</v>
      </c>
      <c r="AU518">
        <f t="shared" si="207"/>
        <v>0</v>
      </c>
      <c r="AV518">
        <f t="shared" si="207"/>
        <v>0</v>
      </c>
      <c r="AW518">
        <f t="shared" si="207"/>
        <v>0</v>
      </c>
      <c r="AX518">
        <f t="shared" si="227"/>
        <v>1</v>
      </c>
      <c r="AY518">
        <f t="shared" si="227"/>
        <v>0</v>
      </c>
      <c r="AZ518">
        <f t="shared" si="227"/>
        <v>0</v>
      </c>
      <c r="BA518">
        <f t="shared" si="228"/>
        <v>0</v>
      </c>
      <c r="BB518">
        <f t="shared" si="229"/>
        <v>0</v>
      </c>
    </row>
    <row r="519" spans="1:54">
      <c r="A519">
        <v>516</v>
      </c>
      <c r="B519" t="s">
        <v>30</v>
      </c>
      <c r="C519" t="s">
        <v>21</v>
      </c>
      <c r="D519" t="s">
        <v>24</v>
      </c>
      <c r="E519" t="s">
        <v>30</v>
      </c>
      <c r="F519" t="s">
        <v>28</v>
      </c>
      <c r="G519" t="s">
        <v>25</v>
      </c>
      <c r="H519" s="3">
        <v>0.596302805014023</v>
      </c>
      <c r="I519" s="3">
        <v>0.618825184611007</v>
      </c>
      <c r="J519" s="3">
        <v>0.45468689932096101</v>
      </c>
      <c r="K519" s="3">
        <v>0.53813341999449604</v>
      </c>
      <c r="L519" s="3">
        <v>0.33146327448018398</v>
      </c>
      <c r="M519" s="3">
        <v>0.244588586835325</v>
      </c>
      <c r="N519" s="3">
        <v>0.74451700820198996</v>
      </c>
      <c r="O519" s="3">
        <v>0.35061538296432598</v>
      </c>
      <c r="P519">
        <f t="shared" si="214"/>
        <v>0</v>
      </c>
      <c r="Q519">
        <f t="shared" si="215"/>
        <v>0</v>
      </c>
      <c r="R519">
        <f t="shared" si="216"/>
        <v>0</v>
      </c>
      <c r="S519">
        <f t="shared" si="217"/>
        <v>0</v>
      </c>
      <c r="T519">
        <f t="shared" si="218"/>
        <v>0</v>
      </c>
      <c r="U519">
        <f t="shared" si="219"/>
        <v>0</v>
      </c>
      <c r="V519">
        <f t="shared" si="220"/>
        <v>1</v>
      </c>
      <c r="W519">
        <f t="shared" si="221"/>
        <v>0</v>
      </c>
      <c r="X519">
        <f t="shared" si="222"/>
        <v>0</v>
      </c>
      <c r="Y519">
        <f t="shared" si="223"/>
        <v>0</v>
      </c>
      <c r="Z519">
        <f t="shared" si="224"/>
        <v>0</v>
      </c>
      <c r="AA519">
        <f t="shared" si="225"/>
        <v>0</v>
      </c>
      <c r="AB519">
        <f t="shared" si="208"/>
        <v>0</v>
      </c>
      <c r="AC519">
        <f t="shared" si="209"/>
        <v>0</v>
      </c>
      <c r="AD519">
        <f t="shared" si="210"/>
        <v>0</v>
      </c>
      <c r="AE519">
        <f t="shared" si="211"/>
        <v>0</v>
      </c>
      <c r="AF519">
        <f t="shared" si="212"/>
        <v>0</v>
      </c>
      <c r="AG519">
        <f t="shared" si="213"/>
        <v>1</v>
      </c>
      <c r="AH519">
        <f t="shared" si="226"/>
        <v>0</v>
      </c>
      <c r="AI519">
        <f t="shared" si="207"/>
        <v>0</v>
      </c>
      <c r="AJ519">
        <f t="shared" si="207"/>
        <v>0</v>
      </c>
      <c r="AK519">
        <f t="shared" si="207"/>
        <v>0</v>
      </c>
      <c r="AL519">
        <f t="shared" si="207"/>
        <v>0</v>
      </c>
      <c r="AM519">
        <f t="shared" si="207"/>
        <v>0</v>
      </c>
      <c r="AN519">
        <f t="shared" si="207"/>
        <v>0</v>
      </c>
      <c r="AO519">
        <f t="shared" si="207"/>
        <v>0</v>
      </c>
      <c r="AP519">
        <f t="shared" si="207"/>
        <v>1</v>
      </c>
      <c r="AQ519">
        <f t="shared" si="207"/>
        <v>0</v>
      </c>
      <c r="AR519">
        <f t="shared" si="207"/>
        <v>0</v>
      </c>
      <c r="AS519">
        <f t="shared" si="207"/>
        <v>0</v>
      </c>
      <c r="AT519">
        <f t="shared" si="207"/>
        <v>0</v>
      </c>
      <c r="AU519">
        <f t="shared" si="207"/>
        <v>0</v>
      </c>
      <c r="AV519">
        <f t="shared" si="207"/>
        <v>0</v>
      </c>
      <c r="AW519">
        <f t="shared" si="207"/>
        <v>0</v>
      </c>
      <c r="AX519">
        <f t="shared" si="227"/>
        <v>1</v>
      </c>
      <c r="AY519">
        <f t="shared" si="227"/>
        <v>0</v>
      </c>
      <c r="AZ519">
        <f t="shared" si="227"/>
        <v>0</v>
      </c>
      <c r="BA519">
        <f t="shared" si="228"/>
        <v>1</v>
      </c>
      <c r="BB519">
        <f t="shared" si="229"/>
        <v>0</v>
      </c>
    </row>
    <row r="520" spans="1:54">
      <c r="A520">
        <v>517</v>
      </c>
      <c r="B520" t="s">
        <v>30</v>
      </c>
      <c r="C520" t="s">
        <v>21</v>
      </c>
      <c r="D520" t="s">
        <v>24</v>
      </c>
      <c r="E520" t="s">
        <v>30</v>
      </c>
      <c r="F520" t="s">
        <v>28</v>
      </c>
      <c r="G520" t="s">
        <v>26</v>
      </c>
      <c r="H520" s="3">
        <v>0.60442316801361196</v>
      </c>
      <c r="I520" s="3">
        <v>0.62687181294148597</v>
      </c>
      <c r="J520" s="3">
        <v>0.45805664448136002</v>
      </c>
      <c r="K520" s="3">
        <v>0.54449872220609097</v>
      </c>
      <c r="L520" s="3">
        <v>0.33520839077673098</v>
      </c>
      <c r="M520" s="3">
        <v>0.24719398238905699</v>
      </c>
      <c r="N520" s="3">
        <v>0.75592915040528297</v>
      </c>
      <c r="O520" s="3">
        <v>0.35341309761491002</v>
      </c>
      <c r="P520">
        <f t="shared" si="214"/>
        <v>0</v>
      </c>
      <c r="Q520">
        <f t="shared" si="215"/>
        <v>0</v>
      </c>
      <c r="R520">
        <f t="shared" si="216"/>
        <v>0</v>
      </c>
      <c r="S520">
        <f t="shared" si="217"/>
        <v>0</v>
      </c>
      <c r="T520">
        <f t="shared" si="218"/>
        <v>0</v>
      </c>
      <c r="U520">
        <f t="shared" si="219"/>
        <v>0</v>
      </c>
      <c r="V520">
        <f t="shared" si="220"/>
        <v>1</v>
      </c>
      <c r="W520">
        <f t="shared" si="221"/>
        <v>0</v>
      </c>
      <c r="X520">
        <f t="shared" si="222"/>
        <v>0</v>
      </c>
      <c r="Y520">
        <f t="shared" si="223"/>
        <v>0</v>
      </c>
      <c r="Z520">
        <f t="shared" si="224"/>
        <v>0</v>
      </c>
      <c r="AA520">
        <f t="shared" si="225"/>
        <v>0</v>
      </c>
      <c r="AB520">
        <f t="shared" si="208"/>
        <v>0</v>
      </c>
      <c r="AC520">
        <f t="shared" si="209"/>
        <v>0</v>
      </c>
      <c r="AD520">
        <f t="shared" si="210"/>
        <v>0</v>
      </c>
      <c r="AE520">
        <f t="shared" si="211"/>
        <v>0</v>
      </c>
      <c r="AF520">
        <f t="shared" si="212"/>
        <v>0</v>
      </c>
      <c r="AG520">
        <f t="shared" si="213"/>
        <v>1</v>
      </c>
      <c r="AH520">
        <f t="shared" si="226"/>
        <v>0</v>
      </c>
      <c r="AI520">
        <f t="shared" si="207"/>
        <v>0</v>
      </c>
      <c r="AJ520">
        <f t="shared" si="207"/>
        <v>0</v>
      </c>
      <c r="AK520">
        <f t="shared" si="207"/>
        <v>0</v>
      </c>
      <c r="AL520">
        <f t="shared" si="207"/>
        <v>1</v>
      </c>
      <c r="AM520">
        <f t="shared" si="207"/>
        <v>0</v>
      </c>
      <c r="AN520">
        <f t="shared" si="207"/>
        <v>0</v>
      </c>
      <c r="AO520">
        <f t="shared" si="207"/>
        <v>0</v>
      </c>
      <c r="AP520">
        <f t="shared" si="207"/>
        <v>0</v>
      </c>
      <c r="AQ520">
        <f t="shared" si="207"/>
        <v>0</v>
      </c>
      <c r="AR520">
        <f t="shared" si="207"/>
        <v>0</v>
      </c>
      <c r="AS520">
        <f t="shared" si="207"/>
        <v>0</v>
      </c>
      <c r="AT520">
        <f t="shared" si="207"/>
        <v>0</v>
      </c>
      <c r="AU520">
        <f t="shared" si="207"/>
        <v>0</v>
      </c>
      <c r="AV520">
        <f t="shared" si="207"/>
        <v>0</v>
      </c>
      <c r="AW520">
        <f t="shared" si="207"/>
        <v>0</v>
      </c>
      <c r="AX520">
        <f t="shared" si="227"/>
        <v>1</v>
      </c>
      <c r="AY520">
        <f t="shared" si="227"/>
        <v>0</v>
      </c>
      <c r="AZ520">
        <f t="shared" si="227"/>
        <v>0</v>
      </c>
      <c r="BA520">
        <f t="shared" si="228"/>
        <v>1</v>
      </c>
      <c r="BB520">
        <f t="shared" si="229"/>
        <v>0</v>
      </c>
    </row>
    <row r="521" spans="1:54">
      <c r="A521">
        <v>518</v>
      </c>
      <c r="B521" t="s">
        <v>30</v>
      </c>
      <c r="C521" t="s">
        <v>21</v>
      </c>
      <c r="D521" t="s">
        <v>24</v>
      </c>
      <c r="E521" t="s">
        <v>30</v>
      </c>
      <c r="F521" t="s">
        <v>28</v>
      </c>
      <c r="G521" t="s">
        <v>27</v>
      </c>
      <c r="H521" s="3">
        <v>0.34946848577017198</v>
      </c>
      <c r="I521" s="3">
        <v>0.346113478346879</v>
      </c>
      <c r="J521" s="3">
        <v>0.26972691587977599</v>
      </c>
      <c r="K521" s="3">
        <v>0.29883943264934398</v>
      </c>
      <c r="L521" s="3">
        <v>0.21903993664847399</v>
      </c>
      <c r="M521" s="3">
        <v>0.174249371745614</v>
      </c>
      <c r="N521" s="3">
        <v>0.48173153296266802</v>
      </c>
      <c r="O521" s="3">
        <v>0.214677765843484</v>
      </c>
      <c r="P521">
        <f t="shared" si="214"/>
        <v>0</v>
      </c>
      <c r="Q521">
        <f t="shared" si="215"/>
        <v>0</v>
      </c>
      <c r="R521">
        <f t="shared" si="216"/>
        <v>0</v>
      </c>
      <c r="S521">
        <f t="shared" si="217"/>
        <v>1</v>
      </c>
      <c r="T521">
        <f t="shared" si="218"/>
        <v>0</v>
      </c>
      <c r="U521">
        <f t="shared" si="219"/>
        <v>0</v>
      </c>
      <c r="V521">
        <f t="shared" si="220"/>
        <v>1</v>
      </c>
      <c r="W521">
        <f t="shared" si="221"/>
        <v>0</v>
      </c>
      <c r="X521">
        <f t="shared" si="222"/>
        <v>0</v>
      </c>
      <c r="Y521">
        <f t="shared" si="223"/>
        <v>0</v>
      </c>
      <c r="Z521">
        <f t="shared" si="224"/>
        <v>0</v>
      </c>
      <c r="AA521">
        <f t="shared" si="225"/>
        <v>0</v>
      </c>
      <c r="AB521">
        <f t="shared" si="208"/>
        <v>0</v>
      </c>
      <c r="AC521">
        <f t="shared" si="209"/>
        <v>0</v>
      </c>
      <c r="AD521">
        <f t="shared" si="210"/>
        <v>1</v>
      </c>
      <c r="AE521">
        <f t="shared" si="211"/>
        <v>0</v>
      </c>
      <c r="AF521">
        <f t="shared" si="212"/>
        <v>0</v>
      </c>
      <c r="AG521">
        <f t="shared" si="213"/>
        <v>1</v>
      </c>
      <c r="AH521">
        <f t="shared" si="226"/>
        <v>1</v>
      </c>
      <c r="AI521">
        <f t="shared" si="207"/>
        <v>0</v>
      </c>
      <c r="AJ521">
        <f t="shared" si="207"/>
        <v>0</v>
      </c>
      <c r="AK521">
        <f t="shared" si="207"/>
        <v>0</v>
      </c>
      <c r="AL521">
        <f t="shared" si="207"/>
        <v>0</v>
      </c>
      <c r="AM521">
        <f t="shared" si="207"/>
        <v>0</v>
      </c>
      <c r="AN521">
        <f t="shared" si="207"/>
        <v>0</v>
      </c>
      <c r="AO521">
        <f t="shared" si="207"/>
        <v>0</v>
      </c>
      <c r="AP521">
        <f t="shared" si="207"/>
        <v>0</v>
      </c>
      <c r="AQ521">
        <f t="shared" si="207"/>
        <v>0</v>
      </c>
      <c r="AR521">
        <f t="shared" si="207"/>
        <v>0</v>
      </c>
      <c r="AS521">
        <f t="shared" si="207"/>
        <v>0</v>
      </c>
      <c r="AT521">
        <f t="shared" si="207"/>
        <v>0</v>
      </c>
      <c r="AU521">
        <f t="shared" si="207"/>
        <v>0</v>
      </c>
      <c r="AV521">
        <f t="shared" si="207"/>
        <v>0</v>
      </c>
      <c r="AW521">
        <f t="shared" si="207"/>
        <v>1</v>
      </c>
      <c r="AX521">
        <f t="shared" si="227"/>
        <v>1</v>
      </c>
      <c r="AY521">
        <f t="shared" si="227"/>
        <v>0</v>
      </c>
      <c r="AZ521">
        <f t="shared" si="227"/>
        <v>0</v>
      </c>
      <c r="BA521">
        <f t="shared" si="228"/>
        <v>0</v>
      </c>
      <c r="BB521">
        <f t="shared" si="229"/>
        <v>0</v>
      </c>
    </row>
    <row r="522" spans="1:54">
      <c r="A522">
        <v>519</v>
      </c>
      <c r="B522" t="s">
        <v>30</v>
      </c>
      <c r="C522" t="s">
        <v>21</v>
      </c>
      <c r="D522" t="s">
        <v>24</v>
      </c>
      <c r="E522" t="s">
        <v>30</v>
      </c>
      <c r="F522" t="s">
        <v>29</v>
      </c>
      <c r="G522" t="s">
        <v>22</v>
      </c>
      <c r="H522" s="3">
        <v>0.76772750255904099</v>
      </c>
      <c r="I522" s="3">
        <v>0.77092052194241201</v>
      </c>
      <c r="J522" s="3">
        <v>0.50489668849452995</v>
      </c>
      <c r="K522" s="3">
        <v>0.65595496698985101</v>
      </c>
      <c r="L522" s="3">
        <v>0.38402780386952801</v>
      </c>
      <c r="M522" s="3">
        <v>0.278404651984973</v>
      </c>
      <c r="N522" s="3">
        <v>0.96901870659517397</v>
      </c>
      <c r="O522" s="3">
        <v>0.387221264387963</v>
      </c>
      <c r="P522">
        <f t="shared" si="214"/>
        <v>0</v>
      </c>
      <c r="Q522">
        <f t="shared" si="215"/>
        <v>0</v>
      </c>
      <c r="R522">
        <f t="shared" si="216"/>
        <v>0</v>
      </c>
      <c r="S522">
        <f t="shared" si="217"/>
        <v>0</v>
      </c>
      <c r="T522">
        <f t="shared" si="218"/>
        <v>0</v>
      </c>
      <c r="U522">
        <f t="shared" si="219"/>
        <v>0</v>
      </c>
      <c r="V522">
        <f t="shared" si="220"/>
        <v>1</v>
      </c>
      <c r="W522">
        <f t="shared" si="221"/>
        <v>0</v>
      </c>
      <c r="X522">
        <f t="shared" si="222"/>
        <v>1</v>
      </c>
      <c r="Y522">
        <f t="shared" si="223"/>
        <v>0</v>
      </c>
      <c r="Z522">
        <f t="shared" si="224"/>
        <v>0</v>
      </c>
      <c r="AA522">
        <f t="shared" si="225"/>
        <v>0</v>
      </c>
      <c r="AB522">
        <f t="shared" si="208"/>
        <v>0</v>
      </c>
      <c r="AC522">
        <f t="shared" si="209"/>
        <v>0</v>
      </c>
      <c r="AD522">
        <f t="shared" si="210"/>
        <v>0</v>
      </c>
      <c r="AE522">
        <f t="shared" si="211"/>
        <v>0</v>
      </c>
      <c r="AF522">
        <f t="shared" si="212"/>
        <v>0</v>
      </c>
      <c r="AG522">
        <f t="shared" si="213"/>
        <v>1</v>
      </c>
      <c r="AH522">
        <f t="shared" si="226"/>
        <v>0</v>
      </c>
      <c r="AI522">
        <f t="shared" si="207"/>
        <v>0</v>
      </c>
      <c r="AJ522">
        <f t="shared" si="207"/>
        <v>0</v>
      </c>
      <c r="AK522">
        <f t="shared" si="207"/>
        <v>0</v>
      </c>
      <c r="AL522">
        <f t="shared" si="207"/>
        <v>0</v>
      </c>
      <c r="AM522">
        <f t="shared" si="207"/>
        <v>0</v>
      </c>
      <c r="AN522">
        <f t="shared" si="207"/>
        <v>0</v>
      </c>
      <c r="AO522">
        <f t="shared" si="207"/>
        <v>0</v>
      </c>
      <c r="AP522">
        <f t="shared" si="207"/>
        <v>0</v>
      </c>
      <c r="AQ522">
        <f t="shared" si="207"/>
        <v>0</v>
      </c>
      <c r="AR522">
        <f t="shared" si="207"/>
        <v>0</v>
      </c>
      <c r="AS522">
        <f t="shared" si="207"/>
        <v>1</v>
      </c>
      <c r="AT522">
        <f t="shared" si="207"/>
        <v>0</v>
      </c>
      <c r="AU522">
        <f t="shared" si="207"/>
        <v>0</v>
      </c>
      <c r="AV522">
        <f t="shared" si="207"/>
        <v>0</v>
      </c>
      <c r="AW522">
        <f t="shared" si="207"/>
        <v>0</v>
      </c>
      <c r="AX522">
        <f t="shared" si="227"/>
        <v>0</v>
      </c>
      <c r="AY522">
        <f t="shared" si="227"/>
        <v>0</v>
      </c>
      <c r="AZ522">
        <f t="shared" si="227"/>
        <v>1</v>
      </c>
      <c r="BA522">
        <f t="shared" si="228"/>
        <v>0</v>
      </c>
      <c r="BB522">
        <f t="shared" si="229"/>
        <v>1</v>
      </c>
    </row>
    <row r="523" spans="1:54">
      <c r="A523">
        <v>520</v>
      </c>
      <c r="B523" t="s">
        <v>30</v>
      </c>
      <c r="C523" t="s">
        <v>21</v>
      </c>
      <c r="D523" t="s">
        <v>24</v>
      </c>
      <c r="E523" t="s">
        <v>30</v>
      </c>
      <c r="F523" t="s">
        <v>29</v>
      </c>
      <c r="G523" t="s">
        <v>23</v>
      </c>
      <c r="H523" s="3">
        <v>3.91954478209222E-2</v>
      </c>
      <c r="I523" s="3">
        <v>3.7726065718777103E-2</v>
      </c>
      <c r="J523" s="3">
        <v>3.3246252530825603E-2</v>
      </c>
      <c r="K523" s="3">
        <v>3.42394176232289E-2</v>
      </c>
      <c r="L523" s="3">
        <v>2.4920987469511199E-2</v>
      </c>
      <c r="M523" s="3">
        <v>1.9484206799171101E-2</v>
      </c>
      <c r="N523" s="3">
        <v>4.2494042891183401E-2</v>
      </c>
      <c r="O523" s="3">
        <v>2.6660492238497799E-2</v>
      </c>
      <c r="P523">
        <f t="shared" si="214"/>
        <v>0</v>
      </c>
      <c r="Q523">
        <f t="shared" si="215"/>
        <v>0</v>
      </c>
      <c r="R523">
        <f t="shared" si="216"/>
        <v>0</v>
      </c>
      <c r="S523">
        <f t="shared" si="217"/>
        <v>0</v>
      </c>
      <c r="T523">
        <f t="shared" si="218"/>
        <v>0</v>
      </c>
      <c r="U523">
        <f t="shared" si="219"/>
        <v>0</v>
      </c>
      <c r="V523">
        <f t="shared" si="220"/>
        <v>1</v>
      </c>
      <c r="W523">
        <f t="shared" si="221"/>
        <v>0</v>
      </c>
      <c r="X523">
        <f t="shared" si="222"/>
        <v>0</v>
      </c>
      <c r="Y523">
        <f t="shared" si="223"/>
        <v>1</v>
      </c>
      <c r="Z523">
        <f t="shared" si="224"/>
        <v>0</v>
      </c>
      <c r="AA523">
        <f t="shared" si="225"/>
        <v>0</v>
      </c>
      <c r="AB523">
        <f t="shared" si="208"/>
        <v>0</v>
      </c>
      <c r="AC523">
        <f t="shared" si="209"/>
        <v>0</v>
      </c>
      <c r="AD523">
        <f t="shared" si="210"/>
        <v>0</v>
      </c>
      <c r="AE523">
        <f t="shared" si="211"/>
        <v>0</v>
      </c>
      <c r="AF523">
        <f t="shared" si="212"/>
        <v>0</v>
      </c>
      <c r="AG523">
        <f t="shared" si="213"/>
        <v>1</v>
      </c>
      <c r="AH523">
        <f t="shared" si="226"/>
        <v>0</v>
      </c>
      <c r="AI523">
        <f t="shared" si="207"/>
        <v>0</v>
      </c>
      <c r="AJ523">
        <f t="shared" si="207"/>
        <v>0</v>
      </c>
      <c r="AK523">
        <f t="shared" si="207"/>
        <v>0</v>
      </c>
      <c r="AL523">
        <f t="shared" si="207"/>
        <v>0</v>
      </c>
      <c r="AM523">
        <f t="shared" si="207"/>
        <v>0</v>
      </c>
      <c r="AN523">
        <f t="shared" si="207"/>
        <v>0</v>
      </c>
      <c r="AO523">
        <f t="shared" si="207"/>
        <v>0</v>
      </c>
      <c r="AP523">
        <f t="shared" si="207"/>
        <v>0</v>
      </c>
      <c r="AQ523">
        <f t="shared" si="207"/>
        <v>0</v>
      </c>
      <c r="AR523">
        <f t="shared" si="207"/>
        <v>0</v>
      </c>
      <c r="AS523">
        <f t="shared" si="207"/>
        <v>0</v>
      </c>
      <c r="AT523">
        <f t="shared" si="207"/>
        <v>0</v>
      </c>
      <c r="AU523">
        <f t="shared" si="207"/>
        <v>1</v>
      </c>
      <c r="AV523">
        <f t="shared" si="207"/>
        <v>0</v>
      </c>
      <c r="AW523">
        <f t="shared" si="207"/>
        <v>0</v>
      </c>
      <c r="AX523">
        <f t="shared" si="227"/>
        <v>0</v>
      </c>
      <c r="AY523">
        <f t="shared" si="227"/>
        <v>0</v>
      </c>
      <c r="AZ523">
        <f t="shared" si="227"/>
        <v>1</v>
      </c>
      <c r="BA523">
        <f t="shared" si="228"/>
        <v>0</v>
      </c>
      <c r="BB523">
        <f t="shared" si="229"/>
        <v>1</v>
      </c>
    </row>
    <row r="524" spans="1:54">
      <c r="A524">
        <v>521</v>
      </c>
      <c r="B524" t="s">
        <v>30</v>
      </c>
      <c r="C524" t="s">
        <v>21</v>
      </c>
      <c r="D524" t="s">
        <v>24</v>
      </c>
      <c r="E524" t="s">
        <v>30</v>
      </c>
      <c r="F524" t="s">
        <v>29</v>
      </c>
      <c r="G524" t="s">
        <v>24</v>
      </c>
      <c r="H524" s="3">
        <v>0.62415856534810998</v>
      </c>
      <c r="I524" s="3">
        <v>0.65058649693349002</v>
      </c>
      <c r="J524" s="3">
        <v>0.53064502692996096</v>
      </c>
      <c r="K524" s="3">
        <v>0.61815507224395005</v>
      </c>
      <c r="L524" s="3">
        <v>0.45202435343809599</v>
      </c>
      <c r="M524" s="3">
        <v>0.36496299107586699</v>
      </c>
      <c r="N524" s="3">
        <v>0.69062748212867298</v>
      </c>
      <c r="O524" s="3">
        <v>0.448828606318944</v>
      </c>
      <c r="P524">
        <f t="shared" si="214"/>
        <v>0</v>
      </c>
      <c r="Q524">
        <f t="shared" si="215"/>
        <v>0</v>
      </c>
      <c r="R524">
        <f t="shared" si="216"/>
        <v>0</v>
      </c>
      <c r="S524">
        <f t="shared" si="217"/>
        <v>0</v>
      </c>
      <c r="T524">
        <f t="shared" si="218"/>
        <v>0</v>
      </c>
      <c r="U524">
        <f t="shared" si="219"/>
        <v>0</v>
      </c>
      <c r="V524">
        <f t="shared" si="220"/>
        <v>1</v>
      </c>
      <c r="W524">
        <f t="shared" si="221"/>
        <v>0</v>
      </c>
      <c r="X524">
        <f t="shared" si="222"/>
        <v>0</v>
      </c>
      <c r="Y524">
        <f t="shared" si="223"/>
        <v>0</v>
      </c>
      <c r="Z524">
        <f t="shared" si="224"/>
        <v>0</v>
      </c>
      <c r="AA524">
        <f t="shared" si="225"/>
        <v>1</v>
      </c>
      <c r="AB524">
        <f t="shared" si="208"/>
        <v>0</v>
      </c>
      <c r="AC524">
        <f t="shared" si="209"/>
        <v>0</v>
      </c>
      <c r="AD524">
        <f t="shared" si="210"/>
        <v>1</v>
      </c>
      <c r="AE524">
        <f t="shared" si="211"/>
        <v>0</v>
      </c>
      <c r="AF524">
        <f t="shared" si="212"/>
        <v>0</v>
      </c>
      <c r="AG524">
        <f t="shared" si="213"/>
        <v>1</v>
      </c>
      <c r="AH524">
        <f t="shared" si="226"/>
        <v>1</v>
      </c>
      <c r="AI524">
        <f t="shared" si="207"/>
        <v>0</v>
      </c>
      <c r="AJ524">
        <f t="shared" si="207"/>
        <v>0</v>
      </c>
      <c r="AK524">
        <f t="shared" si="207"/>
        <v>0</v>
      </c>
      <c r="AL524">
        <f t="shared" si="207"/>
        <v>0</v>
      </c>
      <c r="AM524">
        <f t="shared" si="207"/>
        <v>0</v>
      </c>
      <c r="AN524">
        <f t="shared" si="207"/>
        <v>0</v>
      </c>
      <c r="AO524">
        <f t="shared" si="207"/>
        <v>0</v>
      </c>
      <c r="AP524">
        <f t="shared" si="207"/>
        <v>0</v>
      </c>
      <c r="AQ524">
        <f t="shared" si="207"/>
        <v>0</v>
      </c>
      <c r="AR524">
        <f t="shared" si="207"/>
        <v>0</v>
      </c>
      <c r="AS524">
        <f t="shared" si="207"/>
        <v>0</v>
      </c>
      <c r="AT524">
        <f t="shared" si="207"/>
        <v>0</v>
      </c>
      <c r="AU524">
        <f t="shared" si="207"/>
        <v>0</v>
      </c>
      <c r="AV524">
        <f t="shared" si="207"/>
        <v>0</v>
      </c>
      <c r="AW524">
        <f t="shared" si="207"/>
        <v>0</v>
      </c>
      <c r="AX524">
        <f t="shared" si="227"/>
        <v>0</v>
      </c>
      <c r="AY524">
        <f t="shared" si="227"/>
        <v>0</v>
      </c>
      <c r="AZ524">
        <f t="shared" si="227"/>
        <v>1</v>
      </c>
      <c r="BA524">
        <f t="shared" si="228"/>
        <v>0</v>
      </c>
      <c r="BB524">
        <f t="shared" si="229"/>
        <v>1</v>
      </c>
    </row>
    <row r="525" spans="1:54">
      <c r="A525">
        <v>522</v>
      </c>
      <c r="B525" t="s">
        <v>30</v>
      </c>
      <c r="C525" t="s">
        <v>21</v>
      </c>
      <c r="D525" t="s">
        <v>24</v>
      </c>
      <c r="E525" t="s">
        <v>30</v>
      </c>
      <c r="F525" t="s">
        <v>29</v>
      </c>
      <c r="G525" t="s">
        <v>31</v>
      </c>
      <c r="H525" s="3">
        <v>4.7936199700993998E-2</v>
      </c>
      <c r="I525" s="3">
        <v>4.5466678319579602E-2</v>
      </c>
      <c r="J525" s="3">
        <v>4.1225557186982197E-2</v>
      </c>
      <c r="K525" s="3">
        <v>4.1142535839401702E-2</v>
      </c>
      <c r="L525" s="3">
        <v>3.2086742059105201E-2</v>
      </c>
      <c r="M525" s="3">
        <v>2.59594055310172E-2</v>
      </c>
      <c r="N525" s="3">
        <v>5.1628276409849003E-2</v>
      </c>
      <c r="O525" s="3">
        <v>3.3546406502735299E-2</v>
      </c>
      <c r="P525">
        <f t="shared" si="214"/>
        <v>0</v>
      </c>
      <c r="Q525">
        <f t="shared" si="215"/>
        <v>0</v>
      </c>
      <c r="R525">
        <f t="shared" si="216"/>
        <v>0</v>
      </c>
      <c r="S525">
        <f t="shared" si="217"/>
        <v>0</v>
      </c>
      <c r="T525">
        <f t="shared" si="218"/>
        <v>0</v>
      </c>
      <c r="U525">
        <f t="shared" si="219"/>
        <v>0</v>
      </c>
      <c r="V525">
        <f t="shared" si="220"/>
        <v>1</v>
      </c>
      <c r="W525">
        <f t="shared" si="221"/>
        <v>0</v>
      </c>
      <c r="X525">
        <f t="shared" si="222"/>
        <v>0</v>
      </c>
      <c r="Y525">
        <f t="shared" si="223"/>
        <v>0</v>
      </c>
      <c r="Z525">
        <f t="shared" si="224"/>
        <v>1</v>
      </c>
      <c r="AA525">
        <f t="shared" si="225"/>
        <v>0</v>
      </c>
      <c r="AB525">
        <f t="shared" si="208"/>
        <v>0</v>
      </c>
      <c r="AC525">
        <f t="shared" si="209"/>
        <v>0</v>
      </c>
      <c r="AD525">
        <f t="shared" si="210"/>
        <v>0</v>
      </c>
      <c r="AE525">
        <f t="shared" si="211"/>
        <v>0</v>
      </c>
      <c r="AF525">
        <f t="shared" si="212"/>
        <v>0</v>
      </c>
      <c r="AG525">
        <f t="shared" si="213"/>
        <v>1</v>
      </c>
      <c r="AH525">
        <f t="shared" si="226"/>
        <v>0</v>
      </c>
      <c r="AI525">
        <f t="shared" si="207"/>
        <v>0</v>
      </c>
      <c r="AJ525">
        <f t="shared" si="207"/>
        <v>0</v>
      </c>
      <c r="AK525">
        <f t="shared" si="207"/>
        <v>0</v>
      </c>
      <c r="AL525">
        <f t="shared" si="207"/>
        <v>0</v>
      </c>
      <c r="AM525">
        <f t="shared" si="207"/>
        <v>0</v>
      </c>
      <c r="AN525">
        <f t="shared" si="207"/>
        <v>0</v>
      </c>
      <c r="AO525">
        <f t="shared" si="207"/>
        <v>0</v>
      </c>
      <c r="AP525">
        <f t="shared" si="207"/>
        <v>0</v>
      </c>
      <c r="AQ525">
        <f t="shared" si="207"/>
        <v>0</v>
      </c>
      <c r="AR525">
        <f t="shared" si="207"/>
        <v>0</v>
      </c>
      <c r="AS525">
        <f t="shared" si="207"/>
        <v>0</v>
      </c>
      <c r="AT525">
        <f t="shared" si="207"/>
        <v>0</v>
      </c>
      <c r="AU525">
        <f t="shared" si="207"/>
        <v>0</v>
      </c>
      <c r="AV525">
        <f t="shared" si="207"/>
        <v>0</v>
      </c>
      <c r="AW525">
        <f t="shared" si="207"/>
        <v>0</v>
      </c>
      <c r="AX525">
        <f t="shared" si="227"/>
        <v>0</v>
      </c>
      <c r="AY525">
        <f t="shared" si="227"/>
        <v>0</v>
      </c>
      <c r="AZ525">
        <f t="shared" si="227"/>
        <v>1</v>
      </c>
      <c r="BA525">
        <f t="shared" si="228"/>
        <v>0</v>
      </c>
      <c r="BB525">
        <f t="shared" si="229"/>
        <v>1</v>
      </c>
    </row>
    <row r="526" spans="1:54">
      <c r="A526">
        <v>523</v>
      </c>
      <c r="B526" t="s">
        <v>30</v>
      </c>
      <c r="C526" t="s">
        <v>21</v>
      </c>
      <c r="D526" t="s">
        <v>24</v>
      </c>
      <c r="E526" t="s">
        <v>30</v>
      </c>
      <c r="F526" t="s">
        <v>29</v>
      </c>
      <c r="G526" t="s">
        <v>25</v>
      </c>
      <c r="H526" s="3">
        <v>0.106417489901699</v>
      </c>
      <c r="I526" s="3">
        <v>0.109893613298661</v>
      </c>
      <c r="J526" s="3">
        <v>7.8404449814437394E-2</v>
      </c>
      <c r="K526" s="3">
        <v>9.8120363597249197E-2</v>
      </c>
      <c r="L526" s="3">
        <v>5.9647710080306802E-2</v>
      </c>
      <c r="M526" s="3">
        <v>4.5751182515772801E-2</v>
      </c>
      <c r="N526" s="3">
        <v>0.12639726921339201</v>
      </c>
      <c r="O526" s="3">
        <v>5.88614517031463E-2</v>
      </c>
      <c r="P526">
        <f t="shared" si="214"/>
        <v>0</v>
      </c>
      <c r="Q526">
        <f t="shared" si="215"/>
        <v>0</v>
      </c>
      <c r="R526">
        <f t="shared" si="216"/>
        <v>0</v>
      </c>
      <c r="S526">
        <f t="shared" si="217"/>
        <v>0</v>
      </c>
      <c r="T526">
        <f t="shared" si="218"/>
        <v>0</v>
      </c>
      <c r="U526">
        <f t="shared" si="219"/>
        <v>0</v>
      </c>
      <c r="V526">
        <f t="shared" si="220"/>
        <v>1</v>
      </c>
      <c r="W526">
        <f t="shared" si="221"/>
        <v>0</v>
      </c>
      <c r="X526">
        <f t="shared" si="222"/>
        <v>0</v>
      </c>
      <c r="Y526">
        <f t="shared" si="223"/>
        <v>0</v>
      </c>
      <c r="Z526">
        <f t="shared" si="224"/>
        <v>0</v>
      </c>
      <c r="AA526">
        <f t="shared" si="225"/>
        <v>0</v>
      </c>
      <c r="AB526">
        <f t="shared" si="208"/>
        <v>0</v>
      </c>
      <c r="AC526">
        <f t="shared" si="209"/>
        <v>0</v>
      </c>
      <c r="AD526">
        <f t="shared" si="210"/>
        <v>0</v>
      </c>
      <c r="AE526">
        <f t="shared" si="211"/>
        <v>0</v>
      </c>
      <c r="AF526">
        <f t="shared" si="212"/>
        <v>0</v>
      </c>
      <c r="AG526">
        <f t="shared" si="213"/>
        <v>1</v>
      </c>
      <c r="AH526">
        <f t="shared" si="226"/>
        <v>0</v>
      </c>
      <c r="AI526">
        <f t="shared" si="207"/>
        <v>0</v>
      </c>
      <c r="AJ526">
        <f t="shared" si="207"/>
        <v>0</v>
      </c>
      <c r="AK526">
        <f t="shared" si="207"/>
        <v>0</v>
      </c>
      <c r="AL526">
        <f t="shared" si="207"/>
        <v>0</v>
      </c>
      <c r="AM526">
        <f t="shared" si="207"/>
        <v>0</v>
      </c>
      <c r="AN526">
        <f t="shared" si="207"/>
        <v>0</v>
      </c>
      <c r="AO526">
        <f t="shared" si="207"/>
        <v>0</v>
      </c>
      <c r="AP526">
        <f t="shared" si="207"/>
        <v>1</v>
      </c>
      <c r="AQ526">
        <f t="shared" si="207"/>
        <v>0</v>
      </c>
      <c r="AR526">
        <f t="shared" si="207"/>
        <v>0</v>
      </c>
      <c r="AS526">
        <f t="shared" si="207"/>
        <v>0</v>
      </c>
      <c r="AT526">
        <f t="shared" si="207"/>
        <v>0</v>
      </c>
      <c r="AU526">
        <f t="shared" si="207"/>
        <v>0</v>
      </c>
      <c r="AV526">
        <f t="shared" si="207"/>
        <v>0</v>
      </c>
      <c r="AW526">
        <f t="shared" si="207"/>
        <v>0</v>
      </c>
      <c r="AX526">
        <f t="shared" si="227"/>
        <v>0</v>
      </c>
      <c r="AY526">
        <f t="shared" si="227"/>
        <v>0</v>
      </c>
      <c r="AZ526">
        <f t="shared" si="227"/>
        <v>1</v>
      </c>
      <c r="BA526">
        <f t="shared" si="228"/>
        <v>1</v>
      </c>
      <c r="BB526">
        <f t="shared" si="229"/>
        <v>1</v>
      </c>
    </row>
    <row r="527" spans="1:54">
      <c r="A527">
        <v>524</v>
      </c>
      <c r="B527" t="s">
        <v>30</v>
      </c>
      <c r="C527" t="s">
        <v>21</v>
      </c>
      <c r="D527" t="s">
        <v>24</v>
      </c>
      <c r="E527" t="s">
        <v>30</v>
      </c>
      <c r="F527" t="s">
        <v>29</v>
      </c>
      <c r="G527" t="s">
        <v>26</v>
      </c>
      <c r="H527" s="3">
        <v>0.10881105734952499</v>
      </c>
      <c r="I527" s="3">
        <v>0.11222880956289399</v>
      </c>
      <c r="J527" s="3">
        <v>8.0164853584765994E-2</v>
      </c>
      <c r="K527" s="3">
        <v>0.10010370080453</v>
      </c>
      <c r="L527" s="3">
        <v>6.10247778319358E-2</v>
      </c>
      <c r="M527" s="3">
        <v>4.6785536722859802E-2</v>
      </c>
      <c r="N527" s="3">
        <v>0.12926078028747401</v>
      </c>
      <c r="O527" s="3">
        <v>6.0187911479963302E-2</v>
      </c>
      <c r="P527">
        <f t="shared" si="214"/>
        <v>0</v>
      </c>
      <c r="Q527">
        <f t="shared" si="215"/>
        <v>0</v>
      </c>
      <c r="R527">
        <f t="shared" si="216"/>
        <v>0</v>
      </c>
      <c r="S527">
        <f t="shared" si="217"/>
        <v>0</v>
      </c>
      <c r="T527">
        <f t="shared" si="218"/>
        <v>0</v>
      </c>
      <c r="U527">
        <f t="shared" si="219"/>
        <v>0</v>
      </c>
      <c r="V527">
        <f t="shared" si="220"/>
        <v>1</v>
      </c>
      <c r="W527">
        <f t="shared" si="221"/>
        <v>0</v>
      </c>
      <c r="X527">
        <f t="shared" si="222"/>
        <v>0</v>
      </c>
      <c r="Y527">
        <f t="shared" si="223"/>
        <v>0</v>
      </c>
      <c r="Z527">
        <f t="shared" si="224"/>
        <v>0</v>
      </c>
      <c r="AA527">
        <f t="shared" si="225"/>
        <v>0</v>
      </c>
      <c r="AB527">
        <f t="shared" si="208"/>
        <v>0</v>
      </c>
      <c r="AC527">
        <f t="shared" si="209"/>
        <v>0</v>
      </c>
      <c r="AD527">
        <f t="shared" si="210"/>
        <v>0</v>
      </c>
      <c r="AE527">
        <f t="shared" si="211"/>
        <v>0</v>
      </c>
      <c r="AF527">
        <f t="shared" si="212"/>
        <v>0</v>
      </c>
      <c r="AG527">
        <f t="shared" si="213"/>
        <v>1</v>
      </c>
      <c r="AH527">
        <f t="shared" si="226"/>
        <v>0</v>
      </c>
      <c r="AI527">
        <f t="shared" si="207"/>
        <v>0</v>
      </c>
      <c r="AJ527">
        <f t="shared" si="207"/>
        <v>0</v>
      </c>
      <c r="AK527">
        <f t="shared" si="207"/>
        <v>0</v>
      </c>
      <c r="AL527">
        <f t="shared" si="207"/>
        <v>1</v>
      </c>
      <c r="AM527">
        <f t="shared" si="207"/>
        <v>0</v>
      </c>
      <c r="AN527">
        <f t="shared" si="207"/>
        <v>0</v>
      </c>
      <c r="AO527">
        <f t="shared" si="207"/>
        <v>0</v>
      </c>
      <c r="AP527">
        <f t="shared" si="207"/>
        <v>0</v>
      </c>
      <c r="AQ527">
        <f t="shared" si="207"/>
        <v>0</v>
      </c>
      <c r="AR527">
        <f t="shared" si="207"/>
        <v>0</v>
      </c>
      <c r="AS527">
        <f t="shared" si="207"/>
        <v>0</v>
      </c>
      <c r="AT527">
        <f t="shared" si="207"/>
        <v>0</v>
      </c>
      <c r="AU527">
        <f t="shared" si="207"/>
        <v>0</v>
      </c>
      <c r="AV527">
        <f t="shared" si="207"/>
        <v>0</v>
      </c>
      <c r="AW527">
        <f t="shared" si="207"/>
        <v>0</v>
      </c>
      <c r="AX527">
        <f t="shared" si="227"/>
        <v>0</v>
      </c>
      <c r="AY527">
        <f t="shared" si="227"/>
        <v>0</v>
      </c>
      <c r="AZ527">
        <f t="shared" si="227"/>
        <v>1</v>
      </c>
      <c r="BA527">
        <f t="shared" si="228"/>
        <v>1</v>
      </c>
      <c r="BB527">
        <f t="shared" si="229"/>
        <v>1</v>
      </c>
    </row>
    <row r="528" spans="1:54">
      <c r="A528">
        <v>525</v>
      </c>
      <c r="B528" t="s">
        <v>30</v>
      </c>
      <c r="C528" t="s">
        <v>21</v>
      </c>
      <c r="D528" t="s">
        <v>25</v>
      </c>
      <c r="E528" t="s">
        <v>30</v>
      </c>
      <c r="F528" t="s">
        <v>21</v>
      </c>
      <c r="G528" t="s">
        <v>26</v>
      </c>
      <c r="H528" s="3">
        <v>0.98527168384588604</v>
      </c>
      <c r="I528" s="3">
        <v>0.98439133709392102</v>
      </c>
      <c r="J528" s="3">
        <v>0.981108672194131</v>
      </c>
      <c r="K528" s="3">
        <v>0.98226145633810902</v>
      </c>
      <c r="L528" s="3">
        <v>0.97794356799577797</v>
      </c>
      <c r="M528" s="3">
        <v>0.97537264766120302</v>
      </c>
      <c r="N528" s="3">
        <v>0.98770983213429198</v>
      </c>
      <c r="O528" s="3">
        <v>0.97796981728812105</v>
      </c>
      <c r="P528">
        <f t="shared" si="214"/>
        <v>0</v>
      </c>
      <c r="Q528">
        <f t="shared" si="215"/>
        <v>0</v>
      </c>
      <c r="R528">
        <f t="shared" si="216"/>
        <v>0</v>
      </c>
      <c r="S528">
        <f t="shared" si="217"/>
        <v>0</v>
      </c>
      <c r="T528">
        <f t="shared" si="218"/>
        <v>0</v>
      </c>
      <c r="U528">
        <f t="shared" si="219"/>
        <v>0</v>
      </c>
      <c r="V528">
        <f t="shared" si="220"/>
        <v>0</v>
      </c>
      <c r="W528">
        <f t="shared" si="221"/>
        <v>0</v>
      </c>
      <c r="X528">
        <f t="shared" si="222"/>
        <v>0</v>
      </c>
      <c r="Y528">
        <f t="shared" si="223"/>
        <v>0</v>
      </c>
      <c r="Z528">
        <f t="shared" si="224"/>
        <v>0</v>
      </c>
      <c r="AA528">
        <f t="shared" si="225"/>
        <v>0</v>
      </c>
      <c r="AB528">
        <f t="shared" si="208"/>
        <v>0</v>
      </c>
      <c r="AC528">
        <f t="shared" si="209"/>
        <v>0</v>
      </c>
      <c r="AD528">
        <f t="shared" si="210"/>
        <v>0</v>
      </c>
      <c r="AE528">
        <f t="shared" si="211"/>
        <v>1</v>
      </c>
      <c r="AF528">
        <f t="shared" si="212"/>
        <v>1</v>
      </c>
      <c r="AG528">
        <f t="shared" si="213"/>
        <v>1</v>
      </c>
      <c r="AH528">
        <f t="shared" si="226"/>
        <v>1</v>
      </c>
      <c r="AI528">
        <f t="shared" ref="AI528:AW544" si="230">IF(OR(AND($D528=AI$1,$G528=AI$2),AND($D528=AI$2,$G528=AI$1)),1,0)</f>
        <v>1</v>
      </c>
      <c r="AJ528">
        <f t="shared" si="230"/>
        <v>0</v>
      </c>
      <c r="AK528">
        <f t="shared" si="230"/>
        <v>0</v>
      </c>
      <c r="AL528">
        <f t="shared" si="230"/>
        <v>0</v>
      </c>
      <c r="AM528">
        <f t="shared" si="230"/>
        <v>0</v>
      </c>
      <c r="AN528">
        <f t="shared" si="230"/>
        <v>0</v>
      </c>
      <c r="AO528">
        <f t="shared" si="230"/>
        <v>0</v>
      </c>
      <c r="AP528">
        <f t="shared" si="230"/>
        <v>0</v>
      </c>
      <c r="AQ528">
        <f t="shared" si="230"/>
        <v>0</v>
      </c>
      <c r="AR528">
        <f t="shared" si="230"/>
        <v>0</v>
      </c>
      <c r="AS528">
        <f t="shared" si="230"/>
        <v>0</v>
      </c>
      <c r="AT528">
        <f t="shared" si="230"/>
        <v>0</v>
      </c>
      <c r="AU528">
        <f t="shared" si="230"/>
        <v>0</v>
      </c>
      <c r="AV528">
        <f t="shared" si="230"/>
        <v>0</v>
      </c>
      <c r="AW528">
        <f t="shared" si="230"/>
        <v>0</v>
      </c>
      <c r="AX528">
        <f t="shared" si="227"/>
        <v>0</v>
      </c>
      <c r="AY528">
        <f t="shared" si="227"/>
        <v>0</v>
      </c>
      <c r="AZ528">
        <f t="shared" si="227"/>
        <v>0</v>
      </c>
      <c r="BA528">
        <f t="shared" si="228"/>
        <v>1</v>
      </c>
      <c r="BB528">
        <f t="shared" si="229"/>
        <v>0</v>
      </c>
    </row>
    <row r="529" spans="1:54">
      <c r="A529">
        <v>526</v>
      </c>
      <c r="B529" t="s">
        <v>30</v>
      </c>
      <c r="C529" t="s">
        <v>21</v>
      </c>
      <c r="D529" t="s">
        <v>25</v>
      </c>
      <c r="E529" t="s">
        <v>30</v>
      </c>
      <c r="F529" t="s">
        <v>21</v>
      </c>
      <c r="G529" t="s">
        <v>27</v>
      </c>
      <c r="H529" s="3">
        <v>0.249893049325424</v>
      </c>
      <c r="I529" s="3">
        <v>0.23651974805916201</v>
      </c>
      <c r="J529" s="3">
        <v>0.210146686352809</v>
      </c>
      <c r="K529" s="3">
        <v>0.20918592598945401</v>
      </c>
      <c r="L529" s="3">
        <v>0.18098532725140301</v>
      </c>
      <c r="M529" s="3">
        <v>0.145984401966543</v>
      </c>
      <c r="N529" s="3">
        <v>0.29646282973621102</v>
      </c>
      <c r="O529" s="3">
        <v>0.174770381478458</v>
      </c>
      <c r="P529">
        <f t="shared" si="214"/>
        <v>0</v>
      </c>
      <c r="Q529">
        <f t="shared" si="215"/>
        <v>0</v>
      </c>
      <c r="R529">
        <f t="shared" si="216"/>
        <v>0</v>
      </c>
      <c r="S529">
        <f t="shared" si="217"/>
        <v>0</v>
      </c>
      <c r="T529">
        <f t="shared" si="218"/>
        <v>0</v>
      </c>
      <c r="U529">
        <f t="shared" si="219"/>
        <v>0</v>
      </c>
      <c r="V529">
        <f t="shared" si="220"/>
        <v>0</v>
      </c>
      <c r="W529">
        <f t="shared" si="221"/>
        <v>1</v>
      </c>
      <c r="X529">
        <f t="shared" si="222"/>
        <v>0</v>
      </c>
      <c r="Y529">
        <f t="shared" si="223"/>
        <v>0</v>
      </c>
      <c r="Z529">
        <f t="shared" si="224"/>
        <v>0</v>
      </c>
      <c r="AA529">
        <f t="shared" si="225"/>
        <v>0</v>
      </c>
      <c r="AB529">
        <f t="shared" si="208"/>
        <v>0</v>
      </c>
      <c r="AC529">
        <f t="shared" si="209"/>
        <v>0</v>
      </c>
      <c r="AD529">
        <f t="shared" si="210"/>
        <v>0</v>
      </c>
      <c r="AE529">
        <f t="shared" si="211"/>
        <v>0</v>
      </c>
      <c r="AF529">
        <f t="shared" si="212"/>
        <v>1</v>
      </c>
      <c r="AG529">
        <f t="shared" si="213"/>
        <v>1</v>
      </c>
      <c r="AH529">
        <f t="shared" si="226"/>
        <v>0</v>
      </c>
      <c r="AI529">
        <f t="shared" si="230"/>
        <v>0</v>
      </c>
      <c r="AJ529">
        <f t="shared" si="230"/>
        <v>0</v>
      </c>
      <c r="AK529">
        <f t="shared" si="230"/>
        <v>0</v>
      </c>
      <c r="AL529">
        <f t="shared" si="230"/>
        <v>0</v>
      </c>
      <c r="AM529">
        <f t="shared" si="230"/>
        <v>0</v>
      </c>
      <c r="AN529">
        <f t="shared" si="230"/>
        <v>0</v>
      </c>
      <c r="AO529">
        <f t="shared" si="230"/>
        <v>0</v>
      </c>
      <c r="AP529">
        <f t="shared" si="230"/>
        <v>0</v>
      </c>
      <c r="AQ529">
        <f t="shared" si="230"/>
        <v>1</v>
      </c>
      <c r="AR529">
        <f t="shared" si="230"/>
        <v>0</v>
      </c>
      <c r="AS529">
        <f t="shared" si="230"/>
        <v>0</v>
      </c>
      <c r="AT529">
        <f t="shared" si="230"/>
        <v>0</v>
      </c>
      <c r="AU529">
        <f t="shared" si="230"/>
        <v>0</v>
      </c>
      <c r="AV529">
        <f t="shared" si="230"/>
        <v>0</v>
      </c>
      <c r="AW529">
        <f t="shared" si="230"/>
        <v>0</v>
      </c>
      <c r="AX529">
        <f t="shared" si="227"/>
        <v>0</v>
      </c>
      <c r="AY529">
        <f t="shared" si="227"/>
        <v>0</v>
      </c>
      <c r="AZ529">
        <f t="shared" si="227"/>
        <v>0</v>
      </c>
      <c r="BA529">
        <f t="shared" si="228"/>
        <v>1</v>
      </c>
      <c r="BB529">
        <f t="shared" si="229"/>
        <v>0</v>
      </c>
    </row>
    <row r="530" spans="1:54">
      <c r="A530">
        <v>527</v>
      </c>
      <c r="B530" t="s">
        <v>30</v>
      </c>
      <c r="C530" t="s">
        <v>21</v>
      </c>
      <c r="D530" t="s">
        <v>25</v>
      </c>
      <c r="E530" t="s">
        <v>30</v>
      </c>
      <c r="F530" t="s">
        <v>28</v>
      </c>
      <c r="G530" t="s">
        <v>22</v>
      </c>
      <c r="H530" s="3">
        <v>1.9426133060183402E-2</v>
      </c>
      <c r="I530" s="3">
        <v>1.9103043292725701E-2</v>
      </c>
      <c r="J530" s="3">
        <v>1.6547784505137601E-2</v>
      </c>
      <c r="K530" s="3">
        <v>1.76953816387612E-2</v>
      </c>
      <c r="L530" s="3">
        <v>1.2927780576772701E-2</v>
      </c>
      <c r="M530" s="3">
        <v>1.04073698195954E-2</v>
      </c>
      <c r="N530" s="3">
        <v>2.0983213429256499E-2</v>
      </c>
      <c r="O530" s="3">
        <v>1.37470367116618E-2</v>
      </c>
      <c r="P530">
        <f t="shared" si="214"/>
        <v>1</v>
      </c>
      <c r="Q530">
        <f t="shared" si="215"/>
        <v>0</v>
      </c>
      <c r="R530">
        <f t="shared" si="216"/>
        <v>0</v>
      </c>
      <c r="S530">
        <f t="shared" si="217"/>
        <v>0</v>
      </c>
      <c r="T530">
        <f t="shared" si="218"/>
        <v>0</v>
      </c>
      <c r="U530">
        <f t="shared" si="219"/>
        <v>0</v>
      </c>
      <c r="V530">
        <f t="shared" si="220"/>
        <v>0</v>
      </c>
      <c r="W530">
        <f t="shared" si="221"/>
        <v>0</v>
      </c>
      <c r="X530">
        <f t="shared" si="222"/>
        <v>0</v>
      </c>
      <c r="Y530">
        <f t="shared" si="223"/>
        <v>0</v>
      </c>
      <c r="Z530">
        <f t="shared" si="224"/>
        <v>0</v>
      </c>
      <c r="AA530">
        <f t="shared" si="225"/>
        <v>0</v>
      </c>
      <c r="AB530">
        <f t="shared" si="208"/>
        <v>0</v>
      </c>
      <c r="AC530">
        <f t="shared" si="209"/>
        <v>0</v>
      </c>
      <c r="AD530">
        <f t="shared" si="210"/>
        <v>0</v>
      </c>
      <c r="AE530">
        <f t="shared" si="211"/>
        <v>0</v>
      </c>
      <c r="AF530">
        <f t="shared" si="212"/>
        <v>0</v>
      </c>
      <c r="AG530">
        <f t="shared" si="213"/>
        <v>1</v>
      </c>
      <c r="AH530">
        <f t="shared" si="226"/>
        <v>0</v>
      </c>
      <c r="AI530">
        <f t="shared" si="230"/>
        <v>0</v>
      </c>
      <c r="AJ530">
        <f t="shared" si="230"/>
        <v>0</v>
      </c>
      <c r="AK530">
        <f t="shared" si="230"/>
        <v>0</v>
      </c>
      <c r="AL530">
        <f t="shared" si="230"/>
        <v>0</v>
      </c>
      <c r="AM530">
        <f t="shared" si="230"/>
        <v>0</v>
      </c>
      <c r="AN530">
        <f t="shared" si="230"/>
        <v>1</v>
      </c>
      <c r="AO530">
        <f t="shared" si="230"/>
        <v>0</v>
      </c>
      <c r="AP530">
        <f t="shared" si="230"/>
        <v>0</v>
      </c>
      <c r="AQ530">
        <f t="shared" si="230"/>
        <v>0</v>
      </c>
      <c r="AR530">
        <f t="shared" si="230"/>
        <v>0</v>
      </c>
      <c r="AS530">
        <f t="shared" si="230"/>
        <v>0</v>
      </c>
      <c r="AT530">
        <f t="shared" si="230"/>
        <v>0</v>
      </c>
      <c r="AU530">
        <f t="shared" si="230"/>
        <v>0</v>
      </c>
      <c r="AV530">
        <f t="shared" si="230"/>
        <v>0</v>
      </c>
      <c r="AW530">
        <f t="shared" si="230"/>
        <v>0</v>
      </c>
      <c r="AX530">
        <f t="shared" si="227"/>
        <v>1</v>
      </c>
      <c r="AY530">
        <f t="shared" si="227"/>
        <v>0</v>
      </c>
      <c r="AZ530">
        <f t="shared" si="227"/>
        <v>0</v>
      </c>
      <c r="BA530">
        <f t="shared" si="228"/>
        <v>1</v>
      </c>
      <c r="BB530">
        <f t="shared" si="229"/>
        <v>0</v>
      </c>
    </row>
    <row r="531" spans="1:54">
      <c r="A531">
        <v>528</v>
      </c>
      <c r="B531" t="s">
        <v>30</v>
      </c>
      <c r="C531" t="s">
        <v>21</v>
      </c>
      <c r="D531" t="s">
        <v>25</v>
      </c>
      <c r="E531" t="s">
        <v>30</v>
      </c>
      <c r="F531" t="s">
        <v>28</v>
      </c>
      <c r="G531" t="s">
        <v>23</v>
      </c>
      <c r="H531" s="3">
        <v>2.3008119767004499E-2</v>
      </c>
      <c r="I531" s="3">
        <v>2.2223736906067999E-2</v>
      </c>
      <c r="J531" s="3">
        <v>1.9505659549908301E-2</v>
      </c>
      <c r="K531" s="3">
        <v>2.0280777372223498E-2</v>
      </c>
      <c r="L531" s="3">
        <v>1.5000140416200999E-2</v>
      </c>
      <c r="M531" s="3">
        <v>1.19939975214533E-2</v>
      </c>
      <c r="N531" s="3">
        <v>2.4880095923261299E-2</v>
      </c>
      <c r="O531" s="3">
        <v>1.6060814595768601E-2</v>
      </c>
      <c r="P531">
        <f t="shared" si="214"/>
        <v>0</v>
      </c>
      <c r="Q531">
        <f t="shared" si="215"/>
        <v>1</v>
      </c>
      <c r="R531">
        <f t="shared" si="216"/>
        <v>0</v>
      </c>
      <c r="S531">
        <f t="shared" si="217"/>
        <v>0</v>
      </c>
      <c r="T531">
        <f t="shared" si="218"/>
        <v>0</v>
      </c>
      <c r="U531">
        <f t="shared" si="219"/>
        <v>0</v>
      </c>
      <c r="V531">
        <f t="shared" si="220"/>
        <v>0</v>
      </c>
      <c r="W531">
        <f t="shared" si="221"/>
        <v>0</v>
      </c>
      <c r="X531">
        <f t="shared" si="222"/>
        <v>0</v>
      </c>
      <c r="Y531">
        <f t="shared" si="223"/>
        <v>0</v>
      </c>
      <c r="Z531">
        <f t="shared" si="224"/>
        <v>0</v>
      </c>
      <c r="AA531">
        <f t="shared" si="225"/>
        <v>0</v>
      </c>
      <c r="AB531">
        <f t="shared" si="208"/>
        <v>0</v>
      </c>
      <c r="AC531">
        <f t="shared" si="209"/>
        <v>0</v>
      </c>
      <c r="AD531">
        <f t="shared" si="210"/>
        <v>0</v>
      </c>
      <c r="AE531">
        <f t="shared" si="211"/>
        <v>0</v>
      </c>
      <c r="AF531">
        <f t="shared" si="212"/>
        <v>0</v>
      </c>
      <c r="AG531">
        <f t="shared" si="213"/>
        <v>1</v>
      </c>
      <c r="AH531">
        <f t="shared" si="226"/>
        <v>0</v>
      </c>
      <c r="AI531">
        <f t="shared" si="230"/>
        <v>0</v>
      </c>
      <c r="AJ531">
        <f t="shared" si="230"/>
        <v>0</v>
      </c>
      <c r="AK531">
        <f t="shared" si="230"/>
        <v>0</v>
      </c>
      <c r="AL531">
        <f t="shared" si="230"/>
        <v>0</v>
      </c>
      <c r="AM531">
        <f t="shared" si="230"/>
        <v>0</v>
      </c>
      <c r="AN531">
        <f t="shared" si="230"/>
        <v>0</v>
      </c>
      <c r="AO531">
        <f t="shared" si="230"/>
        <v>1</v>
      </c>
      <c r="AP531">
        <f t="shared" si="230"/>
        <v>0</v>
      </c>
      <c r="AQ531">
        <f t="shared" si="230"/>
        <v>0</v>
      </c>
      <c r="AR531">
        <f t="shared" si="230"/>
        <v>0</v>
      </c>
      <c r="AS531">
        <f t="shared" si="230"/>
        <v>0</v>
      </c>
      <c r="AT531">
        <f t="shared" si="230"/>
        <v>0</v>
      </c>
      <c r="AU531">
        <f t="shared" si="230"/>
        <v>0</v>
      </c>
      <c r="AV531">
        <f t="shared" si="230"/>
        <v>0</v>
      </c>
      <c r="AW531">
        <f t="shared" si="230"/>
        <v>0</v>
      </c>
      <c r="AX531">
        <f t="shared" si="227"/>
        <v>1</v>
      </c>
      <c r="AY531">
        <f t="shared" si="227"/>
        <v>0</v>
      </c>
      <c r="AZ531">
        <f t="shared" si="227"/>
        <v>0</v>
      </c>
      <c r="BA531">
        <f t="shared" si="228"/>
        <v>1</v>
      </c>
      <c r="BB531">
        <f t="shared" si="229"/>
        <v>0</v>
      </c>
    </row>
    <row r="532" spans="1:54">
      <c r="A532">
        <v>529</v>
      </c>
      <c r="B532" t="s">
        <v>30</v>
      </c>
      <c r="C532" t="s">
        <v>21</v>
      </c>
      <c r="D532" t="s">
        <v>25</v>
      </c>
      <c r="E532" t="s">
        <v>30</v>
      </c>
      <c r="F532" t="s">
        <v>28</v>
      </c>
      <c r="G532" t="s">
        <v>24</v>
      </c>
      <c r="H532" s="3">
        <v>0.58179867309076305</v>
      </c>
      <c r="I532" s="3">
        <v>0.62217678847548497</v>
      </c>
      <c r="J532" s="3">
        <v>0.44181303199918798</v>
      </c>
      <c r="K532" s="3">
        <v>0.53740091209113705</v>
      </c>
      <c r="L532" s="3">
        <v>0.323789966584414</v>
      </c>
      <c r="M532" s="3">
        <v>0.234813742240566</v>
      </c>
      <c r="N532" s="3">
        <v>0.75358559306400996</v>
      </c>
      <c r="O532" s="3">
        <v>0.34290920246540701</v>
      </c>
      <c r="P532">
        <f t="shared" si="214"/>
        <v>0</v>
      </c>
      <c r="Q532">
        <f t="shared" si="215"/>
        <v>0</v>
      </c>
      <c r="R532">
        <f t="shared" si="216"/>
        <v>1</v>
      </c>
      <c r="S532">
        <f t="shared" si="217"/>
        <v>0</v>
      </c>
      <c r="T532">
        <f t="shared" si="218"/>
        <v>0</v>
      </c>
      <c r="U532">
        <f t="shared" si="219"/>
        <v>0</v>
      </c>
      <c r="V532">
        <f t="shared" si="220"/>
        <v>0</v>
      </c>
      <c r="W532">
        <f t="shared" si="221"/>
        <v>0</v>
      </c>
      <c r="X532">
        <f t="shared" si="222"/>
        <v>0</v>
      </c>
      <c r="Y532">
        <f t="shared" si="223"/>
        <v>0</v>
      </c>
      <c r="Z532">
        <f t="shared" si="224"/>
        <v>0</v>
      </c>
      <c r="AA532">
        <f t="shared" si="225"/>
        <v>0</v>
      </c>
      <c r="AB532">
        <f t="shared" si="208"/>
        <v>0</v>
      </c>
      <c r="AC532">
        <f t="shared" si="209"/>
        <v>0</v>
      </c>
      <c r="AD532">
        <f t="shared" si="210"/>
        <v>0</v>
      </c>
      <c r="AE532">
        <f t="shared" si="211"/>
        <v>0</v>
      </c>
      <c r="AF532">
        <f t="shared" si="212"/>
        <v>0</v>
      </c>
      <c r="AG532">
        <f t="shared" si="213"/>
        <v>1</v>
      </c>
      <c r="AH532">
        <f t="shared" si="226"/>
        <v>0</v>
      </c>
      <c r="AI532">
        <f t="shared" si="230"/>
        <v>0</v>
      </c>
      <c r="AJ532">
        <f t="shared" si="230"/>
        <v>0</v>
      </c>
      <c r="AK532">
        <f t="shared" si="230"/>
        <v>0</v>
      </c>
      <c r="AL532">
        <f t="shared" si="230"/>
        <v>0</v>
      </c>
      <c r="AM532">
        <f t="shared" si="230"/>
        <v>0</v>
      </c>
      <c r="AN532">
        <f t="shared" si="230"/>
        <v>0</v>
      </c>
      <c r="AO532">
        <f t="shared" si="230"/>
        <v>0</v>
      </c>
      <c r="AP532">
        <f t="shared" si="230"/>
        <v>1</v>
      </c>
      <c r="AQ532">
        <f t="shared" si="230"/>
        <v>0</v>
      </c>
      <c r="AR532">
        <f t="shared" si="230"/>
        <v>0</v>
      </c>
      <c r="AS532">
        <f t="shared" si="230"/>
        <v>0</v>
      </c>
      <c r="AT532">
        <f t="shared" si="230"/>
        <v>0</v>
      </c>
      <c r="AU532">
        <f t="shared" si="230"/>
        <v>0</v>
      </c>
      <c r="AV532">
        <f t="shared" si="230"/>
        <v>0</v>
      </c>
      <c r="AW532">
        <f t="shared" si="230"/>
        <v>0</v>
      </c>
      <c r="AX532">
        <f t="shared" si="227"/>
        <v>1</v>
      </c>
      <c r="AY532">
        <f t="shared" si="227"/>
        <v>0</v>
      </c>
      <c r="AZ532">
        <f t="shared" si="227"/>
        <v>0</v>
      </c>
      <c r="BA532">
        <f t="shared" si="228"/>
        <v>1</v>
      </c>
      <c r="BB532">
        <f t="shared" si="229"/>
        <v>0</v>
      </c>
    </row>
    <row r="533" spans="1:54">
      <c r="A533">
        <v>530</v>
      </c>
      <c r="B533" t="s">
        <v>30</v>
      </c>
      <c r="C533" t="s">
        <v>21</v>
      </c>
      <c r="D533" t="s">
        <v>25</v>
      </c>
      <c r="E533" t="s">
        <v>30</v>
      </c>
      <c r="F533" t="s">
        <v>28</v>
      </c>
      <c r="G533" t="s">
        <v>25</v>
      </c>
      <c r="H533" s="3">
        <v>0.95609281788923195</v>
      </c>
      <c r="I533" s="3">
        <v>0.95003159204117305</v>
      </c>
      <c r="J533" s="3">
        <v>0.89938003853329695</v>
      </c>
      <c r="K533" s="3">
        <v>0.922292430734031</v>
      </c>
      <c r="L533" s="3">
        <v>0.86997926816729898</v>
      </c>
      <c r="M533" s="3">
        <v>0.81157797565828904</v>
      </c>
      <c r="N533" s="3">
        <v>0.98639858072146602</v>
      </c>
      <c r="O533" s="3">
        <v>0.87575760286778004</v>
      </c>
      <c r="P533">
        <f t="shared" si="214"/>
        <v>0</v>
      </c>
      <c r="Q533">
        <f t="shared" si="215"/>
        <v>0</v>
      </c>
      <c r="R533">
        <f t="shared" si="216"/>
        <v>0</v>
      </c>
      <c r="S533">
        <f t="shared" si="217"/>
        <v>0</v>
      </c>
      <c r="T533">
        <f t="shared" si="218"/>
        <v>0</v>
      </c>
      <c r="U533">
        <f t="shared" si="219"/>
        <v>0</v>
      </c>
      <c r="V533">
        <f t="shared" si="220"/>
        <v>0</v>
      </c>
      <c r="W533">
        <f t="shared" si="221"/>
        <v>0</v>
      </c>
      <c r="X533">
        <f t="shared" si="222"/>
        <v>0</v>
      </c>
      <c r="Y533">
        <f t="shared" si="223"/>
        <v>0</v>
      </c>
      <c r="Z533">
        <f t="shared" si="224"/>
        <v>0</v>
      </c>
      <c r="AA533">
        <f t="shared" si="225"/>
        <v>0</v>
      </c>
      <c r="AB533">
        <f t="shared" si="208"/>
        <v>0</v>
      </c>
      <c r="AC533">
        <f t="shared" si="209"/>
        <v>0</v>
      </c>
      <c r="AD533">
        <f t="shared" si="210"/>
        <v>0</v>
      </c>
      <c r="AE533">
        <f t="shared" si="211"/>
        <v>1</v>
      </c>
      <c r="AF533">
        <f t="shared" si="212"/>
        <v>0</v>
      </c>
      <c r="AG533">
        <f t="shared" si="213"/>
        <v>1</v>
      </c>
      <c r="AH533">
        <f t="shared" si="226"/>
        <v>1</v>
      </c>
      <c r="AI533">
        <f t="shared" si="230"/>
        <v>0</v>
      </c>
      <c r="AJ533">
        <f t="shared" si="230"/>
        <v>0</v>
      </c>
      <c r="AK533">
        <f t="shared" si="230"/>
        <v>0</v>
      </c>
      <c r="AL533">
        <f t="shared" si="230"/>
        <v>0</v>
      </c>
      <c r="AM533">
        <f t="shared" si="230"/>
        <v>0</v>
      </c>
      <c r="AN533">
        <f t="shared" si="230"/>
        <v>0</v>
      </c>
      <c r="AO533">
        <f t="shared" si="230"/>
        <v>0</v>
      </c>
      <c r="AP533">
        <f t="shared" si="230"/>
        <v>0</v>
      </c>
      <c r="AQ533">
        <f t="shared" si="230"/>
        <v>0</v>
      </c>
      <c r="AR533">
        <f t="shared" si="230"/>
        <v>0</v>
      </c>
      <c r="AS533">
        <f t="shared" si="230"/>
        <v>0</v>
      </c>
      <c r="AT533">
        <f t="shared" si="230"/>
        <v>0</v>
      </c>
      <c r="AU533">
        <f t="shared" si="230"/>
        <v>0</v>
      </c>
      <c r="AV533">
        <f t="shared" si="230"/>
        <v>0</v>
      </c>
      <c r="AW533">
        <f t="shared" si="230"/>
        <v>0</v>
      </c>
      <c r="AX533">
        <f t="shared" si="227"/>
        <v>1</v>
      </c>
      <c r="AY533">
        <f t="shared" si="227"/>
        <v>0</v>
      </c>
      <c r="AZ533">
        <f t="shared" si="227"/>
        <v>0</v>
      </c>
      <c r="BA533">
        <f t="shared" si="228"/>
        <v>0</v>
      </c>
      <c r="BB533">
        <f t="shared" si="229"/>
        <v>0</v>
      </c>
    </row>
    <row r="534" spans="1:54">
      <c r="A534">
        <v>531</v>
      </c>
      <c r="B534" t="s">
        <v>30</v>
      </c>
      <c r="C534" t="s">
        <v>21</v>
      </c>
      <c r="D534" t="s">
        <v>25</v>
      </c>
      <c r="E534" t="s">
        <v>30</v>
      </c>
      <c r="F534" t="s">
        <v>28</v>
      </c>
      <c r="G534" t="s">
        <v>26</v>
      </c>
      <c r="H534" s="3">
        <v>0.96306447104527104</v>
      </c>
      <c r="I534" s="3">
        <v>0.95490601545256604</v>
      </c>
      <c r="J534" s="3">
        <v>0.90138555383332697</v>
      </c>
      <c r="K534" s="3">
        <v>0.92375975995201898</v>
      </c>
      <c r="L534" s="3">
        <v>0.86803099854894294</v>
      </c>
      <c r="M534" s="3">
        <v>0.80750259162450799</v>
      </c>
      <c r="N534" s="3">
        <v>0.99850119904076695</v>
      </c>
      <c r="O534" s="3">
        <v>0.87274984300754599</v>
      </c>
      <c r="P534">
        <f t="shared" si="214"/>
        <v>0</v>
      </c>
      <c r="Q534">
        <f t="shared" si="215"/>
        <v>0</v>
      </c>
      <c r="R534">
        <f t="shared" si="216"/>
        <v>0</v>
      </c>
      <c r="S534">
        <f t="shared" si="217"/>
        <v>0</v>
      </c>
      <c r="T534">
        <f t="shared" si="218"/>
        <v>0</v>
      </c>
      <c r="U534">
        <f t="shared" si="219"/>
        <v>0</v>
      </c>
      <c r="V534">
        <f t="shared" si="220"/>
        <v>0</v>
      </c>
      <c r="W534">
        <f t="shared" si="221"/>
        <v>0</v>
      </c>
      <c r="X534">
        <f t="shared" si="222"/>
        <v>0</v>
      </c>
      <c r="Y534">
        <f t="shared" si="223"/>
        <v>0</v>
      </c>
      <c r="Z534">
        <f t="shared" si="224"/>
        <v>0</v>
      </c>
      <c r="AA534">
        <f t="shared" si="225"/>
        <v>0</v>
      </c>
      <c r="AB534">
        <f t="shared" si="208"/>
        <v>0</v>
      </c>
      <c r="AC534">
        <f t="shared" si="209"/>
        <v>0</v>
      </c>
      <c r="AD534">
        <f t="shared" si="210"/>
        <v>0</v>
      </c>
      <c r="AE534">
        <f t="shared" si="211"/>
        <v>1</v>
      </c>
      <c r="AF534">
        <f t="shared" si="212"/>
        <v>0</v>
      </c>
      <c r="AG534">
        <f t="shared" si="213"/>
        <v>1</v>
      </c>
      <c r="AH534">
        <f t="shared" si="226"/>
        <v>1</v>
      </c>
      <c r="AI534">
        <f t="shared" si="230"/>
        <v>1</v>
      </c>
      <c r="AJ534">
        <f t="shared" si="230"/>
        <v>0</v>
      </c>
      <c r="AK534">
        <f t="shared" si="230"/>
        <v>0</v>
      </c>
      <c r="AL534">
        <f t="shared" si="230"/>
        <v>0</v>
      </c>
      <c r="AM534">
        <f t="shared" si="230"/>
        <v>0</v>
      </c>
      <c r="AN534">
        <f t="shared" si="230"/>
        <v>0</v>
      </c>
      <c r="AO534">
        <f t="shared" si="230"/>
        <v>0</v>
      </c>
      <c r="AP534">
        <f t="shared" si="230"/>
        <v>0</v>
      </c>
      <c r="AQ534">
        <f t="shared" si="230"/>
        <v>0</v>
      </c>
      <c r="AR534">
        <f t="shared" si="230"/>
        <v>0</v>
      </c>
      <c r="AS534">
        <f t="shared" si="230"/>
        <v>0</v>
      </c>
      <c r="AT534">
        <f t="shared" si="230"/>
        <v>0</v>
      </c>
      <c r="AU534">
        <f t="shared" si="230"/>
        <v>0</v>
      </c>
      <c r="AV534">
        <f t="shared" si="230"/>
        <v>0</v>
      </c>
      <c r="AW534">
        <f t="shared" si="230"/>
        <v>0</v>
      </c>
      <c r="AX534">
        <f t="shared" si="227"/>
        <v>1</v>
      </c>
      <c r="AY534">
        <f t="shared" si="227"/>
        <v>0</v>
      </c>
      <c r="AZ534">
        <f t="shared" si="227"/>
        <v>0</v>
      </c>
      <c r="BA534">
        <f t="shared" si="228"/>
        <v>1</v>
      </c>
      <c r="BB534">
        <f t="shared" si="229"/>
        <v>0</v>
      </c>
    </row>
    <row r="535" spans="1:54">
      <c r="A535">
        <v>532</v>
      </c>
      <c r="B535" t="s">
        <v>30</v>
      </c>
      <c r="C535" t="s">
        <v>21</v>
      </c>
      <c r="D535" t="s">
        <v>25</v>
      </c>
      <c r="E535" t="s">
        <v>30</v>
      </c>
      <c r="F535" t="s">
        <v>28</v>
      </c>
      <c r="G535" t="s">
        <v>27</v>
      </c>
      <c r="H535" s="3">
        <v>0.29903877691928299</v>
      </c>
      <c r="I535" s="3">
        <v>0.28204302430737599</v>
      </c>
      <c r="J535" s="3">
        <v>0.24700484850151</v>
      </c>
      <c r="K535" s="3">
        <v>0.245503303214852</v>
      </c>
      <c r="L535" s="3">
        <v>0.20640776200085201</v>
      </c>
      <c r="M535" s="3">
        <v>0.16294361865510401</v>
      </c>
      <c r="N535" s="3">
        <v>0.36360911270983198</v>
      </c>
      <c r="O535" s="3">
        <v>0.19857513495998599</v>
      </c>
      <c r="P535">
        <f t="shared" si="214"/>
        <v>0</v>
      </c>
      <c r="Q535">
        <f t="shared" si="215"/>
        <v>0</v>
      </c>
      <c r="R535">
        <f t="shared" si="216"/>
        <v>0</v>
      </c>
      <c r="S535">
        <f t="shared" si="217"/>
        <v>1</v>
      </c>
      <c r="T535">
        <f t="shared" si="218"/>
        <v>0</v>
      </c>
      <c r="U535">
        <f t="shared" si="219"/>
        <v>0</v>
      </c>
      <c r="V535">
        <f t="shared" si="220"/>
        <v>0</v>
      </c>
      <c r="W535">
        <f t="shared" si="221"/>
        <v>0</v>
      </c>
      <c r="X535">
        <f t="shared" si="222"/>
        <v>0</v>
      </c>
      <c r="Y535">
        <f t="shared" si="223"/>
        <v>0</v>
      </c>
      <c r="Z535">
        <f t="shared" si="224"/>
        <v>0</v>
      </c>
      <c r="AA535">
        <f t="shared" si="225"/>
        <v>0</v>
      </c>
      <c r="AB535">
        <f t="shared" si="208"/>
        <v>0</v>
      </c>
      <c r="AC535">
        <f t="shared" si="209"/>
        <v>0</v>
      </c>
      <c r="AD535">
        <f t="shared" si="210"/>
        <v>0</v>
      </c>
      <c r="AE535">
        <f t="shared" si="211"/>
        <v>0</v>
      </c>
      <c r="AF535">
        <f t="shared" si="212"/>
        <v>0</v>
      </c>
      <c r="AG535">
        <f t="shared" si="213"/>
        <v>1</v>
      </c>
      <c r="AH535">
        <f t="shared" si="226"/>
        <v>0</v>
      </c>
      <c r="AI535">
        <f t="shared" si="230"/>
        <v>0</v>
      </c>
      <c r="AJ535">
        <f t="shared" si="230"/>
        <v>0</v>
      </c>
      <c r="AK535">
        <f t="shared" si="230"/>
        <v>0</v>
      </c>
      <c r="AL535">
        <f t="shared" si="230"/>
        <v>0</v>
      </c>
      <c r="AM535">
        <f t="shared" si="230"/>
        <v>0</v>
      </c>
      <c r="AN535">
        <f t="shared" si="230"/>
        <v>0</v>
      </c>
      <c r="AO535">
        <f t="shared" si="230"/>
        <v>0</v>
      </c>
      <c r="AP535">
        <f t="shared" si="230"/>
        <v>0</v>
      </c>
      <c r="AQ535">
        <f t="shared" si="230"/>
        <v>1</v>
      </c>
      <c r="AR535">
        <f t="shared" si="230"/>
        <v>0</v>
      </c>
      <c r="AS535">
        <f t="shared" si="230"/>
        <v>0</v>
      </c>
      <c r="AT535">
        <f t="shared" si="230"/>
        <v>0</v>
      </c>
      <c r="AU535">
        <f t="shared" si="230"/>
        <v>0</v>
      </c>
      <c r="AV535">
        <f t="shared" si="230"/>
        <v>0</v>
      </c>
      <c r="AW535">
        <f t="shared" si="230"/>
        <v>0</v>
      </c>
      <c r="AX535">
        <f t="shared" si="227"/>
        <v>1</v>
      </c>
      <c r="AY535">
        <f t="shared" si="227"/>
        <v>0</v>
      </c>
      <c r="AZ535">
        <f t="shared" si="227"/>
        <v>0</v>
      </c>
      <c r="BA535">
        <f t="shared" si="228"/>
        <v>1</v>
      </c>
      <c r="BB535">
        <f t="shared" si="229"/>
        <v>0</v>
      </c>
    </row>
    <row r="536" spans="1:54">
      <c r="A536">
        <v>533</v>
      </c>
      <c r="B536" t="s">
        <v>30</v>
      </c>
      <c r="C536" t="s">
        <v>21</v>
      </c>
      <c r="D536" t="s">
        <v>25</v>
      </c>
      <c r="E536" t="s">
        <v>30</v>
      </c>
      <c r="F536" t="s">
        <v>29</v>
      </c>
      <c r="G536" t="s">
        <v>22</v>
      </c>
      <c r="H536" s="3">
        <v>0.68025423378363303</v>
      </c>
      <c r="I536" s="3">
        <v>0.65932075676231805</v>
      </c>
      <c r="J536" s="3">
        <v>0.55580284320909401</v>
      </c>
      <c r="K536" s="3">
        <v>0.580993450386179</v>
      </c>
      <c r="L536" s="3">
        <v>0.43127354646959198</v>
      </c>
      <c r="M536" s="3">
        <v>0.33118883607741101</v>
      </c>
      <c r="N536" s="3">
        <v>0.77847721822541904</v>
      </c>
      <c r="O536" s="3">
        <v>0.44012908724941502</v>
      </c>
      <c r="P536">
        <f t="shared" si="214"/>
        <v>0</v>
      </c>
      <c r="Q536">
        <f t="shared" si="215"/>
        <v>0</v>
      </c>
      <c r="R536">
        <f t="shared" si="216"/>
        <v>0</v>
      </c>
      <c r="S536">
        <f t="shared" si="217"/>
        <v>0</v>
      </c>
      <c r="T536">
        <f t="shared" si="218"/>
        <v>0</v>
      </c>
      <c r="U536">
        <f t="shared" si="219"/>
        <v>0</v>
      </c>
      <c r="V536">
        <f t="shared" si="220"/>
        <v>0</v>
      </c>
      <c r="W536">
        <f t="shared" si="221"/>
        <v>0</v>
      </c>
      <c r="X536">
        <f t="shared" si="222"/>
        <v>1</v>
      </c>
      <c r="Y536">
        <f t="shared" si="223"/>
        <v>0</v>
      </c>
      <c r="Z536">
        <f t="shared" si="224"/>
        <v>0</v>
      </c>
      <c r="AA536">
        <f t="shared" si="225"/>
        <v>0</v>
      </c>
      <c r="AB536">
        <f t="shared" si="208"/>
        <v>0</v>
      </c>
      <c r="AC536">
        <f t="shared" si="209"/>
        <v>0</v>
      </c>
      <c r="AD536">
        <f t="shared" si="210"/>
        <v>0</v>
      </c>
      <c r="AE536">
        <f t="shared" si="211"/>
        <v>0</v>
      </c>
      <c r="AF536">
        <f t="shared" si="212"/>
        <v>0</v>
      </c>
      <c r="AG536">
        <f t="shared" si="213"/>
        <v>1</v>
      </c>
      <c r="AH536">
        <f t="shared" si="226"/>
        <v>0</v>
      </c>
      <c r="AI536">
        <f t="shared" si="230"/>
        <v>0</v>
      </c>
      <c r="AJ536">
        <f t="shared" si="230"/>
        <v>0</v>
      </c>
      <c r="AK536">
        <f t="shared" si="230"/>
        <v>0</v>
      </c>
      <c r="AL536">
        <f t="shared" si="230"/>
        <v>0</v>
      </c>
      <c r="AM536">
        <f t="shared" si="230"/>
        <v>0</v>
      </c>
      <c r="AN536">
        <f t="shared" si="230"/>
        <v>1</v>
      </c>
      <c r="AO536">
        <f t="shared" si="230"/>
        <v>0</v>
      </c>
      <c r="AP536">
        <f t="shared" si="230"/>
        <v>0</v>
      </c>
      <c r="AQ536">
        <f t="shared" si="230"/>
        <v>0</v>
      </c>
      <c r="AR536">
        <f t="shared" si="230"/>
        <v>0</v>
      </c>
      <c r="AS536">
        <f t="shared" si="230"/>
        <v>0</v>
      </c>
      <c r="AT536">
        <f t="shared" si="230"/>
        <v>0</v>
      </c>
      <c r="AU536">
        <f t="shared" si="230"/>
        <v>0</v>
      </c>
      <c r="AV536">
        <f t="shared" si="230"/>
        <v>0</v>
      </c>
      <c r="AW536">
        <f t="shared" si="230"/>
        <v>0</v>
      </c>
      <c r="AX536">
        <f t="shared" si="227"/>
        <v>0</v>
      </c>
      <c r="AY536">
        <f t="shared" si="227"/>
        <v>0</v>
      </c>
      <c r="AZ536">
        <f t="shared" si="227"/>
        <v>1</v>
      </c>
      <c r="BA536">
        <f t="shared" si="228"/>
        <v>1</v>
      </c>
      <c r="BB536">
        <f t="shared" si="229"/>
        <v>1</v>
      </c>
    </row>
    <row r="537" spans="1:54">
      <c r="A537">
        <v>534</v>
      </c>
      <c r="B537" t="s">
        <v>30</v>
      </c>
      <c r="C537" t="s">
        <v>21</v>
      </c>
      <c r="D537" t="s">
        <v>25</v>
      </c>
      <c r="E537" t="s">
        <v>30</v>
      </c>
      <c r="F537" t="s">
        <v>29</v>
      </c>
      <c r="G537" t="s">
        <v>23</v>
      </c>
      <c r="H537" s="3">
        <v>2.95267196360036E-2</v>
      </c>
      <c r="I537" s="3">
        <v>2.8556259639120798E-2</v>
      </c>
      <c r="J537" s="3">
        <v>2.5145908700471301E-2</v>
      </c>
      <c r="K537" s="3">
        <v>2.5958239572879901E-2</v>
      </c>
      <c r="L537" s="3">
        <v>1.90493266128684E-2</v>
      </c>
      <c r="M537" s="3">
        <v>1.51643742051864E-2</v>
      </c>
      <c r="N537" s="3">
        <v>3.2074340527577898E-2</v>
      </c>
      <c r="O537" s="3">
        <v>2.0628964301396199E-2</v>
      </c>
      <c r="P537">
        <f t="shared" si="214"/>
        <v>0</v>
      </c>
      <c r="Q537">
        <f t="shared" si="215"/>
        <v>0</v>
      </c>
      <c r="R537">
        <f t="shared" si="216"/>
        <v>0</v>
      </c>
      <c r="S537">
        <f t="shared" si="217"/>
        <v>0</v>
      </c>
      <c r="T537">
        <f t="shared" si="218"/>
        <v>0</v>
      </c>
      <c r="U537">
        <f t="shared" si="219"/>
        <v>0</v>
      </c>
      <c r="V537">
        <f t="shared" si="220"/>
        <v>0</v>
      </c>
      <c r="W537">
        <f t="shared" si="221"/>
        <v>0</v>
      </c>
      <c r="X537">
        <f t="shared" si="222"/>
        <v>0</v>
      </c>
      <c r="Y537">
        <f t="shared" si="223"/>
        <v>1</v>
      </c>
      <c r="Z537">
        <f t="shared" si="224"/>
        <v>0</v>
      </c>
      <c r="AA537">
        <f t="shared" si="225"/>
        <v>0</v>
      </c>
      <c r="AB537">
        <f t="shared" si="208"/>
        <v>0</v>
      </c>
      <c r="AC537">
        <f t="shared" si="209"/>
        <v>0</v>
      </c>
      <c r="AD537">
        <f t="shared" si="210"/>
        <v>0</v>
      </c>
      <c r="AE537">
        <f t="shared" si="211"/>
        <v>0</v>
      </c>
      <c r="AF537">
        <f t="shared" si="212"/>
        <v>0</v>
      </c>
      <c r="AG537">
        <f t="shared" si="213"/>
        <v>1</v>
      </c>
      <c r="AH537">
        <f t="shared" si="226"/>
        <v>0</v>
      </c>
      <c r="AI537">
        <f t="shared" si="230"/>
        <v>0</v>
      </c>
      <c r="AJ537">
        <f t="shared" si="230"/>
        <v>0</v>
      </c>
      <c r="AK537">
        <f t="shared" si="230"/>
        <v>0</v>
      </c>
      <c r="AL537">
        <f t="shared" si="230"/>
        <v>0</v>
      </c>
      <c r="AM537">
        <f t="shared" si="230"/>
        <v>0</v>
      </c>
      <c r="AN537">
        <f t="shared" si="230"/>
        <v>0</v>
      </c>
      <c r="AO537">
        <f t="shared" si="230"/>
        <v>1</v>
      </c>
      <c r="AP537">
        <f t="shared" si="230"/>
        <v>0</v>
      </c>
      <c r="AQ537">
        <f t="shared" si="230"/>
        <v>0</v>
      </c>
      <c r="AR537">
        <f t="shared" si="230"/>
        <v>0</v>
      </c>
      <c r="AS537">
        <f t="shared" si="230"/>
        <v>0</v>
      </c>
      <c r="AT537">
        <f t="shared" si="230"/>
        <v>0</v>
      </c>
      <c r="AU537">
        <f t="shared" si="230"/>
        <v>0</v>
      </c>
      <c r="AV537">
        <f t="shared" si="230"/>
        <v>0</v>
      </c>
      <c r="AW537">
        <f t="shared" si="230"/>
        <v>0</v>
      </c>
      <c r="AX537">
        <f t="shared" si="227"/>
        <v>0</v>
      </c>
      <c r="AY537">
        <f t="shared" si="227"/>
        <v>0</v>
      </c>
      <c r="AZ537">
        <f t="shared" si="227"/>
        <v>1</v>
      </c>
      <c r="BA537">
        <f t="shared" si="228"/>
        <v>1</v>
      </c>
      <c r="BB537">
        <f t="shared" si="229"/>
        <v>1</v>
      </c>
    </row>
    <row r="538" spans="1:54">
      <c r="A538">
        <v>535</v>
      </c>
      <c r="B538" t="s">
        <v>30</v>
      </c>
      <c r="C538" t="s">
        <v>21</v>
      </c>
      <c r="D538" t="s">
        <v>25</v>
      </c>
      <c r="E538" t="s">
        <v>30</v>
      </c>
      <c r="F538" t="s">
        <v>29</v>
      </c>
      <c r="G538" t="s">
        <v>24</v>
      </c>
      <c r="H538" s="3">
        <v>0.46209721674258197</v>
      </c>
      <c r="I538" s="3">
        <v>0.45330020118833902</v>
      </c>
      <c r="J538" s="3">
        <v>0.37692585733787698</v>
      </c>
      <c r="K538" s="3">
        <v>0.40412043320088298</v>
      </c>
      <c r="L538" s="3">
        <v>0.25626125772138197</v>
      </c>
      <c r="M538" s="3">
        <v>0.18805910477616999</v>
      </c>
      <c r="N538" s="3">
        <v>0.52128297362110299</v>
      </c>
      <c r="O538" s="3">
        <v>0.290596573091919</v>
      </c>
      <c r="P538">
        <f t="shared" si="214"/>
        <v>0</v>
      </c>
      <c r="Q538">
        <f t="shared" si="215"/>
        <v>0</v>
      </c>
      <c r="R538">
        <f t="shared" si="216"/>
        <v>0</v>
      </c>
      <c r="S538">
        <f t="shared" si="217"/>
        <v>0</v>
      </c>
      <c r="T538">
        <f t="shared" si="218"/>
        <v>0</v>
      </c>
      <c r="U538">
        <f t="shared" si="219"/>
        <v>0</v>
      </c>
      <c r="V538">
        <f t="shared" si="220"/>
        <v>0</v>
      </c>
      <c r="W538">
        <f t="shared" si="221"/>
        <v>0</v>
      </c>
      <c r="X538">
        <f t="shared" si="222"/>
        <v>0</v>
      </c>
      <c r="Y538">
        <f t="shared" si="223"/>
        <v>0</v>
      </c>
      <c r="Z538">
        <f t="shared" si="224"/>
        <v>0</v>
      </c>
      <c r="AA538">
        <f t="shared" si="225"/>
        <v>1</v>
      </c>
      <c r="AB538">
        <f t="shared" si="208"/>
        <v>0</v>
      </c>
      <c r="AC538">
        <f t="shared" si="209"/>
        <v>0</v>
      </c>
      <c r="AD538">
        <f t="shared" si="210"/>
        <v>0</v>
      </c>
      <c r="AE538">
        <f t="shared" si="211"/>
        <v>0</v>
      </c>
      <c r="AF538">
        <f t="shared" si="212"/>
        <v>0</v>
      </c>
      <c r="AG538">
        <f t="shared" si="213"/>
        <v>1</v>
      </c>
      <c r="AH538">
        <f t="shared" si="226"/>
        <v>0</v>
      </c>
      <c r="AI538">
        <f t="shared" si="230"/>
        <v>0</v>
      </c>
      <c r="AJ538">
        <f t="shared" si="230"/>
        <v>0</v>
      </c>
      <c r="AK538">
        <f t="shared" si="230"/>
        <v>0</v>
      </c>
      <c r="AL538">
        <f t="shared" si="230"/>
        <v>0</v>
      </c>
      <c r="AM538">
        <f t="shared" si="230"/>
        <v>0</v>
      </c>
      <c r="AN538">
        <f t="shared" si="230"/>
        <v>0</v>
      </c>
      <c r="AO538">
        <f t="shared" si="230"/>
        <v>0</v>
      </c>
      <c r="AP538">
        <f t="shared" si="230"/>
        <v>1</v>
      </c>
      <c r="AQ538">
        <f t="shared" si="230"/>
        <v>0</v>
      </c>
      <c r="AR538">
        <f t="shared" si="230"/>
        <v>0</v>
      </c>
      <c r="AS538">
        <f t="shared" si="230"/>
        <v>0</v>
      </c>
      <c r="AT538">
        <f t="shared" si="230"/>
        <v>0</v>
      </c>
      <c r="AU538">
        <f t="shared" si="230"/>
        <v>0</v>
      </c>
      <c r="AV538">
        <f t="shared" si="230"/>
        <v>0</v>
      </c>
      <c r="AW538">
        <f t="shared" si="230"/>
        <v>0</v>
      </c>
      <c r="AX538">
        <f t="shared" si="227"/>
        <v>0</v>
      </c>
      <c r="AY538">
        <f t="shared" si="227"/>
        <v>0</v>
      </c>
      <c r="AZ538">
        <f t="shared" si="227"/>
        <v>1</v>
      </c>
      <c r="BA538">
        <f t="shared" si="228"/>
        <v>1</v>
      </c>
      <c r="BB538">
        <f t="shared" si="229"/>
        <v>1</v>
      </c>
    </row>
    <row r="539" spans="1:54">
      <c r="A539">
        <v>536</v>
      </c>
      <c r="B539" t="s">
        <v>30</v>
      </c>
      <c r="C539" t="s">
        <v>21</v>
      </c>
      <c r="D539" t="s">
        <v>25</v>
      </c>
      <c r="E539" t="s">
        <v>30</v>
      </c>
      <c r="F539" t="s">
        <v>29</v>
      </c>
      <c r="G539" t="s">
        <v>31</v>
      </c>
      <c r="H539" s="3">
        <v>3.6629655696087102E-2</v>
      </c>
      <c r="I539" s="3">
        <v>3.48621175747688E-2</v>
      </c>
      <c r="J539" s="3">
        <v>3.1800938296195201E-2</v>
      </c>
      <c r="K539" s="3">
        <v>3.1862059712589298E-2</v>
      </c>
      <c r="L539" s="3">
        <v>2.50488535646179E-2</v>
      </c>
      <c r="M539" s="3">
        <v>2.0411970626749001E-2</v>
      </c>
      <c r="N539" s="3">
        <v>3.89688249400479E-2</v>
      </c>
      <c r="O539" s="3">
        <v>2.6521403456988401E-2</v>
      </c>
      <c r="P539">
        <f t="shared" si="214"/>
        <v>0</v>
      </c>
      <c r="Q539">
        <f t="shared" si="215"/>
        <v>0</v>
      </c>
      <c r="R539">
        <f t="shared" si="216"/>
        <v>0</v>
      </c>
      <c r="S539">
        <f t="shared" si="217"/>
        <v>0</v>
      </c>
      <c r="T539">
        <f t="shared" si="218"/>
        <v>0</v>
      </c>
      <c r="U539">
        <f t="shared" si="219"/>
        <v>0</v>
      </c>
      <c r="V539">
        <f t="shared" si="220"/>
        <v>0</v>
      </c>
      <c r="W539">
        <f t="shared" si="221"/>
        <v>0</v>
      </c>
      <c r="X539">
        <f t="shared" si="222"/>
        <v>0</v>
      </c>
      <c r="Y539">
        <f t="shared" si="223"/>
        <v>0</v>
      </c>
      <c r="Z539">
        <f t="shared" si="224"/>
        <v>1</v>
      </c>
      <c r="AA539">
        <f t="shared" si="225"/>
        <v>0</v>
      </c>
      <c r="AB539">
        <f t="shared" si="208"/>
        <v>0</v>
      </c>
      <c r="AC539">
        <f t="shared" si="209"/>
        <v>0</v>
      </c>
      <c r="AD539">
        <f t="shared" si="210"/>
        <v>0</v>
      </c>
      <c r="AE539">
        <f t="shared" si="211"/>
        <v>0</v>
      </c>
      <c r="AF539">
        <f t="shared" si="212"/>
        <v>0</v>
      </c>
      <c r="AG539">
        <f t="shared" si="213"/>
        <v>1</v>
      </c>
      <c r="AH539">
        <f t="shared" si="226"/>
        <v>0</v>
      </c>
      <c r="AI539">
        <f t="shared" si="230"/>
        <v>0</v>
      </c>
      <c r="AJ539">
        <f t="shared" si="230"/>
        <v>0</v>
      </c>
      <c r="AK539">
        <f t="shared" si="230"/>
        <v>0</v>
      </c>
      <c r="AL539">
        <f t="shared" si="230"/>
        <v>0</v>
      </c>
      <c r="AM539">
        <f t="shared" si="230"/>
        <v>0</v>
      </c>
      <c r="AN539">
        <f t="shared" si="230"/>
        <v>0</v>
      </c>
      <c r="AO539">
        <f t="shared" si="230"/>
        <v>0</v>
      </c>
      <c r="AP539">
        <f t="shared" si="230"/>
        <v>0</v>
      </c>
      <c r="AQ539">
        <f t="shared" si="230"/>
        <v>0</v>
      </c>
      <c r="AR539">
        <f t="shared" si="230"/>
        <v>0</v>
      </c>
      <c r="AS539">
        <f t="shared" si="230"/>
        <v>0</v>
      </c>
      <c r="AT539">
        <f t="shared" si="230"/>
        <v>0</v>
      </c>
      <c r="AU539">
        <f t="shared" si="230"/>
        <v>0</v>
      </c>
      <c r="AV539">
        <f t="shared" si="230"/>
        <v>0</v>
      </c>
      <c r="AW539">
        <f t="shared" si="230"/>
        <v>0</v>
      </c>
      <c r="AX539">
        <f t="shared" si="227"/>
        <v>0</v>
      </c>
      <c r="AY539">
        <f t="shared" si="227"/>
        <v>0</v>
      </c>
      <c r="AZ539">
        <f t="shared" si="227"/>
        <v>1</v>
      </c>
      <c r="BA539">
        <f t="shared" si="228"/>
        <v>0</v>
      </c>
      <c r="BB539">
        <f t="shared" si="229"/>
        <v>1</v>
      </c>
    </row>
    <row r="540" spans="1:54">
      <c r="A540">
        <v>537</v>
      </c>
      <c r="B540" t="s">
        <v>30</v>
      </c>
      <c r="C540" t="s">
        <v>21</v>
      </c>
      <c r="D540" t="s">
        <v>25</v>
      </c>
      <c r="E540" t="s">
        <v>30</v>
      </c>
      <c r="F540" t="s">
        <v>29</v>
      </c>
      <c r="G540" t="s">
        <v>25</v>
      </c>
      <c r="H540" s="3">
        <v>0.152402839911114</v>
      </c>
      <c r="I540" s="3">
        <v>0.151268791636961</v>
      </c>
      <c r="J540" s="3">
        <v>0.12782585413779099</v>
      </c>
      <c r="K540" s="3">
        <v>0.139352549140732</v>
      </c>
      <c r="L540" s="3">
        <v>0.106654231721639</v>
      </c>
      <c r="M540" s="3">
        <v>8.7882407356505099E-2</v>
      </c>
      <c r="N540" s="3">
        <v>0.16746147281762899</v>
      </c>
      <c r="O540" s="3">
        <v>0.10626218690158901</v>
      </c>
      <c r="P540">
        <f t="shared" si="214"/>
        <v>0</v>
      </c>
      <c r="Q540">
        <f t="shared" si="215"/>
        <v>0</v>
      </c>
      <c r="R540">
        <f t="shared" si="216"/>
        <v>0</v>
      </c>
      <c r="S540">
        <f t="shared" si="217"/>
        <v>0</v>
      </c>
      <c r="T540">
        <f t="shared" si="218"/>
        <v>0</v>
      </c>
      <c r="U540">
        <f t="shared" si="219"/>
        <v>0</v>
      </c>
      <c r="V540">
        <f t="shared" si="220"/>
        <v>0</v>
      </c>
      <c r="W540">
        <f t="shared" si="221"/>
        <v>0</v>
      </c>
      <c r="X540">
        <f t="shared" si="222"/>
        <v>0</v>
      </c>
      <c r="Y540">
        <f t="shared" si="223"/>
        <v>0</v>
      </c>
      <c r="Z540">
        <f t="shared" si="224"/>
        <v>0</v>
      </c>
      <c r="AA540">
        <f t="shared" si="225"/>
        <v>0</v>
      </c>
      <c r="AB540">
        <f t="shared" si="208"/>
        <v>0</v>
      </c>
      <c r="AC540">
        <f t="shared" si="209"/>
        <v>0</v>
      </c>
      <c r="AD540">
        <f t="shared" si="210"/>
        <v>0</v>
      </c>
      <c r="AE540">
        <f t="shared" si="211"/>
        <v>1</v>
      </c>
      <c r="AF540">
        <f t="shared" si="212"/>
        <v>0</v>
      </c>
      <c r="AG540">
        <f t="shared" si="213"/>
        <v>1</v>
      </c>
      <c r="AH540">
        <f t="shared" si="226"/>
        <v>1</v>
      </c>
      <c r="AI540">
        <f t="shared" si="230"/>
        <v>0</v>
      </c>
      <c r="AJ540">
        <f t="shared" si="230"/>
        <v>0</v>
      </c>
      <c r="AK540">
        <f t="shared" si="230"/>
        <v>0</v>
      </c>
      <c r="AL540">
        <f t="shared" si="230"/>
        <v>0</v>
      </c>
      <c r="AM540">
        <f t="shared" si="230"/>
        <v>0</v>
      </c>
      <c r="AN540">
        <f t="shared" si="230"/>
        <v>0</v>
      </c>
      <c r="AO540">
        <f t="shared" si="230"/>
        <v>0</v>
      </c>
      <c r="AP540">
        <f t="shared" si="230"/>
        <v>0</v>
      </c>
      <c r="AQ540">
        <f t="shared" si="230"/>
        <v>0</v>
      </c>
      <c r="AR540">
        <f t="shared" si="230"/>
        <v>0</v>
      </c>
      <c r="AS540">
        <f t="shared" si="230"/>
        <v>0</v>
      </c>
      <c r="AT540">
        <f t="shared" si="230"/>
        <v>0</v>
      </c>
      <c r="AU540">
        <f t="shared" si="230"/>
        <v>0</v>
      </c>
      <c r="AV540">
        <f t="shared" si="230"/>
        <v>0</v>
      </c>
      <c r="AW540">
        <f t="shared" si="230"/>
        <v>0</v>
      </c>
      <c r="AX540">
        <f t="shared" si="227"/>
        <v>0</v>
      </c>
      <c r="AY540">
        <f t="shared" si="227"/>
        <v>0</v>
      </c>
      <c r="AZ540">
        <f t="shared" si="227"/>
        <v>1</v>
      </c>
      <c r="BA540">
        <f t="shared" si="228"/>
        <v>0</v>
      </c>
      <c r="BB540">
        <f t="shared" si="229"/>
        <v>1</v>
      </c>
    </row>
    <row r="541" spans="1:54">
      <c r="A541">
        <v>538</v>
      </c>
      <c r="B541" t="s">
        <v>30</v>
      </c>
      <c r="C541" t="s">
        <v>21</v>
      </c>
      <c r="D541" t="s">
        <v>25</v>
      </c>
      <c r="E541" t="s">
        <v>30</v>
      </c>
      <c r="F541" t="s">
        <v>29</v>
      </c>
      <c r="G541" t="s">
        <v>26</v>
      </c>
      <c r="H541" s="3">
        <v>0.15582413847319199</v>
      </c>
      <c r="I541" s="3">
        <v>0.15442592974507799</v>
      </c>
      <c r="J541" s="3">
        <v>0.130662710878655</v>
      </c>
      <c r="K541" s="3">
        <v>0.142107713443652</v>
      </c>
      <c r="L541" s="3">
        <v>0.10900778263239801</v>
      </c>
      <c r="M541" s="3">
        <v>8.9756475016313494E-2</v>
      </c>
      <c r="N541" s="3">
        <v>0.17125256673511199</v>
      </c>
      <c r="O541" s="3">
        <v>0.108565712004485</v>
      </c>
      <c r="P541">
        <f t="shared" si="214"/>
        <v>0</v>
      </c>
      <c r="Q541">
        <f t="shared" si="215"/>
        <v>0</v>
      </c>
      <c r="R541">
        <f t="shared" si="216"/>
        <v>0</v>
      </c>
      <c r="S541">
        <f t="shared" si="217"/>
        <v>0</v>
      </c>
      <c r="T541">
        <f t="shared" si="218"/>
        <v>0</v>
      </c>
      <c r="U541">
        <f t="shared" si="219"/>
        <v>0</v>
      </c>
      <c r="V541">
        <f t="shared" si="220"/>
        <v>0</v>
      </c>
      <c r="W541">
        <f t="shared" si="221"/>
        <v>0</v>
      </c>
      <c r="X541">
        <f t="shared" si="222"/>
        <v>0</v>
      </c>
      <c r="Y541">
        <f t="shared" si="223"/>
        <v>0</v>
      </c>
      <c r="Z541">
        <f t="shared" si="224"/>
        <v>0</v>
      </c>
      <c r="AA541">
        <f t="shared" si="225"/>
        <v>0</v>
      </c>
      <c r="AB541">
        <f t="shared" si="208"/>
        <v>0</v>
      </c>
      <c r="AC541">
        <f t="shared" si="209"/>
        <v>0</v>
      </c>
      <c r="AD541">
        <f t="shared" si="210"/>
        <v>0</v>
      </c>
      <c r="AE541">
        <f t="shared" si="211"/>
        <v>1</v>
      </c>
      <c r="AF541">
        <f t="shared" si="212"/>
        <v>0</v>
      </c>
      <c r="AG541">
        <f t="shared" si="213"/>
        <v>1</v>
      </c>
      <c r="AH541">
        <f t="shared" si="226"/>
        <v>1</v>
      </c>
      <c r="AI541">
        <f t="shared" si="230"/>
        <v>1</v>
      </c>
      <c r="AJ541">
        <f t="shared" si="230"/>
        <v>0</v>
      </c>
      <c r="AK541">
        <f t="shared" si="230"/>
        <v>0</v>
      </c>
      <c r="AL541">
        <f t="shared" si="230"/>
        <v>0</v>
      </c>
      <c r="AM541">
        <f t="shared" si="230"/>
        <v>0</v>
      </c>
      <c r="AN541">
        <f t="shared" si="230"/>
        <v>0</v>
      </c>
      <c r="AO541">
        <f t="shared" si="230"/>
        <v>0</v>
      </c>
      <c r="AP541">
        <f t="shared" si="230"/>
        <v>0</v>
      </c>
      <c r="AQ541">
        <f t="shared" si="230"/>
        <v>0</v>
      </c>
      <c r="AR541">
        <f t="shared" si="230"/>
        <v>0</v>
      </c>
      <c r="AS541">
        <f t="shared" si="230"/>
        <v>0</v>
      </c>
      <c r="AT541">
        <f t="shared" si="230"/>
        <v>0</v>
      </c>
      <c r="AU541">
        <f t="shared" si="230"/>
        <v>0</v>
      </c>
      <c r="AV541">
        <f t="shared" si="230"/>
        <v>0</v>
      </c>
      <c r="AW541">
        <f t="shared" si="230"/>
        <v>0</v>
      </c>
      <c r="AX541">
        <f t="shared" si="227"/>
        <v>0</v>
      </c>
      <c r="AY541">
        <f t="shared" si="227"/>
        <v>0</v>
      </c>
      <c r="AZ541">
        <f t="shared" si="227"/>
        <v>1</v>
      </c>
      <c r="BA541">
        <f t="shared" si="228"/>
        <v>1</v>
      </c>
      <c r="BB541">
        <f t="shared" si="229"/>
        <v>1</v>
      </c>
    </row>
    <row r="542" spans="1:54">
      <c r="A542">
        <v>539</v>
      </c>
      <c r="B542" t="s">
        <v>30</v>
      </c>
      <c r="C542" t="s">
        <v>21</v>
      </c>
      <c r="D542" t="s">
        <v>26</v>
      </c>
      <c r="E542" t="s">
        <v>30</v>
      </c>
      <c r="F542" t="s">
        <v>21</v>
      </c>
      <c r="G542" t="s">
        <v>27</v>
      </c>
      <c r="H542" s="3">
        <v>0.252868668917971</v>
      </c>
      <c r="I542" s="3">
        <v>0.23933377889601901</v>
      </c>
      <c r="J542" s="3">
        <v>0.212550476519622</v>
      </c>
      <c r="K542" s="3">
        <v>0.211663952938593</v>
      </c>
      <c r="L542" s="3">
        <v>0.182990197828622</v>
      </c>
      <c r="M542" s="3">
        <v>0.14742878917614299</v>
      </c>
      <c r="N542" s="3">
        <v>0.30015174506828501</v>
      </c>
      <c r="O542" s="3">
        <v>0.176541476750356</v>
      </c>
      <c r="P542">
        <f t="shared" si="214"/>
        <v>0</v>
      </c>
      <c r="Q542">
        <f t="shared" si="215"/>
        <v>0</v>
      </c>
      <c r="R542">
        <f t="shared" si="216"/>
        <v>0</v>
      </c>
      <c r="S542">
        <f t="shared" si="217"/>
        <v>0</v>
      </c>
      <c r="T542">
        <f t="shared" si="218"/>
        <v>0</v>
      </c>
      <c r="U542">
        <f t="shared" si="219"/>
        <v>0</v>
      </c>
      <c r="V542">
        <f t="shared" si="220"/>
        <v>0</v>
      </c>
      <c r="W542">
        <f t="shared" si="221"/>
        <v>1</v>
      </c>
      <c r="X542">
        <f t="shared" si="222"/>
        <v>0</v>
      </c>
      <c r="Y542">
        <f t="shared" si="223"/>
        <v>0</v>
      </c>
      <c r="Z542">
        <f t="shared" si="224"/>
        <v>0</v>
      </c>
      <c r="AA542">
        <f t="shared" si="225"/>
        <v>0</v>
      </c>
      <c r="AB542">
        <f t="shared" si="208"/>
        <v>0</v>
      </c>
      <c r="AC542">
        <f t="shared" si="209"/>
        <v>0</v>
      </c>
      <c r="AD542">
        <f t="shared" si="210"/>
        <v>0</v>
      </c>
      <c r="AE542">
        <f t="shared" si="211"/>
        <v>0</v>
      </c>
      <c r="AF542">
        <f t="shared" si="212"/>
        <v>1</v>
      </c>
      <c r="AG542">
        <f t="shared" si="213"/>
        <v>1</v>
      </c>
      <c r="AH542">
        <f t="shared" si="226"/>
        <v>0</v>
      </c>
      <c r="AI542">
        <f t="shared" si="230"/>
        <v>0</v>
      </c>
      <c r="AJ542">
        <f t="shared" si="230"/>
        <v>0</v>
      </c>
      <c r="AK542">
        <f t="shared" si="230"/>
        <v>0</v>
      </c>
      <c r="AL542">
        <f t="shared" si="230"/>
        <v>0</v>
      </c>
      <c r="AM542">
        <f t="shared" si="230"/>
        <v>1</v>
      </c>
      <c r="AN542">
        <f t="shared" si="230"/>
        <v>0</v>
      </c>
      <c r="AO542">
        <f t="shared" si="230"/>
        <v>0</v>
      </c>
      <c r="AP542">
        <f t="shared" si="230"/>
        <v>0</v>
      </c>
      <c r="AQ542">
        <f t="shared" si="230"/>
        <v>0</v>
      </c>
      <c r="AR542">
        <f t="shared" si="230"/>
        <v>0</v>
      </c>
      <c r="AS542">
        <f t="shared" si="230"/>
        <v>0</v>
      </c>
      <c r="AT542">
        <f t="shared" si="230"/>
        <v>0</v>
      </c>
      <c r="AU542">
        <f t="shared" si="230"/>
        <v>0</v>
      </c>
      <c r="AV542">
        <f t="shared" si="230"/>
        <v>0</v>
      </c>
      <c r="AW542">
        <f t="shared" si="230"/>
        <v>0</v>
      </c>
      <c r="AX542">
        <f t="shared" si="227"/>
        <v>0</v>
      </c>
      <c r="AY542">
        <f t="shared" si="227"/>
        <v>0</v>
      </c>
      <c r="AZ542">
        <f t="shared" si="227"/>
        <v>0</v>
      </c>
      <c r="BA542">
        <f t="shared" si="228"/>
        <v>1</v>
      </c>
      <c r="BB542">
        <f t="shared" si="229"/>
        <v>0</v>
      </c>
    </row>
    <row r="543" spans="1:54">
      <c r="A543">
        <v>540</v>
      </c>
      <c r="B543" t="s">
        <v>30</v>
      </c>
      <c r="C543" t="s">
        <v>21</v>
      </c>
      <c r="D543" t="s">
        <v>26</v>
      </c>
      <c r="E543" t="s">
        <v>30</v>
      </c>
      <c r="F543" t="s">
        <v>28</v>
      </c>
      <c r="G543" t="s">
        <v>22</v>
      </c>
      <c r="H543" s="3">
        <v>1.9680052717241402E-2</v>
      </c>
      <c r="I543" s="3">
        <v>1.93898848963691E-2</v>
      </c>
      <c r="J543" s="3">
        <v>1.67631242742559E-2</v>
      </c>
      <c r="K543" s="3">
        <v>1.8000176076180301E-2</v>
      </c>
      <c r="L543" s="3">
        <v>1.31206112654986E-2</v>
      </c>
      <c r="M543" s="3">
        <v>1.0566466917481501E-2</v>
      </c>
      <c r="N543" s="3">
        <v>2.1244309559939299E-2</v>
      </c>
      <c r="O543" s="3">
        <v>1.3929274644235601E-2</v>
      </c>
      <c r="P543">
        <f t="shared" si="214"/>
        <v>1</v>
      </c>
      <c r="Q543">
        <f t="shared" si="215"/>
        <v>0</v>
      </c>
      <c r="R543">
        <f t="shared" si="216"/>
        <v>0</v>
      </c>
      <c r="S543">
        <f t="shared" si="217"/>
        <v>0</v>
      </c>
      <c r="T543">
        <f t="shared" si="218"/>
        <v>0</v>
      </c>
      <c r="U543">
        <f t="shared" si="219"/>
        <v>0</v>
      </c>
      <c r="V543">
        <f t="shared" si="220"/>
        <v>0</v>
      </c>
      <c r="W543">
        <f t="shared" si="221"/>
        <v>0</v>
      </c>
      <c r="X543">
        <f t="shared" si="222"/>
        <v>0</v>
      </c>
      <c r="Y543">
        <f t="shared" si="223"/>
        <v>0</v>
      </c>
      <c r="Z543">
        <f t="shared" si="224"/>
        <v>0</v>
      </c>
      <c r="AA543">
        <f t="shared" si="225"/>
        <v>0</v>
      </c>
      <c r="AB543">
        <f t="shared" si="208"/>
        <v>0</v>
      </c>
      <c r="AC543">
        <f t="shared" si="209"/>
        <v>0</v>
      </c>
      <c r="AD543">
        <f t="shared" si="210"/>
        <v>0</v>
      </c>
      <c r="AE543">
        <f t="shared" si="211"/>
        <v>0</v>
      </c>
      <c r="AF543">
        <f t="shared" si="212"/>
        <v>0</v>
      </c>
      <c r="AG543">
        <f t="shared" si="213"/>
        <v>1</v>
      </c>
      <c r="AH543">
        <f t="shared" si="226"/>
        <v>0</v>
      </c>
      <c r="AI543">
        <f t="shared" si="230"/>
        <v>0</v>
      </c>
      <c r="AJ543">
        <f t="shared" si="230"/>
        <v>1</v>
      </c>
      <c r="AK543">
        <f t="shared" si="230"/>
        <v>0</v>
      </c>
      <c r="AL543">
        <f t="shared" si="230"/>
        <v>0</v>
      </c>
      <c r="AM543">
        <f t="shared" si="230"/>
        <v>0</v>
      </c>
      <c r="AN543">
        <f t="shared" si="230"/>
        <v>0</v>
      </c>
      <c r="AO543">
        <f t="shared" si="230"/>
        <v>0</v>
      </c>
      <c r="AP543">
        <f t="shared" si="230"/>
        <v>0</v>
      </c>
      <c r="AQ543">
        <f t="shared" si="230"/>
        <v>0</v>
      </c>
      <c r="AR543">
        <f t="shared" si="230"/>
        <v>0</v>
      </c>
      <c r="AS543">
        <f t="shared" si="230"/>
        <v>0</v>
      </c>
      <c r="AT543">
        <f t="shared" si="230"/>
        <v>0</v>
      </c>
      <c r="AU543">
        <f t="shared" si="230"/>
        <v>0</v>
      </c>
      <c r="AV543">
        <f t="shared" si="230"/>
        <v>0</v>
      </c>
      <c r="AW543">
        <f t="shared" si="230"/>
        <v>0</v>
      </c>
      <c r="AX543">
        <f t="shared" si="227"/>
        <v>1</v>
      </c>
      <c r="AY543">
        <f t="shared" si="227"/>
        <v>0</v>
      </c>
      <c r="AZ543">
        <f t="shared" si="227"/>
        <v>0</v>
      </c>
      <c r="BA543">
        <f t="shared" si="228"/>
        <v>1</v>
      </c>
      <c r="BB543">
        <f t="shared" si="229"/>
        <v>0</v>
      </c>
    </row>
    <row r="544" spans="1:54">
      <c r="A544">
        <v>541</v>
      </c>
      <c r="B544" t="s">
        <v>30</v>
      </c>
      <c r="C544" t="s">
        <v>21</v>
      </c>
      <c r="D544" t="s">
        <v>26</v>
      </c>
      <c r="E544" t="s">
        <v>30</v>
      </c>
      <c r="F544" t="s">
        <v>28</v>
      </c>
      <c r="G544" t="s">
        <v>23</v>
      </c>
      <c r="H544" s="3">
        <v>2.3300472704497099E-2</v>
      </c>
      <c r="I544" s="3">
        <v>2.2542831063659501E-2</v>
      </c>
      <c r="J544" s="3">
        <v>1.9779854277994901E-2</v>
      </c>
      <c r="K544" s="3">
        <v>2.0610109132710001E-2</v>
      </c>
      <c r="L544" s="3">
        <v>1.52173526374315E-2</v>
      </c>
      <c r="M544" s="3">
        <v>1.21806793068452E-2</v>
      </c>
      <c r="N544" s="3">
        <v>2.5189681335356599E-2</v>
      </c>
      <c r="O544" s="3">
        <v>1.63063721204765E-2</v>
      </c>
      <c r="P544">
        <f t="shared" si="214"/>
        <v>0</v>
      </c>
      <c r="Q544">
        <f t="shared" si="215"/>
        <v>1</v>
      </c>
      <c r="R544">
        <f t="shared" si="216"/>
        <v>0</v>
      </c>
      <c r="S544">
        <f t="shared" si="217"/>
        <v>0</v>
      </c>
      <c r="T544">
        <f t="shared" si="218"/>
        <v>0</v>
      </c>
      <c r="U544">
        <f t="shared" si="219"/>
        <v>0</v>
      </c>
      <c r="V544">
        <f t="shared" si="220"/>
        <v>0</v>
      </c>
      <c r="W544">
        <f t="shared" si="221"/>
        <v>0</v>
      </c>
      <c r="X544">
        <f t="shared" si="222"/>
        <v>0</v>
      </c>
      <c r="Y544">
        <f t="shared" si="223"/>
        <v>0</v>
      </c>
      <c r="Z544">
        <f t="shared" si="224"/>
        <v>0</v>
      </c>
      <c r="AA544">
        <f t="shared" si="225"/>
        <v>0</v>
      </c>
      <c r="AB544">
        <f t="shared" si="208"/>
        <v>0</v>
      </c>
      <c r="AC544">
        <f t="shared" si="209"/>
        <v>0</v>
      </c>
      <c r="AD544">
        <f t="shared" si="210"/>
        <v>0</v>
      </c>
      <c r="AE544">
        <f t="shared" si="211"/>
        <v>0</v>
      </c>
      <c r="AF544">
        <f t="shared" si="212"/>
        <v>0</v>
      </c>
      <c r="AG544">
        <f t="shared" si="213"/>
        <v>1</v>
      </c>
      <c r="AH544">
        <f t="shared" si="226"/>
        <v>0</v>
      </c>
      <c r="AI544">
        <f t="shared" si="230"/>
        <v>0</v>
      </c>
      <c r="AJ544">
        <f t="shared" si="230"/>
        <v>0</v>
      </c>
      <c r="AK544">
        <f t="shared" si="230"/>
        <v>1</v>
      </c>
      <c r="AL544">
        <f t="shared" si="230"/>
        <v>0</v>
      </c>
      <c r="AM544">
        <f t="shared" si="230"/>
        <v>0</v>
      </c>
      <c r="AN544">
        <f t="shared" si="230"/>
        <v>0</v>
      </c>
      <c r="AO544">
        <f t="shared" si="230"/>
        <v>0</v>
      </c>
      <c r="AP544">
        <f t="shared" si="230"/>
        <v>0</v>
      </c>
      <c r="AQ544">
        <f t="shared" si="230"/>
        <v>0</v>
      </c>
      <c r="AR544">
        <f t="shared" si="230"/>
        <v>0</v>
      </c>
      <c r="AS544">
        <f t="shared" si="230"/>
        <v>0</v>
      </c>
      <c r="AT544">
        <f t="shared" si="230"/>
        <v>0</v>
      </c>
      <c r="AU544">
        <f t="shared" si="230"/>
        <v>0</v>
      </c>
      <c r="AV544">
        <f t="shared" si="230"/>
        <v>0</v>
      </c>
      <c r="AW544">
        <f t="shared" si="230"/>
        <v>0</v>
      </c>
      <c r="AX544">
        <f t="shared" si="227"/>
        <v>1</v>
      </c>
      <c r="AY544">
        <f t="shared" si="227"/>
        <v>0</v>
      </c>
      <c r="AZ544">
        <f t="shared" si="227"/>
        <v>0</v>
      </c>
      <c r="BA544">
        <f t="shared" si="228"/>
        <v>1</v>
      </c>
      <c r="BB544">
        <f t="shared" si="229"/>
        <v>0</v>
      </c>
    </row>
    <row r="545" spans="1:54">
      <c r="A545">
        <v>542</v>
      </c>
      <c r="B545" t="s">
        <v>30</v>
      </c>
      <c r="C545" t="s">
        <v>21</v>
      </c>
      <c r="D545" t="s">
        <v>26</v>
      </c>
      <c r="E545" t="s">
        <v>30</v>
      </c>
      <c r="F545" t="s">
        <v>28</v>
      </c>
      <c r="G545" t="s">
        <v>24</v>
      </c>
      <c r="H545" s="3">
        <v>0.58777977195828202</v>
      </c>
      <c r="I545" s="3">
        <v>0.62883207056312096</v>
      </c>
      <c r="J545" s="3">
        <v>0.444154502737236</v>
      </c>
      <c r="K545" s="3">
        <v>0.54264354495149703</v>
      </c>
      <c r="L545" s="3">
        <v>0.326780116255319</v>
      </c>
      <c r="M545" s="3">
        <v>0.23701958243027099</v>
      </c>
      <c r="N545" s="3">
        <v>0.76297420333839105</v>
      </c>
      <c r="O545" s="3">
        <v>0.34495197415436102</v>
      </c>
      <c r="P545">
        <f t="shared" si="214"/>
        <v>0</v>
      </c>
      <c r="Q545">
        <f t="shared" si="215"/>
        <v>0</v>
      </c>
      <c r="R545">
        <f t="shared" si="216"/>
        <v>1</v>
      </c>
      <c r="S545">
        <f t="shared" si="217"/>
        <v>0</v>
      </c>
      <c r="T545">
        <f t="shared" si="218"/>
        <v>0</v>
      </c>
      <c r="U545">
        <f t="shared" si="219"/>
        <v>0</v>
      </c>
      <c r="V545">
        <f t="shared" si="220"/>
        <v>0</v>
      </c>
      <c r="W545">
        <f t="shared" si="221"/>
        <v>0</v>
      </c>
      <c r="X545">
        <f t="shared" si="222"/>
        <v>0</v>
      </c>
      <c r="Y545">
        <f t="shared" si="223"/>
        <v>0</v>
      </c>
      <c r="Z545">
        <f t="shared" si="224"/>
        <v>0</v>
      </c>
      <c r="AA545">
        <f t="shared" si="225"/>
        <v>0</v>
      </c>
      <c r="AB545">
        <f t="shared" si="208"/>
        <v>0</v>
      </c>
      <c r="AC545">
        <f t="shared" si="209"/>
        <v>0</v>
      </c>
      <c r="AD545">
        <f t="shared" si="210"/>
        <v>0</v>
      </c>
      <c r="AE545">
        <f t="shared" si="211"/>
        <v>0</v>
      </c>
      <c r="AF545">
        <f t="shared" si="212"/>
        <v>0</v>
      </c>
      <c r="AG545">
        <f t="shared" si="213"/>
        <v>1</v>
      </c>
      <c r="AH545">
        <f t="shared" si="226"/>
        <v>0</v>
      </c>
      <c r="AI545">
        <f t="shared" ref="AI545:AW561" si="231">IF(OR(AND($D545=AI$1,$G545=AI$2),AND($D545=AI$2,$G545=AI$1)),1,0)</f>
        <v>0</v>
      </c>
      <c r="AJ545">
        <f t="shared" si="231"/>
        <v>0</v>
      </c>
      <c r="AK545">
        <f t="shared" si="231"/>
        <v>0</v>
      </c>
      <c r="AL545">
        <f t="shared" si="231"/>
        <v>1</v>
      </c>
      <c r="AM545">
        <f t="shared" si="231"/>
        <v>0</v>
      </c>
      <c r="AN545">
        <f t="shared" si="231"/>
        <v>0</v>
      </c>
      <c r="AO545">
        <f t="shared" si="231"/>
        <v>0</v>
      </c>
      <c r="AP545">
        <f t="shared" si="231"/>
        <v>0</v>
      </c>
      <c r="AQ545">
        <f t="shared" si="231"/>
        <v>0</v>
      </c>
      <c r="AR545">
        <f t="shared" si="231"/>
        <v>0</v>
      </c>
      <c r="AS545">
        <f t="shared" si="231"/>
        <v>0</v>
      </c>
      <c r="AT545">
        <f t="shared" si="231"/>
        <v>0</v>
      </c>
      <c r="AU545">
        <f t="shared" si="231"/>
        <v>0</v>
      </c>
      <c r="AV545">
        <f t="shared" si="231"/>
        <v>0</v>
      </c>
      <c r="AW545">
        <f t="shared" si="231"/>
        <v>0</v>
      </c>
      <c r="AX545">
        <f t="shared" si="227"/>
        <v>1</v>
      </c>
      <c r="AY545">
        <f t="shared" si="227"/>
        <v>0</v>
      </c>
      <c r="AZ545">
        <f t="shared" si="227"/>
        <v>0</v>
      </c>
      <c r="BA545">
        <f t="shared" si="228"/>
        <v>1</v>
      </c>
      <c r="BB545">
        <f t="shared" si="229"/>
        <v>0</v>
      </c>
    </row>
    <row r="546" spans="1:54">
      <c r="A546">
        <v>543</v>
      </c>
      <c r="B546" t="s">
        <v>30</v>
      </c>
      <c r="C546" t="s">
        <v>21</v>
      </c>
      <c r="D546" t="s">
        <v>26</v>
      </c>
      <c r="E546" t="s">
        <v>30</v>
      </c>
      <c r="F546" t="s">
        <v>28</v>
      </c>
      <c r="G546" t="s">
        <v>25</v>
      </c>
      <c r="H546" s="3">
        <v>0.94366111564536503</v>
      </c>
      <c r="I546" s="3">
        <v>0.93687237079207197</v>
      </c>
      <c r="J546" s="3">
        <v>0.88508541281222197</v>
      </c>
      <c r="K546" s="3">
        <v>0.90833679606108597</v>
      </c>
      <c r="L546" s="3">
        <v>0.85451054105667501</v>
      </c>
      <c r="M546" s="3">
        <v>0.79596999215494302</v>
      </c>
      <c r="N546" s="3">
        <v>0.974275576581904</v>
      </c>
      <c r="O546" s="3">
        <v>0.85979845879038597</v>
      </c>
      <c r="P546">
        <f t="shared" si="214"/>
        <v>0</v>
      </c>
      <c r="Q546">
        <f t="shared" si="215"/>
        <v>0</v>
      </c>
      <c r="R546">
        <f t="shared" si="216"/>
        <v>0</v>
      </c>
      <c r="S546">
        <f t="shared" si="217"/>
        <v>0</v>
      </c>
      <c r="T546">
        <f t="shared" si="218"/>
        <v>0</v>
      </c>
      <c r="U546">
        <f t="shared" si="219"/>
        <v>0</v>
      </c>
      <c r="V546">
        <f t="shared" si="220"/>
        <v>0</v>
      </c>
      <c r="W546">
        <f t="shared" si="221"/>
        <v>0</v>
      </c>
      <c r="X546">
        <f t="shared" si="222"/>
        <v>0</v>
      </c>
      <c r="Y546">
        <f t="shared" si="223"/>
        <v>0</v>
      </c>
      <c r="Z546">
        <f t="shared" si="224"/>
        <v>0</v>
      </c>
      <c r="AA546">
        <f t="shared" si="225"/>
        <v>0</v>
      </c>
      <c r="AB546">
        <f t="shared" si="208"/>
        <v>0</v>
      </c>
      <c r="AC546">
        <f t="shared" si="209"/>
        <v>0</v>
      </c>
      <c r="AD546">
        <f t="shared" si="210"/>
        <v>0</v>
      </c>
      <c r="AE546">
        <f t="shared" si="211"/>
        <v>1</v>
      </c>
      <c r="AF546">
        <f t="shared" si="212"/>
        <v>0</v>
      </c>
      <c r="AG546">
        <f t="shared" si="213"/>
        <v>1</v>
      </c>
      <c r="AH546">
        <f t="shared" si="226"/>
        <v>1</v>
      </c>
      <c r="AI546">
        <f t="shared" si="231"/>
        <v>1</v>
      </c>
      <c r="AJ546">
        <f t="shared" si="231"/>
        <v>0</v>
      </c>
      <c r="AK546">
        <f t="shared" si="231"/>
        <v>0</v>
      </c>
      <c r="AL546">
        <f t="shared" si="231"/>
        <v>0</v>
      </c>
      <c r="AM546">
        <f t="shared" si="231"/>
        <v>0</v>
      </c>
      <c r="AN546">
        <f t="shared" si="231"/>
        <v>0</v>
      </c>
      <c r="AO546">
        <f t="shared" si="231"/>
        <v>0</v>
      </c>
      <c r="AP546">
        <f t="shared" si="231"/>
        <v>0</v>
      </c>
      <c r="AQ546">
        <f t="shared" si="231"/>
        <v>0</v>
      </c>
      <c r="AR546">
        <f t="shared" si="231"/>
        <v>0</v>
      </c>
      <c r="AS546">
        <f t="shared" si="231"/>
        <v>0</v>
      </c>
      <c r="AT546">
        <f t="shared" si="231"/>
        <v>0</v>
      </c>
      <c r="AU546">
        <f t="shared" si="231"/>
        <v>0</v>
      </c>
      <c r="AV546">
        <f t="shared" si="231"/>
        <v>0</v>
      </c>
      <c r="AW546">
        <f t="shared" si="231"/>
        <v>0</v>
      </c>
      <c r="AX546">
        <f t="shared" si="227"/>
        <v>1</v>
      </c>
      <c r="AY546">
        <f t="shared" si="227"/>
        <v>0</v>
      </c>
      <c r="AZ546">
        <f t="shared" si="227"/>
        <v>0</v>
      </c>
      <c r="BA546">
        <f t="shared" si="228"/>
        <v>1</v>
      </c>
      <c r="BB546">
        <f t="shared" si="229"/>
        <v>0</v>
      </c>
    </row>
    <row r="547" spans="1:54">
      <c r="A547">
        <v>544</v>
      </c>
      <c r="B547" t="s">
        <v>30</v>
      </c>
      <c r="C547" t="s">
        <v>21</v>
      </c>
      <c r="D547" t="s">
        <v>26</v>
      </c>
      <c r="E547" t="s">
        <v>30</v>
      </c>
      <c r="F547" t="s">
        <v>28</v>
      </c>
      <c r="G547" t="s">
        <v>26</v>
      </c>
      <c r="H547" s="3">
        <v>0.95736649417070097</v>
      </c>
      <c r="I547" s="3">
        <v>0.95116307226529395</v>
      </c>
      <c r="J547" s="3">
        <v>0.89977456386063304</v>
      </c>
      <c r="K547" s="3">
        <v>0.92233574857207801</v>
      </c>
      <c r="L547" s="3">
        <v>0.87117712801708103</v>
      </c>
      <c r="M547" s="3">
        <v>0.81290448714031105</v>
      </c>
      <c r="N547" s="3">
        <v>0.98919243470429297</v>
      </c>
      <c r="O547" s="3">
        <v>0.87541319370642101</v>
      </c>
      <c r="P547">
        <f t="shared" si="214"/>
        <v>0</v>
      </c>
      <c r="Q547">
        <f t="shared" si="215"/>
        <v>0</v>
      </c>
      <c r="R547">
        <f t="shared" si="216"/>
        <v>0</v>
      </c>
      <c r="S547">
        <f t="shared" si="217"/>
        <v>0</v>
      </c>
      <c r="T547">
        <f t="shared" si="218"/>
        <v>0</v>
      </c>
      <c r="U547">
        <f t="shared" si="219"/>
        <v>0</v>
      </c>
      <c r="V547">
        <f t="shared" si="220"/>
        <v>0</v>
      </c>
      <c r="W547">
        <f t="shared" si="221"/>
        <v>0</v>
      </c>
      <c r="X547">
        <f t="shared" si="222"/>
        <v>0</v>
      </c>
      <c r="Y547">
        <f t="shared" si="223"/>
        <v>0</v>
      </c>
      <c r="Z547">
        <f t="shared" si="224"/>
        <v>0</v>
      </c>
      <c r="AA547">
        <f t="shared" si="225"/>
        <v>0</v>
      </c>
      <c r="AB547">
        <f t="shared" si="208"/>
        <v>0</v>
      </c>
      <c r="AC547">
        <f t="shared" si="209"/>
        <v>0</v>
      </c>
      <c r="AD547">
        <f t="shared" si="210"/>
        <v>0</v>
      </c>
      <c r="AE547">
        <f t="shared" si="211"/>
        <v>1</v>
      </c>
      <c r="AF547">
        <f t="shared" si="212"/>
        <v>0</v>
      </c>
      <c r="AG547">
        <f t="shared" si="213"/>
        <v>1</v>
      </c>
      <c r="AH547">
        <f t="shared" si="226"/>
        <v>1</v>
      </c>
      <c r="AI547">
        <f t="shared" si="231"/>
        <v>0</v>
      </c>
      <c r="AJ547">
        <f t="shared" si="231"/>
        <v>0</v>
      </c>
      <c r="AK547">
        <f t="shared" si="231"/>
        <v>0</v>
      </c>
      <c r="AL547">
        <f t="shared" si="231"/>
        <v>0</v>
      </c>
      <c r="AM547">
        <f t="shared" si="231"/>
        <v>0</v>
      </c>
      <c r="AN547">
        <f t="shared" si="231"/>
        <v>0</v>
      </c>
      <c r="AO547">
        <f t="shared" si="231"/>
        <v>0</v>
      </c>
      <c r="AP547">
        <f t="shared" si="231"/>
        <v>0</v>
      </c>
      <c r="AQ547">
        <f t="shared" si="231"/>
        <v>0</v>
      </c>
      <c r="AR547">
        <f t="shared" si="231"/>
        <v>0</v>
      </c>
      <c r="AS547">
        <f t="shared" si="231"/>
        <v>0</v>
      </c>
      <c r="AT547">
        <f t="shared" si="231"/>
        <v>0</v>
      </c>
      <c r="AU547">
        <f t="shared" si="231"/>
        <v>0</v>
      </c>
      <c r="AV547">
        <f t="shared" si="231"/>
        <v>0</v>
      </c>
      <c r="AW547">
        <f t="shared" si="231"/>
        <v>0</v>
      </c>
      <c r="AX547">
        <f t="shared" si="227"/>
        <v>1</v>
      </c>
      <c r="AY547">
        <f t="shared" si="227"/>
        <v>0</v>
      </c>
      <c r="AZ547">
        <f t="shared" si="227"/>
        <v>0</v>
      </c>
      <c r="BA547">
        <f t="shared" si="228"/>
        <v>0</v>
      </c>
      <c r="BB547">
        <f t="shared" si="229"/>
        <v>0</v>
      </c>
    </row>
    <row r="548" spans="1:54">
      <c r="A548">
        <v>545</v>
      </c>
      <c r="B548" t="s">
        <v>30</v>
      </c>
      <c r="C548" t="s">
        <v>21</v>
      </c>
      <c r="D548" t="s">
        <v>26</v>
      </c>
      <c r="E548" t="s">
        <v>30</v>
      </c>
      <c r="F548" t="s">
        <v>28</v>
      </c>
      <c r="G548" t="s">
        <v>27</v>
      </c>
      <c r="H548" s="3">
        <v>0.30264482209806498</v>
      </c>
      <c r="I548" s="3">
        <v>0.28544229447137698</v>
      </c>
      <c r="J548" s="3">
        <v>0.249840851866621</v>
      </c>
      <c r="K548" s="3">
        <v>0.24847454437582001</v>
      </c>
      <c r="L548" s="3">
        <v>0.20864629162672199</v>
      </c>
      <c r="M548" s="3">
        <v>0.16457396418935999</v>
      </c>
      <c r="N548" s="3">
        <v>0.36813353566009099</v>
      </c>
      <c r="O548" s="3">
        <v>0.20076997149909501</v>
      </c>
      <c r="P548">
        <f t="shared" si="214"/>
        <v>0</v>
      </c>
      <c r="Q548">
        <f t="shared" si="215"/>
        <v>0</v>
      </c>
      <c r="R548">
        <f t="shared" si="216"/>
        <v>0</v>
      </c>
      <c r="S548">
        <f t="shared" si="217"/>
        <v>1</v>
      </c>
      <c r="T548">
        <f t="shared" si="218"/>
        <v>0</v>
      </c>
      <c r="U548">
        <f t="shared" si="219"/>
        <v>0</v>
      </c>
      <c r="V548">
        <f t="shared" si="220"/>
        <v>0</v>
      </c>
      <c r="W548">
        <f t="shared" si="221"/>
        <v>0</v>
      </c>
      <c r="X548">
        <f t="shared" si="222"/>
        <v>0</v>
      </c>
      <c r="Y548">
        <f t="shared" si="223"/>
        <v>0</v>
      </c>
      <c r="Z548">
        <f t="shared" si="224"/>
        <v>0</v>
      </c>
      <c r="AA548">
        <f t="shared" si="225"/>
        <v>0</v>
      </c>
      <c r="AB548">
        <f t="shared" si="208"/>
        <v>0</v>
      </c>
      <c r="AC548">
        <f t="shared" si="209"/>
        <v>0</v>
      </c>
      <c r="AD548">
        <f t="shared" si="210"/>
        <v>0</v>
      </c>
      <c r="AE548">
        <f t="shared" si="211"/>
        <v>0</v>
      </c>
      <c r="AF548">
        <f t="shared" si="212"/>
        <v>0</v>
      </c>
      <c r="AG548">
        <f t="shared" si="213"/>
        <v>1</v>
      </c>
      <c r="AH548">
        <f t="shared" si="226"/>
        <v>0</v>
      </c>
      <c r="AI548">
        <f t="shared" si="231"/>
        <v>0</v>
      </c>
      <c r="AJ548">
        <f t="shared" si="231"/>
        <v>0</v>
      </c>
      <c r="AK548">
        <f t="shared" si="231"/>
        <v>0</v>
      </c>
      <c r="AL548">
        <f t="shared" si="231"/>
        <v>0</v>
      </c>
      <c r="AM548">
        <f t="shared" si="231"/>
        <v>1</v>
      </c>
      <c r="AN548">
        <f t="shared" si="231"/>
        <v>0</v>
      </c>
      <c r="AO548">
        <f t="shared" si="231"/>
        <v>0</v>
      </c>
      <c r="AP548">
        <f t="shared" si="231"/>
        <v>0</v>
      </c>
      <c r="AQ548">
        <f t="shared" si="231"/>
        <v>0</v>
      </c>
      <c r="AR548">
        <f t="shared" si="231"/>
        <v>0</v>
      </c>
      <c r="AS548">
        <f t="shared" si="231"/>
        <v>0</v>
      </c>
      <c r="AT548">
        <f t="shared" si="231"/>
        <v>0</v>
      </c>
      <c r="AU548">
        <f t="shared" si="231"/>
        <v>0</v>
      </c>
      <c r="AV548">
        <f t="shared" si="231"/>
        <v>0</v>
      </c>
      <c r="AW548">
        <f t="shared" si="231"/>
        <v>0</v>
      </c>
      <c r="AX548">
        <f t="shared" ref="AX548:AZ579" si="232">IF(OR(AND($C548=AX$1,$F548=AX$2),AND($C548=AX$2,$F548=AX$1)),1,0)</f>
        <v>1</v>
      </c>
      <c r="AY548">
        <f t="shared" si="232"/>
        <v>0</v>
      </c>
      <c r="AZ548">
        <f t="shared" si="232"/>
        <v>0</v>
      </c>
      <c r="BA548">
        <f t="shared" si="228"/>
        <v>1</v>
      </c>
      <c r="BB548">
        <f t="shared" si="229"/>
        <v>0</v>
      </c>
    </row>
    <row r="549" spans="1:54">
      <c r="A549">
        <v>546</v>
      </c>
      <c r="B549" t="s">
        <v>30</v>
      </c>
      <c r="C549" t="s">
        <v>21</v>
      </c>
      <c r="D549" t="s">
        <v>26</v>
      </c>
      <c r="E549" t="s">
        <v>30</v>
      </c>
      <c r="F549" t="s">
        <v>29</v>
      </c>
      <c r="G549" t="s">
        <v>22</v>
      </c>
      <c r="H549" s="3">
        <v>0.688791098925992</v>
      </c>
      <c r="I549" s="3">
        <v>0.66800252138455896</v>
      </c>
      <c r="J549" s="3">
        <v>0.56276377593327198</v>
      </c>
      <c r="K549" s="3">
        <v>0.58893233994371996</v>
      </c>
      <c r="L549" s="3">
        <v>0.43723204832691598</v>
      </c>
      <c r="M549" s="3">
        <v>0.33595350588182898</v>
      </c>
      <c r="N549" s="3">
        <v>0.78816388467374798</v>
      </c>
      <c r="O549" s="3">
        <v>0.44621785023244898</v>
      </c>
      <c r="P549">
        <f t="shared" si="214"/>
        <v>0</v>
      </c>
      <c r="Q549">
        <f t="shared" si="215"/>
        <v>0</v>
      </c>
      <c r="R549">
        <f t="shared" si="216"/>
        <v>0</v>
      </c>
      <c r="S549">
        <f t="shared" si="217"/>
        <v>0</v>
      </c>
      <c r="T549">
        <f t="shared" si="218"/>
        <v>0</v>
      </c>
      <c r="U549">
        <f t="shared" si="219"/>
        <v>0</v>
      </c>
      <c r="V549">
        <f t="shared" si="220"/>
        <v>0</v>
      </c>
      <c r="W549">
        <f t="shared" si="221"/>
        <v>0</v>
      </c>
      <c r="X549">
        <f t="shared" si="222"/>
        <v>1</v>
      </c>
      <c r="Y549">
        <f t="shared" si="223"/>
        <v>0</v>
      </c>
      <c r="Z549">
        <f t="shared" si="224"/>
        <v>0</v>
      </c>
      <c r="AA549">
        <f t="shared" si="225"/>
        <v>0</v>
      </c>
      <c r="AB549">
        <f t="shared" si="208"/>
        <v>0</v>
      </c>
      <c r="AC549">
        <f t="shared" si="209"/>
        <v>0</v>
      </c>
      <c r="AD549">
        <f t="shared" si="210"/>
        <v>0</v>
      </c>
      <c r="AE549">
        <f t="shared" si="211"/>
        <v>0</v>
      </c>
      <c r="AF549">
        <f t="shared" si="212"/>
        <v>0</v>
      </c>
      <c r="AG549">
        <f t="shared" si="213"/>
        <v>1</v>
      </c>
      <c r="AH549">
        <f t="shared" si="226"/>
        <v>0</v>
      </c>
      <c r="AI549">
        <f t="shared" si="231"/>
        <v>0</v>
      </c>
      <c r="AJ549">
        <f t="shared" si="231"/>
        <v>1</v>
      </c>
      <c r="AK549">
        <f t="shared" si="231"/>
        <v>0</v>
      </c>
      <c r="AL549">
        <f t="shared" si="231"/>
        <v>0</v>
      </c>
      <c r="AM549">
        <f t="shared" si="231"/>
        <v>0</v>
      </c>
      <c r="AN549">
        <f t="shared" si="231"/>
        <v>0</v>
      </c>
      <c r="AO549">
        <f t="shared" si="231"/>
        <v>0</v>
      </c>
      <c r="AP549">
        <f t="shared" si="231"/>
        <v>0</v>
      </c>
      <c r="AQ549">
        <f t="shared" si="231"/>
        <v>0</v>
      </c>
      <c r="AR549">
        <f t="shared" si="231"/>
        <v>0</v>
      </c>
      <c r="AS549">
        <f t="shared" si="231"/>
        <v>0</v>
      </c>
      <c r="AT549">
        <f t="shared" si="231"/>
        <v>0</v>
      </c>
      <c r="AU549">
        <f t="shared" si="231"/>
        <v>0</v>
      </c>
      <c r="AV549">
        <f t="shared" si="231"/>
        <v>0</v>
      </c>
      <c r="AW549">
        <f t="shared" si="231"/>
        <v>0</v>
      </c>
      <c r="AX549">
        <f t="shared" si="232"/>
        <v>0</v>
      </c>
      <c r="AY549">
        <f t="shared" si="232"/>
        <v>0</v>
      </c>
      <c r="AZ549">
        <f t="shared" si="232"/>
        <v>1</v>
      </c>
      <c r="BA549">
        <f t="shared" si="228"/>
        <v>1</v>
      </c>
      <c r="BB549">
        <f t="shared" si="229"/>
        <v>1</v>
      </c>
    </row>
    <row r="550" spans="1:54">
      <c r="A550">
        <v>547</v>
      </c>
      <c r="B550" t="s">
        <v>30</v>
      </c>
      <c r="C550" t="s">
        <v>21</v>
      </c>
      <c r="D550" t="s">
        <v>26</v>
      </c>
      <c r="E550" t="s">
        <v>30</v>
      </c>
      <c r="F550" t="s">
        <v>29</v>
      </c>
      <c r="G550" t="s">
        <v>23</v>
      </c>
      <c r="H550" s="3">
        <v>2.9906020480729399E-2</v>
      </c>
      <c r="I550" s="3">
        <v>2.89780602229322E-2</v>
      </c>
      <c r="J550" s="3">
        <v>2.5479144370824498E-2</v>
      </c>
      <c r="K550" s="3">
        <v>2.63924070215272E-2</v>
      </c>
      <c r="L550" s="3">
        <v>1.9297393048078301E-2</v>
      </c>
      <c r="M550" s="3">
        <v>1.53109545506619E-2</v>
      </c>
      <c r="N550" s="3">
        <v>3.2473444613049997E-2</v>
      </c>
      <c r="O550" s="3">
        <v>2.0891246407666399E-2</v>
      </c>
      <c r="P550">
        <f t="shared" si="214"/>
        <v>0</v>
      </c>
      <c r="Q550">
        <f t="shared" si="215"/>
        <v>0</v>
      </c>
      <c r="R550">
        <f t="shared" si="216"/>
        <v>0</v>
      </c>
      <c r="S550">
        <f t="shared" si="217"/>
        <v>0</v>
      </c>
      <c r="T550">
        <f t="shared" si="218"/>
        <v>0</v>
      </c>
      <c r="U550">
        <f t="shared" si="219"/>
        <v>0</v>
      </c>
      <c r="V550">
        <f t="shared" si="220"/>
        <v>0</v>
      </c>
      <c r="W550">
        <f t="shared" si="221"/>
        <v>0</v>
      </c>
      <c r="X550">
        <f t="shared" si="222"/>
        <v>0</v>
      </c>
      <c r="Y550">
        <f t="shared" si="223"/>
        <v>1</v>
      </c>
      <c r="Z550">
        <f t="shared" si="224"/>
        <v>0</v>
      </c>
      <c r="AA550">
        <f t="shared" si="225"/>
        <v>0</v>
      </c>
      <c r="AB550">
        <f t="shared" si="208"/>
        <v>0</v>
      </c>
      <c r="AC550">
        <f t="shared" si="209"/>
        <v>0</v>
      </c>
      <c r="AD550">
        <f t="shared" si="210"/>
        <v>0</v>
      </c>
      <c r="AE550">
        <f t="shared" si="211"/>
        <v>0</v>
      </c>
      <c r="AF550">
        <f t="shared" si="212"/>
        <v>0</v>
      </c>
      <c r="AG550">
        <f t="shared" si="213"/>
        <v>1</v>
      </c>
      <c r="AH550">
        <f t="shared" si="226"/>
        <v>0</v>
      </c>
      <c r="AI550">
        <f t="shared" si="231"/>
        <v>0</v>
      </c>
      <c r="AJ550">
        <f t="shared" si="231"/>
        <v>0</v>
      </c>
      <c r="AK550">
        <f t="shared" si="231"/>
        <v>1</v>
      </c>
      <c r="AL550">
        <f t="shared" si="231"/>
        <v>0</v>
      </c>
      <c r="AM550">
        <f t="shared" si="231"/>
        <v>0</v>
      </c>
      <c r="AN550">
        <f t="shared" si="231"/>
        <v>0</v>
      </c>
      <c r="AO550">
        <f t="shared" si="231"/>
        <v>0</v>
      </c>
      <c r="AP550">
        <f t="shared" si="231"/>
        <v>0</v>
      </c>
      <c r="AQ550">
        <f t="shared" si="231"/>
        <v>0</v>
      </c>
      <c r="AR550">
        <f t="shared" si="231"/>
        <v>0</v>
      </c>
      <c r="AS550">
        <f t="shared" si="231"/>
        <v>0</v>
      </c>
      <c r="AT550">
        <f t="shared" si="231"/>
        <v>0</v>
      </c>
      <c r="AU550">
        <f t="shared" si="231"/>
        <v>0</v>
      </c>
      <c r="AV550">
        <f t="shared" si="231"/>
        <v>0</v>
      </c>
      <c r="AW550">
        <f t="shared" si="231"/>
        <v>0</v>
      </c>
      <c r="AX550">
        <f t="shared" si="232"/>
        <v>0</v>
      </c>
      <c r="AY550">
        <f t="shared" si="232"/>
        <v>0</v>
      </c>
      <c r="AZ550">
        <f t="shared" si="232"/>
        <v>1</v>
      </c>
      <c r="BA550">
        <f t="shared" si="228"/>
        <v>1</v>
      </c>
      <c r="BB550">
        <f t="shared" si="229"/>
        <v>1</v>
      </c>
    </row>
    <row r="551" spans="1:54">
      <c r="A551">
        <v>548</v>
      </c>
      <c r="B551" t="s">
        <v>30</v>
      </c>
      <c r="C551" t="s">
        <v>21</v>
      </c>
      <c r="D551" t="s">
        <v>26</v>
      </c>
      <c r="E551" t="s">
        <v>30</v>
      </c>
      <c r="F551" t="s">
        <v>29</v>
      </c>
      <c r="G551" t="s">
        <v>24</v>
      </c>
      <c r="H551" s="3">
        <v>0.46721964043230602</v>
      </c>
      <c r="I551" s="3">
        <v>0.45859063879225997</v>
      </c>
      <c r="J551" s="3">
        <v>0.38017733475422899</v>
      </c>
      <c r="K551" s="3">
        <v>0.40864049646026601</v>
      </c>
      <c r="L551" s="3">
        <v>0.25910666830665602</v>
      </c>
      <c r="M551" s="3">
        <v>0.19031704357662099</v>
      </c>
      <c r="N551" s="3">
        <v>0.52776934749620596</v>
      </c>
      <c r="O551" s="3">
        <v>0.29329121402458103</v>
      </c>
      <c r="P551">
        <f t="shared" si="214"/>
        <v>0</v>
      </c>
      <c r="Q551">
        <f t="shared" si="215"/>
        <v>0</v>
      </c>
      <c r="R551">
        <f t="shared" si="216"/>
        <v>0</v>
      </c>
      <c r="S551">
        <f t="shared" si="217"/>
        <v>0</v>
      </c>
      <c r="T551">
        <f t="shared" si="218"/>
        <v>0</v>
      </c>
      <c r="U551">
        <f t="shared" si="219"/>
        <v>0</v>
      </c>
      <c r="V551">
        <f t="shared" si="220"/>
        <v>0</v>
      </c>
      <c r="W551">
        <f t="shared" si="221"/>
        <v>0</v>
      </c>
      <c r="X551">
        <f t="shared" si="222"/>
        <v>0</v>
      </c>
      <c r="Y551">
        <f t="shared" si="223"/>
        <v>0</v>
      </c>
      <c r="Z551">
        <f t="shared" si="224"/>
        <v>0</v>
      </c>
      <c r="AA551">
        <f t="shared" si="225"/>
        <v>1</v>
      </c>
      <c r="AB551">
        <f t="shared" si="208"/>
        <v>0</v>
      </c>
      <c r="AC551">
        <f t="shared" si="209"/>
        <v>0</v>
      </c>
      <c r="AD551">
        <f t="shared" si="210"/>
        <v>0</v>
      </c>
      <c r="AE551">
        <f t="shared" si="211"/>
        <v>0</v>
      </c>
      <c r="AF551">
        <f t="shared" si="212"/>
        <v>0</v>
      </c>
      <c r="AG551">
        <f t="shared" si="213"/>
        <v>1</v>
      </c>
      <c r="AH551">
        <f t="shared" si="226"/>
        <v>0</v>
      </c>
      <c r="AI551">
        <f t="shared" si="231"/>
        <v>0</v>
      </c>
      <c r="AJ551">
        <f t="shared" si="231"/>
        <v>0</v>
      </c>
      <c r="AK551">
        <f t="shared" si="231"/>
        <v>0</v>
      </c>
      <c r="AL551">
        <f t="shared" si="231"/>
        <v>1</v>
      </c>
      <c r="AM551">
        <f t="shared" si="231"/>
        <v>0</v>
      </c>
      <c r="AN551">
        <f t="shared" si="231"/>
        <v>0</v>
      </c>
      <c r="AO551">
        <f t="shared" si="231"/>
        <v>0</v>
      </c>
      <c r="AP551">
        <f t="shared" si="231"/>
        <v>0</v>
      </c>
      <c r="AQ551">
        <f t="shared" si="231"/>
        <v>0</v>
      </c>
      <c r="AR551">
        <f t="shared" si="231"/>
        <v>0</v>
      </c>
      <c r="AS551">
        <f t="shared" si="231"/>
        <v>0</v>
      </c>
      <c r="AT551">
        <f t="shared" si="231"/>
        <v>0</v>
      </c>
      <c r="AU551">
        <f t="shared" si="231"/>
        <v>0</v>
      </c>
      <c r="AV551">
        <f t="shared" si="231"/>
        <v>0</v>
      </c>
      <c r="AW551">
        <f t="shared" si="231"/>
        <v>0</v>
      </c>
      <c r="AX551">
        <f t="shared" si="232"/>
        <v>0</v>
      </c>
      <c r="AY551">
        <f t="shared" si="232"/>
        <v>0</v>
      </c>
      <c r="AZ551">
        <f t="shared" si="232"/>
        <v>1</v>
      </c>
      <c r="BA551">
        <f t="shared" si="228"/>
        <v>1</v>
      </c>
      <c r="BB551">
        <f t="shared" si="229"/>
        <v>1</v>
      </c>
    </row>
    <row r="552" spans="1:54">
      <c r="A552">
        <v>549</v>
      </c>
      <c r="B552" t="s">
        <v>30</v>
      </c>
      <c r="C552" t="s">
        <v>21</v>
      </c>
      <c r="D552" t="s">
        <v>26</v>
      </c>
      <c r="E552" t="s">
        <v>30</v>
      </c>
      <c r="F552" t="s">
        <v>29</v>
      </c>
      <c r="G552" t="s">
        <v>31</v>
      </c>
      <c r="H552" s="3">
        <v>3.7103220911361E-2</v>
      </c>
      <c r="I552" s="3">
        <v>3.5368431642676799E-2</v>
      </c>
      <c r="J552" s="3">
        <v>3.2261295416986802E-2</v>
      </c>
      <c r="K552" s="3">
        <v>3.2372279012594402E-2</v>
      </c>
      <c r="L552" s="3">
        <v>2.53787043638086E-2</v>
      </c>
      <c r="M552" s="3">
        <v>2.0674020966614599E-2</v>
      </c>
      <c r="N552" s="3">
        <v>3.9453717754172897E-2</v>
      </c>
      <c r="O552" s="3">
        <v>2.6961562962088501E-2</v>
      </c>
      <c r="P552">
        <f t="shared" si="214"/>
        <v>0</v>
      </c>
      <c r="Q552">
        <f t="shared" si="215"/>
        <v>0</v>
      </c>
      <c r="R552">
        <f t="shared" si="216"/>
        <v>0</v>
      </c>
      <c r="S552">
        <f t="shared" si="217"/>
        <v>0</v>
      </c>
      <c r="T552">
        <f t="shared" si="218"/>
        <v>0</v>
      </c>
      <c r="U552">
        <f t="shared" si="219"/>
        <v>0</v>
      </c>
      <c r="V552">
        <f t="shared" si="220"/>
        <v>0</v>
      </c>
      <c r="W552">
        <f t="shared" si="221"/>
        <v>0</v>
      </c>
      <c r="X552">
        <f t="shared" si="222"/>
        <v>0</v>
      </c>
      <c r="Y552">
        <f t="shared" si="223"/>
        <v>0</v>
      </c>
      <c r="Z552">
        <f t="shared" si="224"/>
        <v>1</v>
      </c>
      <c r="AA552">
        <f t="shared" si="225"/>
        <v>0</v>
      </c>
      <c r="AB552">
        <f t="shared" si="208"/>
        <v>0</v>
      </c>
      <c r="AC552">
        <f t="shared" si="209"/>
        <v>0</v>
      </c>
      <c r="AD552">
        <f t="shared" si="210"/>
        <v>0</v>
      </c>
      <c r="AE552">
        <f t="shared" si="211"/>
        <v>0</v>
      </c>
      <c r="AF552">
        <f t="shared" si="212"/>
        <v>0</v>
      </c>
      <c r="AG552">
        <f t="shared" si="213"/>
        <v>1</v>
      </c>
      <c r="AH552">
        <f t="shared" si="226"/>
        <v>0</v>
      </c>
      <c r="AI552">
        <f t="shared" si="231"/>
        <v>0</v>
      </c>
      <c r="AJ552">
        <f t="shared" si="231"/>
        <v>0</v>
      </c>
      <c r="AK552">
        <f t="shared" si="231"/>
        <v>0</v>
      </c>
      <c r="AL552">
        <f t="shared" si="231"/>
        <v>0</v>
      </c>
      <c r="AM552">
        <f t="shared" si="231"/>
        <v>0</v>
      </c>
      <c r="AN552">
        <f t="shared" si="231"/>
        <v>0</v>
      </c>
      <c r="AO552">
        <f t="shared" si="231"/>
        <v>0</v>
      </c>
      <c r="AP552">
        <f t="shared" si="231"/>
        <v>0</v>
      </c>
      <c r="AQ552">
        <f t="shared" si="231"/>
        <v>0</v>
      </c>
      <c r="AR552">
        <f t="shared" si="231"/>
        <v>0</v>
      </c>
      <c r="AS552">
        <f t="shared" si="231"/>
        <v>0</v>
      </c>
      <c r="AT552">
        <f t="shared" si="231"/>
        <v>0</v>
      </c>
      <c r="AU552">
        <f t="shared" si="231"/>
        <v>0</v>
      </c>
      <c r="AV552">
        <f t="shared" si="231"/>
        <v>0</v>
      </c>
      <c r="AW552">
        <f t="shared" si="231"/>
        <v>0</v>
      </c>
      <c r="AX552">
        <f t="shared" si="232"/>
        <v>0</v>
      </c>
      <c r="AY552">
        <f t="shared" si="232"/>
        <v>0</v>
      </c>
      <c r="AZ552">
        <f t="shared" si="232"/>
        <v>1</v>
      </c>
      <c r="BA552">
        <f t="shared" si="228"/>
        <v>0</v>
      </c>
      <c r="BB552">
        <f t="shared" si="229"/>
        <v>1</v>
      </c>
    </row>
    <row r="553" spans="1:54">
      <c r="A553">
        <v>550</v>
      </c>
      <c r="B553" t="s">
        <v>30</v>
      </c>
      <c r="C553" t="s">
        <v>21</v>
      </c>
      <c r="D553" t="s">
        <v>26</v>
      </c>
      <c r="E553" t="s">
        <v>30</v>
      </c>
      <c r="F553" t="s">
        <v>29</v>
      </c>
      <c r="G553" t="s">
        <v>25</v>
      </c>
      <c r="H553" s="3">
        <v>0.150768763244579</v>
      </c>
      <c r="I553" s="3">
        <v>0.14968221149080499</v>
      </c>
      <c r="J553" s="3">
        <v>0.12661556309042099</v>
      </c>
      <c r="K553" s="3">
        <v>0.13807812902323699</v>
      </c>
      <c r="L553" s="3">
        <v>0.105795999451381</v>
      </c>
      <c r="M553" s="3">
        <v>8.7262856853071294E-2</v>
      </c>
      <c r="N553" s="3">
        <v>0.165403343205662</v>
      </c>
      <c r="O553" s="3">
        <v>0.10550913136342401</v>
      </c>
      <c r="P553">
        <f t="shared" si="214"/>
        <v>0</v>
      </c>
      <c r="Q553">
        <f t="shared" si="215"/>
        <v>0</v>
      </c>
      <c r="R553">
        <f t="shared" si="216"/>
        <v>0</v>
      </c>
      <c r="S553">
        <f t="shared" si="217"/>
        <v>0</v>
      </c>
      <c r="T553">
        <f t="shared" si="218"/>
        <v>0</v>
      </c>
      <c r="U553">
        <f t="shared" si="219"/>
        <v>0</v>
      </c>
      <c r="V553">
        <f t="shared" si="220"/>
        <v>0</v>
      </c>
      <c r="W553">
        <f t="shared" si="221"/>
        <v>0</v>
      </c>
      <c r="X553">
        <f t="shared" si="222"/>
        <v>0</v>
      </c>
      <c r="Y553">
        <f t="shared" si="223"/>
        <v>0</v>
      </c>
      <c r="Z553">
        <f t="shared" si="224"/>
        <v>0</v>
      </c>
      <c r="AA553">
        <f t="shared" si="225"/>
        <v>0</v>
      </c>
      <c r="AB553">
        <f t="shared" si="208"/>
        <v>0</v>
      </c>
      <c r="AC553">
        <f t="shared" si="209"/>
        <v>0</v>
      </c>
      <c r="AD553">
        <f t="shared" si="210"/>
        <v>0</v>
      </c>
      <c r="AE553">
        <f t="shared" si="211"/>
        <v>1</v>
      </c>
      <c r="AF553">
        <f t="shared" si="212"/>
        <v>0</v>
      </c>
      <c r="AG553">
        <f t="shared" si="213"/>
        <v>1</v>
      </c>
      <c r="AH553">
        <f t="shared" si="226"/>
        <v>1</v>
      </c>
      <c r="AI553">
        <f t="shared" si="231"/>
        <v>1</v>
      </c>
      <c r="AJ553">
        <f t="shared" si="231"/>
        <v>0</v>
      </c>
      <c r="AK553">
        <f t="shared" si="231"/>
        <v>0</v>
      </c>
      <c r="AL553">
        <f t="shared" si="231"/>
        <v>0</v>
      </c>
      <c r="AM553">
        <f t="shared" si="231"/>
        <v>0</v>
      </c>
      <c r="AN553">
        <f t="shared" si="231"/>
        <v>0</v>
      </c>
      <c r="AO553">
        <f t="shared" si="231"/>
        <v>0</v>
      </c>
      <c r="AP553">
        <f t="shared" si="231"/>
        <v>0</v>
      </c>
      <c r="AQ553">
        <f t="shared" si="231"/>
        <v>0</v>
      </c>
      <c r="AR553">
        <f t="shared" si="231"/>
        <v>0</v>
      </c>
      <c r="AS553">
        <f t="shared" si="231"/>
        <v>0</v>
      </c>
      <c r="AT553">
        <f t="shared" si="231"/>
        <v>0</v>
      </c>
      <c r="AU553">
        <f t="shared" si="231"/>
        <v>0</v>
      </c>
      <c r="AV553">
        <f t="shared" si="231"/>
        <v>0</v>
      </c>
      <c r="AW553">
        <f t="shared" si="231"/>
        <v>0</v>
      </c>
      <c r="AX553">
        <f t="shared" si="232"/>
        <v>0</v>
      </c>
      <c r="AY553">
        <f t="shared" si="232"/>
        <v>0</v>
      </c>
      <c r="AZ553">
        <f t="shared" si="232"/>
        <v>1</v>
      </c>
      <c r="BA553">
        <f t="shared" si="228"/>
        <v>1</v>
      </c>
      <c r="BB553">
        <f t="shared" si="229"/>
        <v>1</v>
      </c>
    </row>
    <row r="554" spans="1:54">
      <c r="A554">
        <v>551</v>
      </c>
      <c r="B554" t="s">
        <v>30</v>
      </c>
      <c r="C554" t="s">
        <v>21</v>
      </c>
      <c r="D554" t="s">
        <v>26</v>
      </c>
      <c r="E554" t="s">
        <v>30</v>
      </c>
      <c r="F554" t="s">
        <v>29</v>
      </c>
      <c r="G554" t="s">
        <v>26</v>
      </c>
      <c r="H554" s="3">
        <v>0.154164571928227</v>
      </c>
      <c r="I554" s="3">
        <v>0.15282579947960501</v>
      </c>
      <c r="J554" s="3">
        <v>0.12944141849605401</v>
      </c>
      <c r="K554" s="3">
        <v>0.14083624866977401</v>
      </c>
      <c r="L554" s="3">
        <v>0.108151340843301</v>
      </c>
      <c r="M554" s="3">
        <v>8.9170533740608002E-2</v>
      </c>
      <c r="N554" s="3">
        <v>0.16914784394250501</v>
      </c>
      <c r="O554" s="3">
        <v>0.107819498681842</v>
      </c>
      <c r="P554">
        <f t="shared" si="214"/>
        <v>0</v>
      </c>
      <c r="Q554">
        <f t="shared" si="215"/>
        <v>0</v>
      </c>
      <c r="R554">
        <f t="shared" si="216"/>
        <v>0</v>
      </c>
      <c r="S554">
        <f t="shared" si="217"/>
        <v>0</v>
      </c>
      <c r="T554">
        <f t="shared" si="218"/>
        <v>0</v>
      </c>
      <c r="U554">
        <f t="shared" si="219"/>
        <v>0</v>
      </c>
      <c r="V554">
        <f t="shared" si="220"/>
        <v>0</v>
      </c>
      <c r="W554">
        <f t="shared" si="221"/>
        <v>0</v>
      </c>
      <c r="X554">
        <f t="shared" si="222"/>
        <v>0</v>
      </c>
      <c r="Y554">
        <f t="shared" si="223"/>
        <v>0</v>
      </c>
      <c r="Z554">
        <f t="shared" si="224"/>
        <v>0</v>
      </c>
      <c r="AA554">
        <f t="shared" si="225"/>
        <v>0</v>
      </c>
      <c r="AB554">
        <f t="shared" si="208"/>
        <v>0</v>
      </c>
      <c r="AC554">
        <f t="shared" si="209"/>
        <v>0</v>
      </c>
      <c r="AD554">
        <f t="shared" si="210"/>
        <v>0</v>
      </c>
      <c r="AE554">
        <f t="shared" si="211"/>
        <v>1</v>
      </c>
      <c r="AF554">
        <f t="shared" si="212"/>
        <v>0</v>
      </c>
      <c r="AG554">
        <f t="shared" si="213"/>
        <v>1</v>
      </c>
      <c r="AH554">
        <f t="shared" si="226"/>
        <v>1</v>
      </c>
      <c r="AI554">
        <f t="shared" si="231"/>
        <v>0</v>
      </c>
      <c r="AJ554">
        <f t="shared" si="231"/>
        <v>0</v>
      </c>
      <c r="AK554">
        <f t="shared" si="231"/>
        <v>0</v>
      </c>
      <c r="AL554">
        <f t="shared" si="231"/>
        <v>0</v>
      </c>
      <c r="AM554">
        <f t="shared" si="231"/>
        <v>0</v>
      </c>
      <c r="AN554">
        <f t="shared" si="231"/>
        <v>0</v>
      </c>
      <c r="AO554">
        <f t="shared" si="231"/>
        <v>0</v>
      </c>
      <c r="AP554">
        <f t="shared" si="231"/>
        <v>0</v>
      </c>
      <c r="AQ554">
        <f t="shared" si="231"/>
        <v>0</v>
      </c>
      <c r="AR554">
        <f t="shared" si="231"/>
        <v>0</v>
      </c>
      <c r="AS554">
        <f t="shared" si="231"/>
        <v>0</v>
      </c>
      <c r="AT554">
        <f t="shared" si="231"/>
        <v>0</v>
      </c>
      <c r="AU554">
        <f t="shared" si="231"/>
        <v>0</v>
      </c>
      <c r="AV554">
        <f t="shared" si="231"/>
        <v>0</v>
      </c>
      <c r="AW554">
        <f t="shared" si="231"/>
        <v>0</v>
      </c>
      <c r="AX554">
        <f t="shared" si="232"/>
        <v>0</v>
      </c>
      <c r="AY554">
        <f t="shared" si="232"/>
        <v>0</v>
      </c>
      <c r="AZ554">
        <f t="shared" si="232"/>
        <v>1</v>
      </c>
      <c r="BA554">
        <f t="shared" si="228"/>
        <v>0</v>
      </c>
      <c r="BB554">
        <f t="shared" si="229"/>
        <v>1</v>
      </c>
    </row>
    <row r="555" spans="1:54">
      <c r="A555">
        <v>552</v>
      </c>
      <c r="B555" t="s">
        <v>30</v>
      </c>
      <c r="C555" t="s">
        <v>21</v>
      </c>
      <c r="D555" t="s">
        <v>27</v>
      </c>
      <c r="E555" t="s">
        <v>30</v>
      </c>
      <c r="F555" t="s">
        <v>28</v>
      </c>
      <c r="G555" t="s">
        <v>22</v>
      </c>
      <c r="H555" s="3">
        <v>6.42173355468693E-2</v>
      </c>
      <c r="I555" s="3">
        <v>6.2860989504814099E-2</v>
      </c>
      <c r="J555" s="3">
        <v>5.42178219034481E-2</v>
      </c>
      <c r="K555" s="3">
        <v>5.7175871165917297E-2</v>
      </c>
      <c r="L555" s="3">
        <v>4.2250426455332897E-2</v>
      </c>
      <c r="M555" s="3">
        <v>3.3787500763917899E-2</v>
      </c>
      <c r="N555" s="3">
        <v>7.0778564206268907E-2</v>
      </c>
      <c r="O555" s="3">
        <v>4.4358466027534002E-2</v>
      </c>
      <c r="P555">
        <f t="shared" si="214"/>
        <v>1</v>
      </c>
      <c r="Q555">
        <f t="shared" si="215"/>
        <v>0</v>
      </c>
      <c r="R555">
        <f t="shared" si="216"/>
        <v>0</v>
      </c>
      <c r="S555">
        <f t="shared" si="217"/>
        <v>0</v>
      </c>
      <c r="T555">
        <f t="shared" si="218"/>
        <v>0</v>
      </c>
      <c r="U555">
        <f t="shared" si="219"/>
        <v>0</v>
      </c>
      <c r="V555">
        <f t="shared" si="220"/>
        <v>0</v>
      </c>
      <c r="W555">
        <f t="shared" si="221"/>
        <v>1</v>
      </c>
      <c r="X555">
        <f t="shared" si="222"/>
        <v>0</v>
      </c>
      <c r="Y555">
        <f t="shared" si="223"/>
        <v>0</v>
      </c>
      <c r="Z555">
        <f t="shared" si="224"/>
        <v>0</v>
      </c>
      <c r="AA555">
        <f t="shared" si="225"/>
        <v>0</v>
      </c>
      <c r="AB555">
        <f t="shared" si="208"/>
        <v>0</v>
      </c>
      <c r="AC555">
        <f t="shared" si="209"/>
        <v>0</v>
      </c>
      <c r="AD555">
        <f t="shared" si="210"/>
        <v>0</v>
      </c>
      <c r="AE555">
        <f t="shared" si="211"/>
        <v>0</v>
      </c>
      <c r="AF555">
        <f t="shared" si="212"/>
        <v>0</v>
      </c>
      <c r="AG555">
        <f t="shared" si="213"/>
        <v>1</v>
      </c>
      <c r="AH555">
        <f t="shared" si="226"/>
        <v>0</v>
      </c>
      <c r="AI555">
        <f t="shared" si="231"/>
        <v>0</v>
      </c>
      <c r="AJ555">
        <f t="shared" si="231"/>
        <v>0</v>
      </c>
      <c r="AK555">
        <f t="shared" si="231"/>
        <v>0</v>
      </c>
      <c r="AL555">
        <f t="shared" si="231"/>
        <v>0</v>
      </c>
      <c r="AM555">
        <f t="shared" si="231"/>
        <v>0</v>
      </c>
      <c r="AN555">
        <f t="shared" si="231"/>
        <v>0</v>
      </c>
      <c r="AO555">
        <f t="shared" si="231"/>
        <v>0</v>
      </c>
      <c r="AP555">
        <f t="shared" si="231"/>
        <v>0</v>
      </c>
      <c r="AQ555">
        <f t="shared" si="231"/>
        <v>0</v>
      </c>
      <c r="AR555">
        <f t="shared" si="231"/>
        <v>0</v>
      </c>
      <c r="AS555">
        <f t="shared" si="231"/>
        <v>0</v>
      </c>
      <c r="AT555">
        <f t="shared" si="231"/>
        <v>1</v>
      </c>
      <c r="AU555">
        <f t="shared" si="231"/>
        <v>0</v>
      </c>
      <c r="AV555">
        <f t="shared" si="231"/>
        <v>0</v>
      </c>
      <c r="AW555">
        <f t="shared" si="231"/>
        <v>0</v>
      </c>
      <c r="AX555">
        <f t="shared" si="232"/>
        <v>1</v>
      </c>
      <c r="AY555">
        <f t="shared" si="232"/>
        <v>0</v>
      </c>
      <c r="AZ555">
        <f t="shared" si="232"/>
        <v>0</v>
      </c>
      <c r="BA555">
        <f t="shared" si="228"/>
        <v>0</v>
      </c>
      <c r="BB555">
        <f t="shared" si="229"/>
        <v>0</v>
      </c>
    </row>
    <row r="556" spans="1:54">
      <c r="A556">
        <v>553</v>
      </c>
      <c r="B556" t="s">
        <v>30</v>
      </c>
      <c r="C556" t="s">
        <v>21</v>
      </c>
      <c r="D556" t="s">
        <v>27</v>
      </c>
      <c r="E556" t="s">
        <v>30</v>
      </c>
      <c r="F556" t="s">
        <v>28</v>
      </c>
      <c r="G556" t="s">
        <v>23</v>
      </c>
      <c r="H556" s="3">
        <v>7.63575525795058E-2</v>
      </c>
      <c r="I556" s="3">
        <v>7.4400606404947195E-2</v>
      </c>
      <c r="J556" s="3">
        <v>6.3575528133450701E-2</v>
      </c>
      <c r="K556" s="3">
        <v>6.7533036937237098E-2</v>
      </c>
      <c r="L556" s="3">
        <v>4.9141906480318097E-2</v>
      </c>
      <c r="M556" s="3">
        <v>3.9039755225156902E-2</v>
      </c>
      <c r="N556" s="3">
        <v>8.3923154701718905E-2</v>
      </c>
      <c r="O556" s="3">
        <v>5.0847119120323699E-2</v>
      </c>
      <c r="P556">
        <f t="shared" si="214"/>
        <v>0</v>
      </c>
      <c r="Q556">
        <f t="shared" si="215"/>
        <v>1</v>
      </c>
      <c r="R556">
        <f t="shared" si="216"/>
        <v>0</v>
      </c>
      <c r="S556">
        <f t="shared" si="217"/>
        <v>0</v>
      </c>
      <c r="T556">
        <f t="shared" si="218"/>
        <v>0</v>
      </c>
      <c r="U556">
        <f t="shared" si="219"/>
        <v>0</v>
      </c>
      <c r="V556">
        <f t="shared" si="220"/>
        <v>0</v>
      </c>
      <c r="W556">
        <f t="shared" si="221"/>
        <v>1</v>
      </c>
      <c r="X556">
        <f t="shared" si="222"/>
        <v>0</v>
      </c>
      <c r="Y556">
        <f t="shared" si="223"/>
        <v>0</v>
      </c>
      <c r="Z556">
        <f t="shared" si="224"/>
        <v>0</v>
      </c>
      <c r="AA556">
        <f t="shared" si="225"/>
        <v>0</v>
      </c>
      <c r="AB556">
        <f t="shared" si="208"/>
        <v>0</v>
      </c>
      <c r="AC556">
        <f t="shared" si="209"/>
        <v>0</v>
      </c>
      <c r="AD556">
        <f t="shared" si="210"/>
        <v>0</v>
      </c>
      <c r="AE556">
        <f t="shared" si="211"/>
        <v>0</v>
      </c>
      <c r="AF556">
        <f t="shared" si="212"/>
        <v>0</v>
      </c>
      <c r="AG556">
        <f t="shared" si="213"/>
        <v>1</v>
      </c>
      <c r="AH556">
        <f t="shared" si="226"/>
        <v>0</v>
      </c>
      <c r="AI556">
        <f t="shared" si="231"/>
        <v>0</v>
      </c>
      <c r="AJ556">
        <f t="shared" si="231"/>
        <v>0</v>
      </c>
      <c r="AK556">
        <f t="shared" si="231"/>
        <v>0</v>
      </c>
      <c r="AL556">
        <f t="shared" si="231"/>
        <v>0</v>
      </c>
      <c r="AM556">
        <f t="shared" si="231"/>
        <v>0</v>
      </c>
      <c r="AN556">
        <f t="shared" si="231"/>
        <v>0</v>
      </c>
      <c r="AO556">
        <f t="shared" si="231"/>
        <v>0</v>
      </c>
      <c r="AP556">
        <f t="shared" si="231"/>
        <v>0</v>
      </c>
      <c r="AQ556">
        <f t="shared" si="231"/>
        <v>0</v>
      </c>
      <c r="AR556">
        <f t="shared" si="231"/>
        <v>0</v>
      </c>
      <c r="AS556">
        <f t="shared" si="231"/>
        <v>0</v>
      </c>
      <c r="AT556">
        <f t="shared" si="231"/>
        <v>0</v>
      </c>
      <c r="AU556">
        <f t="shared" si="231"/>
        <v>0</v>
      </c>
      <c r="AV556">
        <f t="shared" si="231"/>
        <v>1</v>
      </c>
      <c r="AW556">
        <f t="shared" si="231"/>
        <v>0</v>
      </c>
      <c r="AX556">
        <f t="shared" si="232"/>
        <v>1</v>
      </c>
      <c r="AY556">
        <f t="shared" si="232"/>
        <v>0</v>
      </c>
      <c r="AZ556">
        <f t="shared" si="232"/>
        <v>0</v>
      </c>
      <c r="BA556">
        <f t="shared" si="228"/>
        <v>0</v>
      </c>
      <c r="BB556">
        <f t="shared" si="229"/>
        <v>0</v>
      </c>
    </row>
    <row r="557" spans="1:54">
      <c r="A557">
        <v>554</v>
      </c>
      <c r="B557" t="s">
        <v>30</v>
      </c>
      <c r="C557" t="s">
        <v>21</v>
      </c>
      <c r="D557" t="s">
        <v>27</v>
      </c>
      <c r="E557" t="s">
        <v>30</v>
      </c>
      <c r="F557" t="s">
        <v>28</v>
      </c>
      <c r="G557" t="s">
        <v>24</v>
      </c>
      <c r="H557" s="3">
        <v>0.259426059058734</v>
      </c>
      <c r="I557" s="3">
        <v>0.25703886212112598</v>
      </c>
      <c r="J557" s="3">
        <v>0.200705029441058</v>
      </c>
      <c r="K557" s="3">
        <v>0.215947891716334</v>
      </c>
      <c r="L557" s="3">
        <v>0.16037078553786199</v>
      </c>
      <c r="M557" s="3">
        <v>0.120927133316053</v>
      </c>
      <c r="N557" s="3">
        <v>0.39339697692919601</v>
      </c>
      <c r="O557" s="3">
        <v>0.15391241125489699</v>
      </c>
      <c r="P557">
        <f t="shared" si="214"/>
        <v>0</v>
      </c>
      <c r="Q557">
        <f t="shared" si="215"/>
        <v>0</v>
      </c>
      <c r="R557">
        <f t="shared" si="216"/>
        <v>1</v>
      </c>
      <c r="S557">
        <f t="shared" si="217"/>
        <v>0</v>
      </c>
      <c r="T557">
        <f t="shared" si="218"/>
        <v>0</v>
      </c>
      <c r="U557">
        <f t="shared" si="219"/>
        <v>0</v>
      </c>
      <c r="V557">
        <f t="shared" si="220"/>
        <v>0</v>
      </c>
      <c r="W557">
        <f t="shared" si="221"/>
        <v>1</v>
      </c>
      <c r="X557">
        <f t="shared" si="222"/>
        <v>0</v>
      </c>
      <c r="Y557">
        <f t="shared" si="223"/>
        <v>0</v>
      </c>
      <c r="Z557">
        <f t="shared" si="224"/>
        <v>0</v>
      </c>
      <c r="AA557">
        <f t="shared" si="225"/>
        <v>0</v>
      </c>
      <c r="AB557">
        <f t="shared" si="208"/>
        <v>0</v>
      </c>
      <c r="AC557">
        <f t="shared" si="209"/>
        <v>0</v>
      </c>
      <c r="AD557">
        <f t="shared" si="210"/>
        <v>1</v>
      </c>
      <c r="AE557">
        <f t="shared" si="211"/>
        <v>0</v>
      </c>
      <c r="AF557">
        <f t="shared" si="212"/>
        <v>0</v>
      </c>
      <c r="AG557">
        <f t="shared" si="213"/>
        <v>1</v>
      </c>
      <c r="AH557">
        <f t="shared" si="226"/>
        <v>1</v>
      </c>
      <c r="AI557">
        <f t="shared" si="231"/>
        <v>0</v>
      </c>
      <c r="AJ557">
        <f t="shared" si="231"/>
        <v>0</v>
      </c>
      <c r="AK557">
        <f t="shared" si="231"/>
        <v>0</v>
      </c>
      <c r="AL557">
        <f t="shared" si="231"/>
        <v>0</v>
      </c>
      <c r="AM557">
        <f t="shared" si="231"/>
        <v>0</v>
      </c>
      <c r="AN557">
        <f t="shared" si="231"/>
        <v>0</v>
      </c>
      <c r="AO557">
        <f t="shared" si="231"/>
        <v>0</v>
      </c>
      <c r="AP557">
        <f t="shared" si="231"/>
        <v>0</v>
      </c>
      <c r="AQ557">
        <f t="shared" si="231"/>
        <v>0</v>
      </c>
      <c r="AR557">
        <f t="shared" si="231"/>
        <v>0</v>
      </c>
      <c r="AS557">
        <f t="shared" si="231"/>
        <v>0</v>
      </c>
      <c r="AT557">
        <f t="shared" si="231"/>
        <v>0</v>
      </c>
      <c r="AU557">
        <f t="shared" si="231"/>
        <v>0</v>
      </c>
      <c r="AV557">
        <f t="shared" si="231"/>
        <v>0</v>
      </c>
      <c r="AW557">
        <f t="shared" si="231"/>
        <v>1</v>
      </c>
      <c r="AX557">
        <f t="shared" si="232"/>
        <v>1</v>
      </c>
      <c r="AY557">
        <f t="shared" si="232"/>
        <v>0</v>
      </c>
      <c r="AZ557">
        <f t="shared" si="232"/>
        <v>0</v>
      </c>
      <c r="BA557">
        <f t="shared" si="228"/>
        <v>0</v>
      </c>
      <c r="BB557">
        <f t="shared" si="229"/>
        <v>0</v>
      </c>
    </row>
    <row r="558" spans="1:54">
      <c r="A558">
        <v>555</v>
      </c>
      <c r="B558" t="s">
        <v>30</v>
      </c>
      <c r="C558" t="s">
        <v>21</v>
      </c>
      <c r="D558" t="s">
        <v>27</v>
      </c>
      <c r="E558" t="s">
        <v>30</v>
      </c>
      <c r="F558" t="s">
        <v>28</v>
      </c>
      <c r="G558" t="s">
        <v>25</v>
      </c>
      <c r="H558" s="3">
        <v>0.248137045867594</v>
      </c>
      <c r="I558" s="3">
        <v>0.23516839617925001</v>
      </c>
      <c r="J558" s="3">
        <v>0.209238286331698</v>
      </c>
      <c r="K558" s="3">
        <v>0.20901582926660001</v>
      </c>
      <c r="L558" s="3">
        <v>0.18068261950928699</v>
      </c>
      <c r="M558" s="3">
        <v>0.14648978388091799</v>
      </c>
      <c r="N558" s="3">
        <v>0.29243051448846802</v>
      </c>
      <c r="O558" s="3">
        <v>0.17505290728193801</v>
      </c>
      <c r="P558">
        <f t="shared" si="214"/>
        <v>0</v>
      </c>
      <c r="Q558">
        <f t="shared" si="215"/>
        <v>0</v>
      </c>
      <c r="R558">
        <f t="shared" si="216"/>
        <v>0</v>
      </c>
      <c r="S558">
        <f t="shared" si="217"/>
        <v>0</v>
      </c>
      <c r="T558">
        <f t="shared" si="218"/>
        <v>0</v>
      </c>
      <c r="U558">
        <f t="shared" si="219"/>
        <v>0</v>
      </c>
      <c r="V558">
        <f t="shared" si="220"/>
        <v>0</v>
      </c>
      <c r="W558">
        <f t="shared" si="221"/>
        <v>1</v>
      </c>
      <c r="X558">
        <f t="shared" si="222"/>
        <v>0</v>
      </c>
      <c r="Y558">
        <f t="shared" si="223"/>
        <v>0</v>
      </c>
      <c r="Z558">
        <f t="shared" si="224"/>
        <v>0</v>
      </c>
      <c r="AA558">
        <f t="shared" si="225"/>
        <v>0</v>
      </c>
      <c r="AB558">
        <f t="shared" si="208"/>
        <v>0</v>
      </c>
      <c r="AC558">
        <f t="shared" si="209"/>
        <v>0</v>
      </c>
      <c r="AD558">
        <f t="shared" si="210"/>
        <v>0</v>
      </c>
      <c r="AE558">
        <f t="shared" si="211"/>
        <v>0</v>
      </c>
      <c r="AF558">
        <f t="shared" si="212"/>
        <v>0</v>
      </c>
      <c r="AG558">
        <f t="shared" si="213"/>
        <v>1</v>
      </c>
      <c r="AH558">
        <f t="shared" si="226"/>
        <v>0</v>
      </c>
      <c r="AI558">
        <f t="shared" si="231"/>
        <v>0</v>
      </c>
      <c r="AJ558">
        <f t="shared" si="231"/>
        <v>0</v>
      </c>
      <c r="AK558">
        <f t="shared" si="231"/>
        <v>0</v>
      </c>
      <c r="AL558">
        <f t="shared" si="231"/>
        <v>0</v>
      </c>
      <c r="AM558">
        <f t="shared" si="231"/>
        <v>0</v>
      </c>
      <c r="AN558">
        <f t="shared" si="231"/>
        <v>0</v>
      </c>
      <c r="AO558">
        <f t="shared" si="231"/>
        <v>0</v>
      </c>
      <c r="AP558">
        <f t="shared" si="231"/>
        <v>0</v>
      </c>
      <c r="AQ558">
        <f t="shared" si="231"/>
        <v>1</v>
      </c>
      <c r="AR558">
        <f t="shared" si="231"/>
        <v>0</v>
      </c>
      <c r="AS558">
        <f t="shared" si="231"/>
        <v>0</v>
      </c>
      <c r="AT558">
        <f t="shared" si="231"/>
        <v>0</v>
      </c>
      <c r="AU558">
        <f t="shared" si="231"/>
        <v>0</v>
      </c>
      <c r="AV558">
        <f t="shared" si="231"/>
        <v>0</v>
      </c>
      <c r="AW558">
        <f t="shared" si="231"/>
        <v>0</v>
      </c>
      <c r="AX558">
        <f t="shared" si="232"/>
        <v>1</v>
      </c>
      <c r="AY558">
        <f t="shared" si="232"/>
        <v>0</v>
      </c>
      <c r="AZ558">
        <f t="shared" si="232"/>
        <v>0</v>
      </c>
      <c r="BA558">
        <f t="shared" si="228"/>
        <v>1</v>
      </c>
      <c r="BB558">
        <f t="shared" si="229"/>
        <v>0</v>
      </c>
    </row>
    <row r="559" spans="1:54">
      <c r="A559">
        <v>556</v>
      </c>
      <c r="B559" t="s">
        <v>30</v>
      </c>
      <c r="C559" t="s">
        <v>21</v>
      </c>
      <c r="D559" t="s">
        <v>27</v>
      </c>
      <c r="E559" t="s">
        <v>30</v>
      </c>
      <c r="F559" t="s">
        <v>28</v>
      </c>
      <c r="G559" t="s">
        <v>26</v>
      </c>
      <c r="H559" s="3">
        <v>0.25200092027992499</v>
      </c>
      <c r="I559" s="3">
        <v>0.238574999194337</v>
      </c>
      <c r="J559" s="3">
        <v>0.212352148830944</v>
      </c>
      <c r="K559" s="3">
        <v>0.21202165462066799</v>
      </c>
      <c r="L559" s="3">
        <v>0.183182461370304</v>
      </c>
      <c r="M559" s="3">
        <v>0.14846617490993499</v>
      </c>
      <c r="N559" s="3">
        <v>0.29690783548483901</v>
      </c>
      <c r="O559" s="3">
        <v>0.17753865217086001</v>
      </c>
      <c r="P559">
        <f t="shared" si="214"/>
        <v>0</v>
      </c>
      <c r="Q559">
        <f t="shared" si="215"/>
        <v>0</v>
      </c>
      <c r="R559">
        <f t="shared" si="216"/>
        <v>0</v>
      </c>
      <c r="S559">
        <f t="shared" si="217"/>
        <v>0</v>
      </c>
      <c r="T559">
        <f t="shared" si="218"/>
        <v>0</v>
      </c>
      <c r="U559">
        <f t="shared" si="219"/>
        <v>0</v>
      </c>
      <c r="V559">
        <f t="shared" si="220"/>
        <v>0</v>
      </c>
      <c r="W559">
        <f t="shared" si="221"/>
        <v>1</v>
      </c>
      <c r="X559">
        <f t="shared" si="222"/>
        <v>0</v>
      </c>
      <c r="Y559">
        <f t="shared" si="223"/>
        <v>0</v>
      </c>
      <c r="Z559">
        <f t="shared" si="224"/>
        <v>0</v>
      </c>
      <c r="AA559">
        <f t="shared" si="225"/>
        <v>0</v>
      </c>
      <c r="AB559">
        <f t="shared" si="208"/>
        <v>0</v>
      </c>
      <c r="AC559">
        <f t="shared" si="209"/>
        <v>0</v>
      </c>
      <c r="AD559">
        <f t="shared" si="210"/>
        <v>0</v>
      </c>
      <c r="AE559">
        <f t="shared" si="211"/>
        <v>0</v>
      </c>
      <c r="AF559">
        <f t="shared" si="212"/>
        <v>0</v>
      </c>
      <c r="AG559">
        <f t="shared" si="213"/>
        <v>1</v>
      </c>
      <c r="AH559">
        <f t="shared" si="226"/>
        <v>0</v>
      </c>
      <c r="AI559">
        <f t="shared" si="231"/>
        <v>0</v>
      </c>
      <c r="AJ559">
        <f t="shared" si="231"/>
        <v>0</v>
      </c>
      <c r="AK559">
        <f t="shared" si="231"/>
        <v>0</v>
      </c>
      <c r="AL559">
        <f t="shared" si="231"/>
        <v>0</v>
      </c>
      <c r="AM559">
        <f t="shared" si="231"/>
        <v>1</v>
      </c>
      <c r="AN559">
        <f t="shared" si="231"/>
        <v>0</v>
      </c>
      <c r="AO559">
        <f t="shared" si="231"/>
        <v>0</v>
      </c>
      <c r="AP559">
        <f t="shared" si="231"/>
        <v>0</v>
      </c>
      <c r="AQ559">
        <f t="shared" si="231"/>
        <v>0</v>
      </c>
      <c r="AR559">
        <f t="shared" si="231"/>
        <v>0</v>
      </c>
      <c r="AS559">
        <f t="shared" si="231"/>
        <v>0</v>
      </c>
      <c r="AT559">
        <f t="shared" si="231"/>
        <v>0</v>
      </c>
      <c r="AU559">
        <f t="shared" si="231"/>
        <v>0</v>
      </c>
      <c r="AV559">
        <f t="shared" si="231"/>
        <v>0</v>
      </c>
      <c r="AW559">
        <f t="shared" si="231"/>
        <v>0</v>
      </c>
      <c r="AX559">
        <f t="shared" si="232"/>
        <v>1</v>
      </c>
      <c r="AY559">
        <f t="shared" si="232"/>
        <v>0</v>
      </c>
      <c r="AZ559">
        <f t="shared" si="232"/>
        <v>0</v>
      </c>
      <c r="BA559">
        <f t="shared" si="228"/>
        <v>1</v>
      </c>
      <c r="BB559">
        <f t="shared" si="229"/>
        <v>0</v>
      </c>
    </row>
    <row r="560" spans="1:54">
      <c r="A560">
        <v>557</v>
      </c>
      <c r="B560" t="s">
        <v>30</v>
      </c>
      <c r="C560" t="s">
        <v>21</v>
      </c>
      <c r="D560" t="s">
        <v>27</v>
      </c>
      <c r="E560" t="s">
        <v>30</v>
      </c>
      <c r="F560" t="s">
        <v>28</v>
      </c>
      <c r="G560" t="s">
        <v>27</v>
      </c>
      <c r="H560" s="3">
        <v>0.75850802502559</v>
      </c>
      <c r="I560" s="3">
        <v>0.75735520291230296</v>
      </c>
      <c r="J560" s="3">
        <v>0.69234634051342303</v>
      </c>
      <c r="K560" s="3">
        <v>0.71780066059970005</v>
      </c>
      <c r="L560" s="3">
        <v>0.67855727495529905</v>
      </c>
      <c r="M560" s="3">
        <v>0.61939363737537001</v>
      </c>
      <c r="N560" s="3">
        <v>0.81533388293487197</v>
      </c>
      <c r="O560" s="3">
        <v>0.64842966398708801</v>
      </c>
      <c r="P560">
        <f t="shared" si="214"/>
        <v>0</v>
      </c>
      <c r="Q560">
        <f t="shared" si="215"/>
        <v>0</v>
      </c>
      <c r="R560">
        <f t="shared" si="216"/>
        <v>0</v>
      </c>
      <c r="S560">
        <f t="shared" si="217"/>
        <v>1</v>
      </c>
      <c r="T560">
        <f t="shared" si="218"/>
        <v>0</v>
      </c>
      <c r="U560">
        <f t="shared" si="219"/>
        <v>0</v>
      </c>
      <c r="V560">
        <f t="shared" si="220"/>
        <v>0</v>
      </c>
      <c r="W560">
        <f t="shared" si="221"/>
        <v>1</v>
      </c>
      <c r="X560">
        <f t="shared" si="222"/>
        <v>0</v>
      </c>
      <c r="Y560">
        <f t="shared" si="223"/>
        <v>0</v>
      </c>
      <c r="Z560">
        <f t="shared" si="224"/>
        <v>0</v>
      </c>
      <c r="AA560">
        <f t="shared" si="225"/>
        <v>0</v>
      </c>
      <c r="AB560">
        <f t="shared" si="208"/>
        <v>0</v>
      </c>
      <c r="AC560">
        <f t="shared" si="209"/>
        <v>0</v>
      </c>
      <c r="AD560">
        <f t="shared" si="210"/>
        <v>1</v>
      </c>
      <c r="AE560">
        <f t="shared" si="211"/>
        <v>0</v>
      </c>
      <c r="AF560">
        <f t="shared" si="212"/>
        <v>0</v>
      </c>
      <c r="AG560">
        <f t="shared" si="213"/>
        <v>1</v>
      </c>
      <c r="AH560">
        <f t="shared" si="226"/>
        <v>1</v>
      </c>
      <c r="AI560">
        <f t="shared" si="231"/>
        <v>0</v>
      </c>
      <c r="AJ560">
        <f t="shared" si="231"/>
        <v>0</v>
      </c>
      <c r="AK560">
        <f t="shared" si="231"/>
        <v>0</v>
      </c>
      <c r="AL560">
        <f t="shared" si="231"/>
        <v>0</v>
      </c>
      <c r="AM560">
        <f t="shared" si="231"/>
        <v>0</v>
      </c>
      <c r="AN560">
        <f t="shared" si="231"/>
        <v>0</v>
      </c>
      <c r="AO560">
        <f t="shared" si="231"/>
        <v>0</v>
      </c>
      <c r="AP560">
        <f t="shared" si="231"/>
        <v>0</v>
      </c>
      <c r="AQ560">
        <f t="shared" si="231"/>
        <v>0</v>
      </c>
      <c r="AR560">
        <f t="shared" si="231"/>
        <v>0</v>
      </c>
      <c r="AS560">
        <f t="shared" si="231"/>
        <v>0</v>
      </c>
      <c r="AT560">
        <f t="shared" si="231"/>
        <v>0</v>
      </c>
      <c r="AU560">
        <f t="shared" si="231"/>
        <v>0</v>
      </c>
      <c r="AV560">
        <f t="shared" si="231"/>
        <v>0</v>
      </c>
      <c r="AW560">
        <f t="shared" si="231"/>
        <v>0</v>
      </c>
      <c r="AX560">
        <f t="shared" si="232"/>
        <v>1</v>
      </c>
      <c r="AY560">
        <f t="shared" si="232"/>
        <v>0</v>
      </c>
      <c r="AZ560">
        <f t="shared" si="232"/>
        <v>0</v>
      </c>
      <c r="BA560">
        <f t="shared" si="228"/>
        <v>0</v>
      </c>
      <c r="BB560">
        <f t="shared" si="229"/>
        <v>0</v>
      </c>
    </row>
    <row r="561" spans="1:54">
      <c r="A561">
        <v>558</v>
      </c>
      <c r="B561" t="s">
        <v>30</v>
      </c>
      <c r="C561" t="s">
        <v>21</v>
      </c>
      <c r="D561" t="s">
        <v>27</v>
      </c>
      <c r="E561" t="s">
        <v>30</v>
      </c>
      <c r="F561" t="s">
        <v>29</v>
      </c>
      <c r="G561" t="s">
        <v>22</v>
      </c>
      <c r="H561" s="3">
        <v>0.30776906162721301</v>
      </c>
      <c r="I561" s="3">
        <v>0.292275532840305</v>
      </c>
      <c r="J561" s="3">
        <v>0.25922282116644102</v>
      </c>
      <c r="K561" s="3">
        <v>0.25345715942609898</v>
      </c>
      <c r="L561" s="3">
        <v>0.221371392796471</v>
      </c>
      <c r="M561" s="3">
        <v>0.17381656542884</v>
      </c>
      <c r="N561" s="3">
        <v>0.38082402772429702</v>
      </c>
      <c r="O561" s="3">
        <v>0.210323880241612</v>
      </c>
      <c r="P561">
        <f t="shared" si="214"/>
        <v>0</v>
      </c>
      <c r="Q561">
        <f t="shared" si="215"/>
        <v>0</v>
      </c>
      <c r="R561">
        <f t="shared" si="216"/>
        <v>0</v>
      </c>
      <c r="S561">
        <f t="shared" si="217"/>
        <v>0</v>
      </c>
      <c r="T561">
        <f t="shared" si="218"/>
        <v>0</v>
      </c>
      <c r="U561">
        <f t="shared" si="219"/>
        <v>0</v>
      </c>
      <c r="V561">
        <f t="shared" si="220"/>
        <v>0</v>
      </c>
      <c r="W561">
        <f t="shared" si="221"/>
        <v>1</v>
      </c>
      <c r="X561">
        <f t="shared" si="222"/>
        <v>1</v>
      </c>
      <c r="Y561">
        <f t="shared" si="223"/>
        <v>0</v>
      </c>
      <c r="Z561">
        <f t="shared" si="224"/>
        <v>0</v>
      </c>
      <c r="AA561">
        <f t="shared" si="225"/>
        <v>0</v>
      </c>
      <c r="AB561">
        <f t="shared" si="208"/>
        <v>0</v>
      </c>
      <c r="AC561">
        <f t="shared" si="209"/>
        <v>0</v>
      </c>
      <c r="AD561">
        <f t="shared" si="210"/>
        <v>0</v>
      </c>
      <c r="AE561">
        <f t="shared" si="211"/>
        <v>0</v>
      </c>
      <c r="AF561">
        <f t="shared" si="212"/>
        <v>0</v>
      </c>
      <c r="AG561">
        <f t="shared" si="213"/>
        <v>1</v>
      </c>
      <c r="AH561">
        <f t="shared" si="226"/>
        <v>0</v>
      </c>
      <c r="AI561">
        <f t="shared" si="231"/>
        <v>0</v>
      </c>
      <c r="AJ561">
        <f t="shared" si="231"/>
        <v>0</v>
      </c>
      <c r="AK561">
        <f t="shared" si="231"/>
        <v>0</v>
      </c>
      <c r="AL561">
        <f t="shared" si="231"/>
        <v>0</v>
      </c>
      <c r="AM561">
        <f t="shared" si="231"/>
        <v>0</v>
      </c>
      <c r="AN561">
        <f t="shared" si="231"/>
        <v>0</v>
      </c>
      <c r="AO561">
        <f t="shared" si="231"/>
        <v>0</v>
      </c>
      <c r="AP561">
        <f t="shared" si="231"/>
        <v>0</v>
      </c>
      <c r="AQ561">
        <f t="shared" si="231"/>
        <v>0</v>
      </c>
      <c r="AR561">
        <f t="shared" si="231"/>
        <v>0</v>
      </c>
      <c r="AS561">
        <f t="shared" si="231"/>
        <v>0</v>
      </c>
      <c r="AT561">
        <f t="shared" si="231"/>
        <v>1</v>
      </c>
      <c r="AU561">
        <f t="shared" si="231"/>
        <v>0</v>
      </c>
      <c r="AV561">
        <f t="shared" si="231"/>
        <v>0</v>
      </c>
      <c r="AW561">
        <f t="shared" si="231"/>
        <v>0</v>
      </c>
      <c r="AX561">
        <f t="shared" si="232"/>
        <v>0</v>
      </c>
      <c r="AY561">
        <f t="shared" si="232"/>
        <v>0</v>
      </c>
      <c r="AZ561">
        <f t="shared" si="232"/>
        <v>1</v>
      </c>
      <c r="BA561">
        <f t="shared" si="228"/>
        <v>0</v>
      </c>
      <c r="BB561">
        <f t="shared" si="229"/>
        <v>1</v>
      </c>
    </row>
    <row r="562" spans="1:54">
      <c r="A562">
        <v>559</v>
      </c>
      <c r="B562" t="s">
        <v>30</v>
      </c>
      <c r="C562" t="s">
        <v>21</v>
      </c>
      <c r="D562" t="s">
        <v>27</v>
      </c>
      <c r="E562" t="s">
        <v>30</v>
      </c>
      <c r="F562" t="s">
        <v>29</v>
      </c>
      <c r="G562" t="s">
        <v>23</v>
      </c>
      <c r="H562" s="3">
        <v>9.8325505445494996E-2</v>
      </c>
      <c r="I562" s="3">
        <v>9.4758736518466405E-2</v>
      </c>
      <c r="J562" s="3">
        <v>8.2718411326560798E-2</v>
      </c>
      <c r="K562" s="3">
        <v>8.5120503263043795E-2</v>
      </c>
      <c r="L562" s="3">
        <v>6.2999724481955593E-2</v>
      </c>
      <c r="M562" s="3">
        <v>4.9569053316678803E-2</v>
      </c>
      <c r="N562" s="3">
        <v>0.108190091001011</v>
      </c>
      <c r="O562" s="3">
        <v>6.6197959262027498E-2</v>
      </c>
      <c r="P562">
        <f t="shared" si="214"/>
        <v>0</v>
      </c>
      <c r="Q562">
        <f t="shared" si="215"/>
        <v>0</v>
      </c>
      <c r="R562">
        <f t="shared" si="216"/>
        <v>0</v>
      </c>
      <c r="S562">
        <f t="shared" si="217"/>
        <v>0</v>
      </c>
      <c r="T562">
        <f t="shared" si="218"/>
        <v>0</v>
      </c>
      <c r="U562">
        <f t="shared" si="219"/>
        <v>0</v>
      </c>
      <c r="V562">
        <f t="shared" si="220"/>
        <v>0</v>
      </c>
      <c r="W562">
        <f t="shared" si="221"/>
        <v>1</v>
      </c>
      <c r="X562">
        <f t="shared" si="222"/>
        <v>0</v>
      </c>
      <c r="Y562">
        <f t="shared" si="223"/>
        <v>1</v>
      </c>
      <c r="Z562">
        <f t="shared" si="224"/>
        <v>0</v>
      </c>
      <c r="AA562">
        <f t="shared" si="225"/>
        <v>0</v>
      </c>
      <c r="AB562">
        <f t="shared" si="208"/>
        <v>0</v>
      </c>
      <c r="AC562">
        <f t="shared" si="209"/>
        <v>0</v>
      </c>
      <c r="AD562">
        <f t="shared" si="210"/>
        <v>0</v>
      </c>
      <c r="AE562">
        <f t="shared" si="211"/>
        <v>0</v>
      </c>
      <c r="AF562">
        <f t="shared" si="212"/>
        <v>0</v>
      </c>
      <c r="AG562">
        <f t="shared" si="213"/>
        <v>1</v>
      </c>
      <c r="AH562">
        <f t="shared" si="226"/>
        <v>0</v>
      </c>
      <c r="AI562">
        <f t="shared" ref="AI562:AW578" si="233">IF(OR(AND($D562=AI$1,$G562=AI$2),AND($D562=AI$2,$G562=AI$1)),1,0)</f>
        <v>0</v>
      </c>
      <c r="AJ562">
        <f t="shared" si="233"/>
        <v>0</v>
      </c>
      <c r="AK562">
        <f t="shared" si="233"/>
        <v>0</v>
      </c>
      <c r="AL562">
        <f t="shared" si="233"/>
        <v>0</v>
      </c>
      <c r="AM562">
        <f t="shared" si="233"/>
        <v>0</v>
      </c>
      <c r="AN562">
        <f t="shared" si="233"/>
        <v>0</v>
      </c>
      <c r="AO562">
        <f t="shared" si="233"/>
        <v>0</v>
      </c>
      <c r="AP562">
        <f t="shared" si="233"/>
        <v>0</v>
      </c>
      <c r="AQ562">
        <f t="shared" si="233"/>
        <v>0</v>
      </c>
      <c r="AR562">
        <f t="shared" si="233"/>
        <v>0</v>
      </c>
      <c r="AS562">
        <f t="shared" si="233"/>
        <v>0</v>
      </c>
      <c r="AT562">
        <f t="shared" si="233"/>
        <v>0</v>
      </c>
      <c r="AU562">
        <f t="shared" si="233"/>
        <v>0</v>
      </c>
      <c r="AV562">
        <f t="shared" si="233"/>
        <v>1</v>
      </c>
      <c r="AW562">
        <f t="shared" si="233"/>
        <v>0</v>
      </c>
      <c r="AX562">
        <f t="shared" si="232"/>
        <v>0</v>
      </c>
      <c r="AY562">
        <f t="shared" si="232"/>
        <v>0</v>
      </c>
      <c r="AZ562">
        <f t="shared" si="232"/>
        <v>1</v>
      </c>
      <c r="BA562">
        <f t="shared" si="228"/>
        <v>0</v>
      </c>
      <c r="BB562">
        <f t="shared" si="229"/>
        <v>1</v>
      </c>
    </row>
    <row r="563" spans="1:54">
      <c r="A563">
        <v>560</v>
      </c>
      <c r="B563" t="s">
        <v>30</v>
      </c>
      <c r="C563" t="s">
        <v>21</v>
      </c>
      <c r="D563" t="s">
        <v>27</v>
      </c>
      <c r="E563" t="s">
        <v>30</v>
      </c>
      <c r="F563" t="s">
        <v>29</v>
      </c>
      <c r="G563" t="s">
        <v>24</v>
      </c>
      <c r="H563" s="3">
        <v>0.36256655634205598</v>
      </c>
      <c r="I563" s="3">
        <v>0.34172740152425801</v>
      </c>
      <c r="J563" s="3">
        <v>0.27331910646049101</v>
      </c>
      <c r="K563" s="3">
        <v>0.28811968311092201</v>
      </c>
      <c r="L563" s="3">
        <v>0.20791256278605</v>
      </c>
      <c r="M563" s="3">
        <v>0.155643244050827</v>
      </c>
      <c r="N563" s="3">
        <v>0.56871765382403605</v>
      </c>
      <c r="O563" s="3">
        <v>0.211878124466575</v>
      </c>
      <c r="P563">
        <f t="shared" si="214"/>
        <v>0</v>
      </c>
      <c r="Q563">
        <f t="shared" si="215"/>
        <v>0</v>
      </c>
      <c r="R563">
        <f t="shared" si="216"/>
        <v>0</v>
      </c>
      <c r="S563">
        <f t="shared" si="217"/>
        <v>0</v>
      </c>
      <c r="T563">
        <f t="shared" si="218"/>
        <v>0</v>
      </c>
      <c r="U563">
        <f t="shared" si="219"/>
        <v>0</v>
      </c>
      <c r="V563">
        <f t="shared" si="220"/>
        <v>0</v>
      </c>
      <c r="W563">
        <f t="shared" si="221"/>
        <v>1</v>
      </c>
      <c r="X563">
        <f t="shared" si="222"/>
        <v>0</v>
      </c>
      <c r="Y563">
        <f t="shared" si="223"/>
        <v>0</v>
      </c>
      <c r="Z563">
        <f t="shared" si="224"/>
        <v>0</v>
      </c>
      <c r="AA563">
        <f t="shared" si="225"/>
        <v>1</v>
      </c>
      <c r="AB563">
        <f t="shared" si="208"/>
        <v>0</v>
      </c>
      <c r="AC563">
        <f t="shared" si="209"/>
        <v>0</v>
      </c>
      <c r="AD563">
        <f t="shared" si="210"/>
        <v>1</v>
      </c>
      <c r="AE563">
        <f t="shared" si="211"/>
        <v>0</v>
      </c>
      <c r="AF563">
        <f t="shared" si="212"/>
        <v>0</v>
      </c>
      <c r="AG563">
        <f t="shared" si="213"/>
        <v>1</v>
      </c>
      <c r="AH563">
        <f t="shared" si="226"/>
        <v>1</v>
      </c>
      <c r="AI563">
        <f t="shared" si="233"/>
        <v>0</v>
      </c>
      <c r="AJ563">
        <f t="shared" si="233"/>
        <v>0</v>
      </c>
      <c r="AK563">
        <f t="shared" si="233"/>
        <v>0</v>
      </c>
      <c r="AL563">
        <f t="shared" si="233"/>
        <v>0</v>
      </c>
      <c r="AM563">
        <f t="shared" si="233"/>
        <v>0</v>
      </c>
      <c r="AN563">
        <f t="shared" si="233"/>
        <v>0</v>
      </c>
      <c r="AO563">
        <f t="shared" si="233"/>
        <v>0</v>
      </c>
      <c r="AP563">
        <f t="shared" si="233"/>
        <v>0</v>
      </c>
      <c r="AQ563">
        <f t="shared" si="233"/>
        <v>0</v>
      </c>
      <c r="AR563">
        <f t="shared" si="233"/>
        <v>0</v>
      </c>
      <c r="AS563">
        <f t="shared" si="233"/>
        <v>0</v>
      </c>
      <c r="AT563">
        <f t="shared" si="233"/>
        <v>0</v>
      </c>
      <c r="AU563">
        <f t="shared" si="233"/>
        <v>0</v>
      </c>
      <c r="AV563">
        <f t="shared" si="233"/>
        <v>0</v>
      </c>
      <c r="AW563">
        <f t="shared" si="233"/>
        <v>1</v>
      </c>
      <c r="AX563">
        <f t="shared" si="232"/>
        <v>0</v>
      </c>
      <c r="AY563">
        <f t="shared" si="232"/>
        <v>0</v>
      </c>
      <c r="AZ563">
        <f t="shared" si="232"/>
        <v>1</v>
      </c>
      <c r="BA563">
        <f t="shared" si="228"/>
        <v>0</v>
      </c>
      <c r="BB563">
        <f t="shared" si="229"/>
        <v>1</v>
      </c>
    </row>
    <row r="564" spans="1:54">
      <c r="A564">
        <v>561</v>
      </c>
      <c r="B564" t="s">
        <v>30</v>
      </c>
      <c r="C564" t="s">
        <v>21</v>
      </c>
      <c r="D564" t="s">
        <v>27</v>
      </c>
      <c r="E564" t="s">
        <v>30</v>
      </c>
      <c r="F564" t="s">
        <v>29</v>
      </c>
      <c r="G564" t="s">
        <v>31</v>
      </c>
      <c r="H564" s="3">
        <v>0.12077606560090701</v>
      </c>
      <c r="I564" s="3">
        <v>0.11320839598602001</v>
      </c>
      <c r="J564" s="3">
        <v>0.101483842930532</v>
      </c>
      <c r="K564" s="3">
        <v>0.10095518735702699</v>
      </c>
      <c r="L564" s="3">
        <v>8.0303110695859395E-2</v>
      </c>
      <c r="M564" s="3">
        <v>6.44940074262184E-2</v>
      </c>
      <c r="N564" s="3">
        <v>0.13144590495449901</v>
      </c>
      <c r="O564" s="3">
        <v>8.1795552243297404E-2</v>
      </c>
      <c r="P564">
        <f t="shared" si="214"/>
        <v>0</v>
      </c>
      <c r="Q564">
        <f t="shared" si="215"/>
        <v>0</v>
      </c>
      <c r="R564">
        <f t="shared" si="216"/>
        <v>0</v>
      </c>
      <c r="S564">
        <f t="shared" si="217"/>
        <v>0</v>
      </c>
      <c r="T564">
        <f t="shared" si="218"/>
        <v>0</v>
      </c>
      <c r="U564">
        <f t="shared" si="219"/>
        <v>0</v>
      </c>
      <c r="V564">
        <f t="shared" si="220"/>
        <v>0</v>
      </c>
      <c r="W564">
        <f t="shared" si="221"/>
        <v>1</v>
      </c>
      <c r="X564">
        <f t="shared" si="222"/>
        <v>0</v>
      </c>
      <c r="Y564">
        <f t="shared" si="223"/>
        <v>0</v>
      </c>
      <c r="Z564">
        <f t="shared" si="224"/>
        <v>1</v>
      </c>
      <c r="AA564">
        <f t="shared" si="225"/>
        <v>0</v>
      </c>
      <c r="AB564">
        <f t="shared" si="208"/>
        <v>0</v>
      </c>
      <c r="AC564">
        <f t="shared" si="209"/>
        <v>0</v>
      </c>
      <c r="AD564">
        <f t="shared" si="210"/>
        <v>0</v>
      </c>
      <c r="AE564">
        <f t="shared" si="211"/>
        <v>0</v>
      </c>
      <c r="AF564">
        <f t="shared" si="212"/>
        <v>0</v>
      </c>
      <c r="AG564">
        <f t="shared" si="213"/>
        <v>1</v>
      </c>
      <c r="AH564">
        <f t="shared" si="226"/>
        <v>0</v>
      </c>
      <c r="AI564">
        <f t="shared" si="233"/>
        <v>0</v>
      </c>
      <c r="AJ564">
        <f t="shared" si="233"/>
        <v>0</v>
      </c>
      <c r="AK564">
        <f t="shared" si="233"/>
        <v>0</v>
      </c>
      <c r="AL564">
        <f t="shared" si="233"/>
        <v>0</v>
      </c>
      <c r="AM564">
        <f t="shared" si="233"/>
        <v>0</v>
      </c>
      <c r="AN564">
        <f t="shared" si="233"/>
        <v>0</v>
      </c>
      <c r="AO564">
        <f t="shared" si="233"/>
        <v>0</v>
      </c>
      <c r="AP564">
        <f t="shared" si="233"/>
        <v>0</v>
      </c>
      <c r="AQ564">
        <f t="shared" si="233"/>
        <v>0</v>
      </c>
      <c r="AR564">
        <f t="shared" si="233"/>
        <v>0</v>
      </c>
      <c r="AS564">
        <f t="shared" si="233"/>
        <v>0</v>
      </c>
      <c r="AT564">
        <f t="shared" si="233"/>
        <v>0</v>
      </c>
      <c r="AU564">
        <f t="shared" si="233"/>
        <v>0</v>
      </c>
      <c r="AV564">
        <f t="shared" si="233"/>
        <v>0</v>
      </c>
      <c r="AW564">
        <f t="shared" si="233"/>
        <v>0</v>
      </c>
      <c r="AX564">
        <f t="shared" si="232"/>
        <v>0</v>
      </c>
      <c r="AY564">
        <f t="shared" si="232"/>
        <v>0</v>
      </c>
      <c r="AZ564">
        <f t="shared" si="232"/>
        <v>1</v>
      </c>
      <c r="BA564">
        <f t="shared" si="228"/>
        <v>0</v>
      </c>
      <c r="BB564">
        <f t="shared" si="229"/>
        <v>1</v>
      </c>
    </row>
    <row r="565" spans="1:54">
      <c r="A565">
        <v>562</v>
      </c>
      <c r="B565" t="s">
        <v>30</v>
      </c>
      <c r="C565" t="s">
        <v>21</v>
      </c>
      <c r="D565" t="s">
        <v>27</v>
      </c>
      <c r="E565" t="s">
        <v>30</v>
      </c>
      <c r="F565" t="s">
        <v>29</v>
      </c>
      <c r="G565" t="s">
        <v>25</v>
      </c>
      <c r="H565" s="3">
        <v>4.7445707715564799E-2</v>
      </c>
      <c r="I565" s="3">
        <v>4.6995114433269897E-2</v>
      </c>
      <c r="J565" s="3">
        <v>4.3591498036852701E-2</v>
      </c>
      <c r="K565" s="3">
        <v>4.4969027765853702E-2</v>
      </c>
      <c r="L565" s="3">
        <v>3.84614615851709E-2</v>
      </c>
      <c r="M565" s="3">
        <v>3.48798049988654E-2</v>
      </c>
      <c r="N565" s="3">
        <v>4.9646102103307999E-2</v>
      </c>
      <c r="O565" s="3">
        <v>3.9646873099266497E-2</v>
      </c>
      <c r="P565">
        <f t="shared" si="214"/>
        <v>0</v>
      </c>
      <c r="Q565">
        <f t="shared" si="215"/>
        <v>0</v>
      </c>
      <c r="R565">
        <f t="shared" si="216"/>
        <v>0</v>
      </c>
      <c r="S565">
        <f t="shared" si="217"/>
        <v>0</v>
      </c>
      <c r="T565">
        <f t="shared" si="218"/>
        <v>0</v>
      </c>
      <c r="U565">
        <f t="shared" si="219"/>
        <v>0</v>
      </c>
      <c r="V565">
        <f t="shared" si="220"/>
        <v>0</v>
      </c>
      <c r="W565">
        <f t="shared" si="221"/>
        <v>1</v>
      </c>
      <c r="X565">
        <f t="shared" si="222"/>
        <v>0</v>
      </c>
      <c r="Y565">
        <f t="shared" si="223"/>
        <v>0</v>
      </c>
      <c r="Z565">
        <f t="shared" si="224"/>
        <v>0</v>
      </c>
      <c r="AA565">
        <f t="shared" si="225"/>
        <v>0</v>
      </c>
      <c r="AB565">
        <f t="shared" si="208"/>
        <v>0</v>
      </c>
      <c r="AC565">
        <f t="shared" si="209"/>
        <v>0</v>
      </c>
      <c r="AD565">
        <f t="shared" si="210"/>
        <v>0</v>
      </c>
      <c r="AE565">
        <f t="shared" si="211"/>
        <v>0</v>
      </c>
      <c r="AF565">
        <f t="shared" si="212"/>
        <v>0</v>
      </c>
      <c r="AG565">
        <f t="shared" si="213"/>
        <v>1</v>
      </c>
      <c r="AH565">
        <f t="shared" si="226"/>
        <v>0</v>
      </c>
      <c r="AI565">
        <f t="shared" si="233"/>
        <v>0</v>
      </c>
      <c r="AJ565">
        <f t="shared" si="233"/>
        <v>0</v>
      </c>
      <c r="AK565">
        <f t="shared" si="233"/>
        <v>0</v>
      </c>
      <c r="AL565">
        <f t="shared" si="233"/>
        <v>0</v>
      </c>
      <c r="AM565">
        <f t="shared" si="233"/>
        <v>0</v>
      </c>
      <c r="AN565">
        <f t="shared" si="233"/>
        <v>0</v>
      </c>
      <c r="AO565">
        <f t="shared" si="233"/>
        <v>0</v>
      </c>
      <c r="AP565">
        <f t="shared" si="233"/>
        <v>0</v>
      </c>
      <c r="AQ565">
        <f t="shared" si="233"/>
        <v>1</v>
      </c>
      <c r="AR565">
        <f t="shared" si="233"/>
        <v>0</v>
      </c>
      <c r="AS565">
        <f t="shared" si="233"/>
        <v>0</v>
      </c>
      <c r="AT565">
        <f t="shared" si="233"/>
        <v>0</v>
      </c>
      <c r="AU565">
        <f t="shared" si="233"/>
        <v>0</v>
      </c>
      <c r="AV565">
        <f t="shared" si="233"/>
        <v>0</v>
      </c>
      <c r="AW565">
        <f t="shared" si="233"/>
        <v>0</v>
      </c>
      <c r="AX565">
        <f t="shared" si="232"/>
        <v>0</v>
      </c>
      <c r="AY565">
        <f t="shared" si="232"/>
        <v>0</v>
      </c>
      <c r="AZ565">
        <f t="shared" si="232"/>
        <v>1</v>
      </c>
      <c r="BA565">
        <f t="shared" si="228"/>
        <v>1</v>
      </c>
      <c r="BB565">
        <f t="shared" si="229"/>
        <v>1</v>
      </c>
    </row>
    <row r="566" spans="1:54">
      <c r="A566">
        <v>563</v>
      </c>
      <c r="B566" t="s">
        <v>30</v>
      </c>
      <c r="C566" t="s">
        <v>21</v>
      </c>
      <c r="D566" t="s">
        <v>27</v>
      </c>
      <c r="E566" t="s">
        <v>30</v>
      </c>
      <c r="F566" t="s">
        <v>29</v>
      </c>
      <c r="G566" t="s">
        <v>26</v>
      </c>
      <c r="H566" s="3">
        <v>4.8529468734682599E-2</v>
      </c>
      <c r="I566" s="3">
        <v>4.8060644590974803E-2</v>
      </c>
      <c r="J566" s="3">
        <v>4.45933250199698E-2</v>
      </c>
      <c r="K566" s="3">
        <v>4.5990961550519502E-2</v>
      </c>
      <c r="L566" s="3">
        <v>3.9342254229144002E-2</v>
      </c>
      <c r="M566" s="3">
        <v>3.56735528046071E-2</v>
      </c>
      <c r="N566" s="3">
        <v>5.0770020533880897E-2</v>
      </c>
      <c r="O566" s="3">
        <v>4.0543239393780198E-2</v>
      </c>
      <c r="P566">
        <f t="shared" si="214"/>
        <v>0</v>
      </c>
      <c r="Q566">
        <f t="shared" si="215"/>
        <v>0</v>
      </c>
      <c r="R566">
        <f t="shared" si="216"/>
        <v>0</v>
      </c>
      <c r="S566">
        <f t="shared" si="217"/>
        <v>0</v>
      </c>
      <c r="T566">
        <f t="shared" si="218"/>
        <v>0</v>
      </c>
      <c r="U566">
        <f t="shared" si="219"/>
        <v>0</v>
      </c>
      <c r="V566">
        <f t="shared" si="220"/>
        <v>0</v>
      </c>
      <c r="W566">
        <f t="shared" si="221"/>
        <v>1</v>
      </c>
      <c r="X566">
        <f t="shared" si="222"/>
        <v>0</v>
      </c>
      <c r="Y566">
        <f t="shared" si="223"/>
        <v>0</v>
      </c>
      <c r="Z566">
        <f t="shared" si="224"/>
        <v>0</v>
      </c>
      <c r="AA566">
        <f t="shared" si="225"/>
        <v>0</v>
      </c>
      <c r="AB566">
        <f t="shared" si="208"/>
        <v>0</v>
      </c>
      <c r="AC566">
        <f t="shared" si="209"/>
        <v>0</v>
      </c>
      <c r="AD566">
        <f t="shared" si="210"/>
        <v>0</v>
      </c>
      <c r="AE566">
        <f t="shared" si="211"/>
        <v>0</v>
      </c>
      <c r="AF566">
        <f t="shared" si="212"/>
        <v>0</v>
      </c>
      <c r="AG566">
        <f t="shared" si="213"/>
        <v>1</v>
      </c>
      <c r="AH566">
        <f t="shared" si="226"/>
        <v>0</v>
      </c>
      <c r="AI566">
        <f t="shared" si="233"/>
        <v>0</v>
      </c>
      <c r="AJ566">
        <f t="shared" si="233"/>
        <v>0</v>
      </c>
      <c r="AK566">
        <f t="shared" si="233"/>
        <v>0</v>
      </c>
      <c r="AL566">
        <f t="shared" si="233"/>
        <v>0</v>
      </c>
      <c r="AM566">
        <f t="shared" si="233"/>
        <v>1</v>
      </c>
      <c r="AN566">
        <f t="shared" si="233"/>
        <v>0</v>
      </c>
      <c r="AO566">
        <f t="shared" si="233"/>
        <v>0</v>
      </c>
      <c r="AP566">
        <f t="shared" si="233"/>
        <v>0</v>
      </c>
      <c r="AQ566">
        <f t="shared" si="233"/>
        <v>0</v>
      </c>
      <c r="AR566">
        <f t="shared" si="233"/>
        <v>0</v>
      </c>
      <c r="AS566">
        <f t="shared" si="233"/>
        <v>0</v>
      </c>
      <c r="AT566">
        <f t="shared" si="233"/>
        <v>0</v>
      </c>
      <c r="AU566">
        <f t="shared" si="233"/>
        <v>0</v>
      </c>
      <c r="AV566">
        <f t="shared" si="233"/>
        <v>0</v>
      </c>
      <c r="AW566">
        <f t="shared" si="233"/>
        <v>0</v>
      </c>
      <c r="AX566">
        <f t="shared" si="232"/>
        <v>0</v>
      </c>
      <c r="AY566">
        <f t="shared" si="232"/>
        <v>0</v>
      </c>
      <c r="AZ566">
        <f t="shared" si="232"/>
        <v>1</v>
      </c>
      <c r="BA566">
        <f t="shared" si="228"/>
        <v>1</v>
      </c>
      <c r="BB566">
        <f t="shared" si="229"/>
        <v>1</v>
      </c>
    </row>
    <row r="567" spans="1:54">
      <c r="A567">
        <v>564</v>
      </c>
      <c r="B567" t="s">
        <v>30</v>
      </c>
      <c r="C567" t="s">
        <v>28</v>
      </c>
      <c r="D567" t="s">
        <v>22</v>
      </c>
      <c r="E567" t="s">
        <v>30</v>
      </c>
      <c r="F567" t="s">
        <v>28</v>
      </c>
      <c r="G567" t="s">
        <v>23</v>
      </c>
      <c r="H567" s="3">
        <v>0.79945055667287301</v>
      </c>
      <c r="I567" s="3">
        <v>0.76205113955906301</v>
      </c>
      <c r="J567" s="3">
        <v>0.68896872858918901</v>
      </c>
      <c r="K567" s="3">
        <v>0.70636284481223199</v>
      </c>
      <c r="L567" s="3">
        <v>0.587545407601478</v>
      </c>
      <c r="M567" s="3">
        <v>0.48942091683465599</v>
      </c>
      <c r="N567" s="3">
        <v>0.843373493975903</v>
      </c>
      <c r="O567" s="3">
        <v>0.60985117909980102</v>
      </c>
      <c r="P567">
        <f t="shared" si="214"/>
        <v>1</v>
      </c>
      <c r="Q567">
        <f t="shared" si="215"/>
        <v>1</v>
      </c>
      <c r="R567">
        <f t="shared" si="216"/>
        <v>0</v>
      </c>
      <c r="S567">
        <f t="shared" si="217"/>
        <v>0</v>
      </c>
      <c r="T567">
        <f t="shared" si="218"/>
        <v>0</v>
      </c>
      <c r="U567">
        <f t="shared" si="219"/>
        <v>0</v>
      </c>
      <c r="V567">
        <f t="shared" si="220"/>
        <v>0</v>
      </c>
      <c r="W567">
        <f t="shared" si="221"/>
        <v>0</v>
      </c>
      <c r="X567">
        <f t="shared" si="222"/>
        <v>0</v>
      </c>
      <c r="Y567">
        <f t="shared" si="223"/>
        <v>0</v>
      </c>
      <c r="Z567">
        <f t="shared" si="224"/>
        <v>0</v>
      </c>
      <c r="AA567">
        <f t="shared" si="225"/>
        <v>0</v>
      </c>
      <c r="AB567">
        <f t="shared" si="208"/>
        <v>0</v>
      </c>
      <c r="AC567">
        <f t="shared" si="209"/>
        <v>1</v>
      </c>
      <c r="AD567">
        <f t="shared" si="210"/>
        <v>0</v>
      </c>
      <c r="AE567">
        <f t="shared" si="211"/>
        <v>0</v>
      </c>
      <c r="AF567">
        <f t="shared" si="212"/>
        <v>1</v>
      </c>
      <c r="AG567">
        <f t="shared" si="213"/>
        <v>1</v>
      </c>
      <c r="AH567">
        <f t="shared" si="226"/>
        <v>1</v>
      </c>
      <c r="AI567">
        <f t="shared" si="233"/>
        <v>0</v>
      </c>
      <c r="AJ567">
        <f t="shared" si="233"/>
        <v>0</v>
      </c>
      <c r="AK567">
        <f t="shared" si="233"/>
        <v>0</v>
      </c>
      <c r="AL567">
        <f t="shared" si="233"/>
        <v>0</v>
      </c>
      <c r="AM567">
        <f t="shared" si="233"/>
        <v>0</v>
      </c>
      <c r="AN567">
        <f t="shared" si="233"/>
        <v>0</v>
      </c>
      <c r="AO567">
        <f t="shared" si="233"/>
        <v>0</v>
      </c>
      <c r="AP567">
        <f t="shared" si="233"/>
        <v>0</v>
      </c>
      <c r="AQ567">
        <f t="shared" si="233"/>
        <v>0</v>
      </c>
      <c r="AR567">
        <f t="shared" si="233"/>
        <v>1</v>
      </c>
      <c r="AS567">
        <f t="shared" si="233"/>
        <v>0</v>
      </c>
      <c r="AT567">
        <f t="shared" si="233"/>
        <v>0</v>
      </c>
      <c r="AU567">
        <f t="shared" si="233"/>
        <v>0</v>
      </c>
      <c r="AV567">
        <f t="shared" si="233"/>
        <v>0</v>
      </c>
      <c r="AW567">
        <f t="shared" si="233"/>
        <v>0</v>
      </c>
      <c r="AX567">
        <f t="shared" si="232"/>
        <v>0</v>
      </c>
      <c r="AY567">
        <f t="shared" si="232"/>
        <v>0</v>
      </c>
      <c r="AZ567">
        <f t="shared" si="232"/>
        <v>0</v>
      </c>
      <c r="BA567">
        <f t="shared" si="228"/>
        <v>0</v>
      </c>
      <c r="BB567">
        <f t="shared" si="229"/>
        <v>0</v>
      </c>
    </row>
    <row r="568" spans="1:54">
      <c r="A568">
        <v>565</v>
      </c>
      <c r="B568" t="s">
        <v>30</v>
      </c>
      <c r="C568" t="s">
        <v>28</v>
      </c>
      <c r="D568" t="s">
        <v>22</v>
      </c>
      <c r="E568" t="s">
        <v>30</v>
      </c>
      <c r="F568" t="s">
        <v>28</v>
      </c>
      <c r="G568" t="s">
        <v>24</v>
      </c>
      <c r="H568" s="3">
        <v>2.5506484547294001E-2</v>
      </c>
      <c r="I568" s="3">
        <v>2.4793272904439001E-2</v>
      </c>
      <c r="J568" s="3">
        <v>2.1550626202324199E-2</v>
      </c>
      <c r="K568" s="3">
        <v>2.25686672320306E-2</v>
      </c>
      <c r="L568" s="3">
        <v>1.64478863695036E-2</v>
      </c>
      <c r="M568" s="3">
        <v>1.2993659114554201E-2</v>
      </c>
      <c r="N568" s="3">
        <v>2.78440731901352E-2</v>
      </c>
      <c r="O568" s="3">
        <v>1.7752170776536399E-2</v>
      </c>
      <c r="P568">
        <f t="shared" si="214"/>
        <v>1</v>
      </c>
      <c r="Q568">
        <f t="shared" si="215"/>
        <v>0</v>
      </c>
      <c r="R568">
        <f t="shared" si="216"/>
        <v>1</v>
      </c>
      <c r="S568">
        <f t="shared" si="217"/>
        <v>0</v>
      </c>
      <c r="T568">
        <f t="shared" si="218"/>
        <v>0</v>
      </c>
      <c r="U568">
        <f t="shared" si="219"/>
        <v>0</v>
      </c>
      <c r="V568">
        <f t="shared" si="220"/>
        <v>0</v>
      </c>
      <c r="W568">
        <f t="shared" si="221"/>
        <v>0</v>
      </c>
      <c r="X568">
        <f t="shared" si="222"/>
        <v>0</v>
      </c>
      <c r="Y568">
        <f t="shared" si="223"/>
        <v>0</v>
      </c>
      <c r="Z568">
        <f t="shared" si="224"/>
        <v>0</v>
      </c>
      <c r="AA568">
        <f t="shared" si="225"/>
        <v>0</v>
      </c>
      <c r="AB568">
        <f t="shared" si="208"/>
        <v>0</v>
      </c>
      <c r="AC568">
        <f t="shared" si="209"/>
        <v>0</v>
      </c>
      <c r="AD568">
        <f t="shared" si="210"/>
        <v>0</v>
      </c>
      <c r="AE568">
        <f t="shared" si="211"/>
        <v>0</v>
      </c>
      <c r="AF568">
        <f t="shared" si="212"/>
        <v>1</v>
      </c>
      <c r="AG568">
        <f t="shared" si="213"/>
        <v>1</v>
      </c>
      <c r="AH568">
        <f t="shared" si="226"/>
        <v>0</v>
      </c>
      <c r="AI568">
        <f t="shared" si="233"/>
        <v>0</v>
      </c>
      <c r="AJ568">
        <f t="shared" si="233"/>
        <v>0</v>
      </c>
      <c r="AK568">
        <f t="shared" si="233"/>
        <v>0</v>
      </c>
      <c r="AL568">
        <f t="shared" si="233"/>
        <v>0</v>
      </c>
      <c r="AM568">
        <f t="shared" si="233"/>
        <v>0</v>
      </c>
      <c r="AN568">
        <f t="shared" si="233"/>
        <v>0</v>
      </c>
      <c r="AO568">
        <f t="shared" si="233"/>
        <v>0</v>
      </c>
      <c r="AP568">
        <f t="shared" si="233"/>
        <v>0</v>
      </c>
      <c r="AQ568">
        <f t="shared" si="233"/>
        <v>0</v>
      </c>
      <c r="AR568">
        <f t="shared" si="233"/>
        <v>0</v>
      </c>
      <c r="AS568">
        <f t="shared" si="233"/>
        <v>1</v>
      </c>
      <c r="AT568">
        <f t="shared" si="233"/>
        <v>0</v>
      </c>
      <c r="AU568">
        <f t="shared" si="233"/>
        <v>0</v>
      </c>
      <c r="AV568">
        <f t="shared" si="233"/>
        <v>0</v>
      </c>
      <c r="AW568">
        <f t="shared" si="233"/>
        <v>0</v>
      </c>
      <c r="AX568">
        <f t="shared" si="232"/>
        <v>0</v>
      </c>
      <c r="AY568">
        <f t="shared" si="232"/>
        <v>0</v>
      </c>
      <c r="AZ568">
        <f t="shared" si="232"/>
        <v>0</v>
      </c>
      <c r="BA568">
        <f t="shared" si="228"/>
        <v>0</v>
      </c>
      <c r="BB568">
        <f t="shared" si="229"/>
        <v>0</v>
      </c>
    </row>
    <row r="569" spans="1:54">
      <c r="A569">
        <v>566</v>
      </c>
      <c r="B569" t="s">
        <v>30</v>
      </c>
      <c r="C569" t="s">
        <v>28</v>
      </c>
      <c r="D569" t="s">
        <v>22</v>
      </c>
      <c r="E569" t="s">
        <v>30</v>
      </c>
      <c r="F569" t="s">
        <v>28</v>
      </c>
      <c r="G569" t="s">
        <v>25</v>
      </c>
      <c r="H569" s="3">
        <v>1.92709728064481E-2</v>
      </c>
      <c r="I569" s="3">
        <v>1.8888306264481201E-2</v>
      </c>
      <c r="J569" s="3">
        <v>1.6566406441444002E-2</v>
      </c>
      <c r="K569" s="3">
        <v>1.7521085738734E-2</v>
      </c>
      <c r="L569" s="3">
        <v>1.3052723388525899E-2</v>
      </c>
      <c r="M569" s="3">
        <v>1.06765827391983E-2</v>
      </c>
      <c r="N569" s="3">
        <v>2.0697811945594301E-2</v>
      </c>
      <c r="O569" s="3">
        <v>1.38280606340377E-2</v>
      </c>
      <c r="P569">
        <f t="shared" si="214"/>
        <v>1</v>
      </c>
      <c r="Q569">
        <f t="shared" si="215"/>
        <v>0</v>
      </c>
      <c r="R569">
        <f t="shared" si="216"/>
        <v>0</v>
      </c>
      <c r="S569">
        <f t="shared" si="217"/>
        <v>0</v>
      </c>
      <c r="T569">
        <f t="shared" si="218"/>
        <v>0</v>
      </c>
      <c r="U569">
        <f t="shared" si="219"/>
        <v>0</v>
      </c>
      <c r="V569">
        <f t="shared" si="220"/>
        <v>0</v>
      </c>
      <c r="W569">
        <f t="shared" si="221"/>
        <v>0</v>
      </c>
      <c r="X569">
        <f t="shared" si="222"/>
        <v>0</v>
      </c>
      <c r="Y569">
        <f t="shared" si="223"/>
        <v>0</v>
      </c>
      <c r="Z569">
        <f t="shared" si="224"/>
        <v>0</v>
      </c>
      <c r="AA569">
        <f t="shared" si="225"/>
        <v>0</v>
      </c>
      <c r="AB569">
        <f t="shared" si="208"/>
        <v>0</v>
      </c>
      <c r="AC569">
        <f t="shared" si="209"/>
        <v>0</v>
      </c>
      <c r="AD569">
        <f t="shared" si="210"/>
        <v>0</v>
      </c>
      <c r="AE569">
        <f t="shared" si="211"/>
        <v>0</v>
      </c>
      <c r="AF569">
        <f t="shared" si="212"/>
        <v>1</v>
      </c>
      <c r="AG569">
        <f t="shared" si="213"/>
        <v>1</v>
      </c>
      <c r="AH569">
        <f t="shared" si="226"/>
        <v>0</v>
      </c>
      <c r="AI569">
        <f t="shared" si="233"/>
        <v>0</v>
      </c>
      <c r="AJ569">
        <f t="shared" si="233"/>
        <v>0</v>
      </c>
      <c r="AK569">
        <f t="shared" si="233"/>
        <v>0</v>
      </c>
      <c r="AL569">
        <f t="shared" si="233"/>
        <v>0</v>
      </c>
      <c r="AM569">
        <f t="shared" si="233"/>
        <v>0</v>
      </c>
      <c r="AN569">
        <f t="shared" si="233"/>
        <v>1</v>
      </c>
      <c r="AO569">
        <f t="shared" si="233"/>
        <v>0</v>
      </c>
      <c r="AP569">
        <f t="shared" si="233"/>
        <v>0</v>
      </c>
      <c r="AQ569">
        <f t="shared" si="233"/>
        <v>0</v>
      </c>
      <c r="AR569">
        <f t="shared" si="233"/>
        <v>0</v>
      </c>
      <c r="AS569">
        <f t="shared" si="233"/>
        <v>0</v>
      </c>
      <c r="AT569">
        <f t="shared" si="233"/>
        <v>0</v>
      </c>
      <c r="AU569">
        <f t="shared" si="233"/>
        <v>0</v>
      </c>
      <c r="AV569">
        <f t="shared" si="233"/>
        <v>0</v>
      </c>
      <c r="AW569">
        <f t="shared" si="233"/>
        <v>0</v>
      </c>
      <c r="AX569">
        <f t="shared" si="232"/>
        <v>0</v>
      </c>
      <c r="AY569">
        <f t="shared" si="232"/>
        <v>0</v>
      </c>
      <c r="AZ569">
        <f t="shared" si="232"/>
        <v>0</v>
      </c>
      <c r="BA569">
        <f t="shared" si="228"/>
        <v>1</v>
      </c>
      <c r="BB569">
        <f t="shared" si="229"/>
        <v>0</v>
      </c>
    </row>
    <row r="570" spans="1:54">
      <c r="A570">
        <v>567</v>
      </c>
      <c r="B570" t="s">
        <v>30</v>
      </c>
      <c r="C570" t="s">
        <v>28</v>
      </c>
      <c r="D570" t="s">
        <v>22</v>
      </c>
      <c r="E570" t="s">
        <v>30</v>
      </c>
      <c r="F570" t="s">
        <v>28</v>
      </c>
      <c r="G570" t="s">
        <v>26</v>
      </c>
      <c r="H570" s="3">
        <v>1.9583884065150998E-2</v>
      </c>
      <c r="I570" s="3">
        <v>1.92548547889013E-2</v>
      </c>
      <c r="J570" s="3">
        <v>1.68519135848266E-2</v>
      </c>
      <c r="K570" s="3">
        <v>1.7923251196754499E-2</v>
      </c>
      <c r="L570" s="3">
        <v>1.33101339684397E-2</v>
      </c>
      <c r="M570" s="3">
        <v>1.0915635755776899E-2</v>
      </c>
      <c r="N570" s="3">
        <v>2.1014710297208E-2</v>
      </c>
      <c r="O570" s="3">
        <v>1.41122595297732E-2</v>
      </c>
      <c r="P570">
        <f t="shared" si="214"/>
        <v>1</v>
      </c>
      <c r="Q570">
        <f t="shared" si="215"/>
        <v>0</v>
      </c>
      <c r="R570">
        <f t="shared" si="216"/>
        <v>0</v>
      </c>
      <c r="S570">
        <f t="shared" si="217"/>
        <v>0</v>
      </c>
      <c r="T570">
        <f t="shared" si="218"/>
        <v>0</v>
      </c>
      <c r="U570">
        <f t="shared" si="219"/>
        <v>0</v>
      </c>
      <c r="V570">
        <f t="shared" si="220"/>
        <v>0</v>
      </c>
      <c r="W570">
        <f t="shared" si="221"/>
        <v>0</v>
      </c>
      <c r="X570">
        <f t="shared" si="222"/>
        <v>0</v>
      </c>
      <c r="Y570">
        <f t="shared" si="223"/>
        <v>0</v>
      </c>
      <c r="Z570">
        <f t="shared" si="224"/>
        <v>0</v>
      </c>
      <c r="AA570">
        <f t="shared" si="225"/>
        <v>0</v>
      </c>
      <c r="AB570">
        <f t="shared" si="208"/>
        <v>0</v>
      </c>
      <c r="AC570">
        <f t="shared" si="209"/>
        <v>0</v>
      </c>
      <c r="AD570">
        <f t="shared" si="210"/>
        <v>0</v>
      </c>
      <c r="AE570">
        <f t="shared" si="211"/>
        <v>0</v>
      </c>
      <c r="AF570">
        <f t="shared" si="212"/>
        <v>1</v>
      </c>
      <c r="AG570">
        <f t="shared" si="213"/>
        <v>1</v>
      </c>
      <c r="AH570">
        <f t="shared" si="226"/>
        <v>0</v>
      </c>
      <c r="AI570">
        <f t="shared" si="233"/>
        <v>0</v>
      </c>
      <c r="AJ570">
        <f t="shared" si="233"/>
        <v>1</v>
      </c>
      <c r="AK570">
        <f t="shared" si="233"/>
        <v>0</v>
      </c>
      <c r="AL570">
        <f t="shared" si="233"/>
        <v>0</v>
      </c>
      <c r="AM570">
        <f t="shared" si="233"/>
        <v>0</v>
      </c>
      <c r="AN570">
        <f t="shared" si="233"/>
        <v>0</v>
      </c>
      <c r="AO570">
        <f t="shared" si="233"/>
        <v>0</v>
      </c>
      <c r="AP570">
        <f t="shared" si="233"/>
        <v>0</v>
      </c>
      <c r="AQ570">
        <f t="shared" si="233"/>
        <v>0</v>
      </c>
      <c r="AR570">
        <f t="shared" si="233"/>
        <v>0</v>
      </c>
      <c r="AS570">
        <f t="shared" si="233"/>
        <v>0</v>
      </c>
      <c r="AT570">
        <f t="shared" si="233"/>
        <v>0</v>
      </c>
      <c r="AU570">
        <f t="shared" si="233"/>
        <v>0</v>
      </c>
      <c r="AV570">
        <f t="shared" si="233"/>
        <v>0</v>
      </c>
      <c r="AW570">
        <f t="shared" si="233"/>
        <v>0</v>
      </c>
      <c r="AX570">
        <f t="shared" si="232"/>
        <v>0</v>
      </c>
      <c r="AY570">
        <f t="shared" si="232"/>
        <v>0</v>
      </c>
      <c r="AZ570">
        <f t="shared" si="232"/>
        <v>0</v>
      </c>
      <c r="BA570">
        <f t="shared" si="228"/>
        <v>1</v>
      </c>
      <c r="BB570">
        <f t="shared" si="229"/>
        <v>0</v>
      </c>
    </row>
    <row r="571" spans="1:54">
      <c r="A571">
        <v>568</v>
      </c>
      <c r="B571" t="s">
        <v>30</v>
      </c>
      <c r="C571" t="s">
        <v>28</v>
      </c>
      <c r="D571" t="s">
        <v>22</v>
      </c>
      <c r="E571" t="s">
        <v>30</v>
      </c>
      <c r="F571" t="s">
        <v>28</v>
      </c>
      <c r="G571" t="s">
        <v>27</v>
      </c>
      <c r="H571" s="3">
        <v>5.3463930091972603E-2</v>
      </c>
      <c r="I571" s="3">
        <v>5.1250754274960897E-2</v>
      </c>
      <c r="J571" s="3">
        <v>4.4649696783776102E-2</v>
      </c>
      <c r="K571" s="3">
        <v>4.6536418673011601E-2</v>
      </c>
      <c r="L571" s="3">
        <v>3.4662257558953101E-2</v>
      </c>
      <c r="M571" s="3">
        <v>2.8113965361632801E-2</v>
      </c>
      <c r="N571" s="3">
        <v>5.7708161582852399E-2</v>
      </c>
      <c r="O571" s="3">
        <v>3.6595651667463598E-2</v>
      </c>
      <c r="P571">
        <f t="shared" si="214"/>
        <v>1</v>
      </c>
      <c r="Q571">
        <f t="shared" si="215"/>
        <v>0</v>
      </c>
      <c r="R571">
        <f t="shared" si="216"/>
        <v>0</v>
      </c>
      <c r="S571">
        <f t="shared" si="217"/>
        <v>1</v>
      </c>
      <c r="T571">
        <f t="shared" si="218"/>
        <v>0</v>
      </c>
      <c r="U571">
        <f t="shared" si="219"/>
        <v>0</v>
      </c>
      <c r="V571">
        <f t="shared" si="220"/>
        <v>0</v>
      </c>
      <c r="W571">
        <f t="shared" si="221"/>
        <v>0</v>
      </c>
      <c r="X571">
        <f t="shared" si="222"/>
        <v>0</v>
      </c>
      <c r="Y571">
        <f t="shared" si="223"/>
        <v>0</v>
      </c>
      <c r="Z571">
        <f t="shared" si="224"/>
        <v>0</v>
      </c>
      <c r="AA571">
        <f t="shared" si="225"/>
        <v>0</v>
      </c>
      <c r="AB571">
        <f t="shared" si="208"/>
        <v>0</v>
      </c>
      <c r="AC571">
        <f t="shared" si="209"/>
        <v>0</v>
      </c>
      <c r="AD571">
        <f t="shared" si="210"/>
        <v>0</v>
      </c>
      <c r="AE571">
        <f t="shared" si="211"/>
        <v>0</v>
      </c>
      <c r="AF571">
        <f t="shared" si="212"/>
        <v>1</v>
      </c>
      <c r="AG571">
        <f t="shared" si="213"/>
        <v>1</v>
      </c>
      <c r="AH571">
        <f t="shared" si="226"/>
        <v>0</v>
      </c>
      <c r="AI571">
        <f t="shared" si="233"/>
        <v>0</v>
      </c>
      <c r="AJ571">
        <f t="shared" si="233"/>
        <v>0</v>
      </c>
      <c r="AK571">
        <f t="shared" si="233"/>
        <v>0</v>
      </c>
      <c r="AL571">
        <f t="shared" si="233"/>
        <v>0</v>
      </c>
      <c r="AM571">
        <f t="shared" si="233"/>
        <v>0</v>
      </c>
      <c r="AN571">
        <f t="shared" si="233"/>
        <v>0</v>
      </c>
      <c r="AO571">
        <f t="shared" si="233"/>
        <v>0</v>
      </c>
      <c r="AP571">
        <f t="shared" si="233"/>
        <v>0</v>
      </c>
      <c r="AQ571">
        <f t="shared" si="233"/>
        <v>0</v>
      </c>
      <c r="AR571">
        <f t="shared" si="233"/>
        <v>0</v>
      </c>
      <c r="AS571">
        <f t="shared" si="233"/>
        <v>0</v>
      </c>
      <c r="AT571">
        <f t="shared" si="233"/>
        <v>1</v>
      </c>
      <c r="AU571">
        <f t="shared" si="233"/>
        <v>0</v>
      </c>
      <c r="AV571">
        <f t="shared" si="233"/>
        <v>0</v>
      </c>
      <c r="AW571">
        <f t="shared" si="233"/>
        <v>0</v>
      </c>
      <c r="AX571">
        <f t="shared" si="232"/>
        <v>0</v>
      </c>
      <c r="AY571">
        <f t="shared" si="232"/>
        <v>0</v>
      </c>
      <c r="AZ571">
        <f t="shared" si="232"/>
        <v>0</v>
      </c>
      <c r="BA571">
        <f t="shared" si="228"/>
        <v>0</v>
      </c>
      <c r="BB571">
        <f t="shared" si="229"/>
        <v>0</v>
      </c>
    </row>
    <row r="572" spans="1:54">
      <c r="A572">
        <v>569</v>
      </c>
      <c r="B572" t="s">
        <v>30</v>
      </c>
      <c r="C572" t="s">
        <v>28</v>
      </c>
      <c r="D572" t="s">
        <v>22</v>
      </c>
      <c r="E572" t="s">
        <v>30</v>
      </c>
      <c r="F572" t="s">
        <v>29</v>
      </c>
      <c r="G572" t="s">
        <v>22</v>
      </c>
      <c r="H572" s="3">
        <v>2.5347495541510001E-2</v>
      </c>
      <c r="I572" s="3">
        <v>2.5828414286894599E-2</v>
      </c>
      <c r="J572" s="3">
        <v>2.2150463714269701E-2</v>
      </c>
      <c r="K572" s="3">
        <v>2.49041299501306E-2</v>
      </c>
      <c r="L572" s="3">
        <v>2.0131692328619898E-2</v>
      </c>
      <c r="M572" s="3">
        <v>1.73215525897896E-2</v>
      </c>
      <c r="N572" s="3">
        <v>2.6954177897574101E-2</v>
      </c>
      <c r="O572" s="3">
        <v>1.98233510388457E-2</v>
      </c>
      <c r="P572">
        <f t="shared" si="214"/>
        <v>1</v>
      </c>
      <c r="Q572">
        <f t="shared" si="215"/>
        <v>0</v>
      </c>
      <c r="R572">
        <f t="shared" si="216"/>
        <v>0</v>
      </c>
      <c r="S572">
        <f t="shared" si="217"/>
        <v>0</v>
      </c>
      <c r="T572">
        <f t="shared" si="218"/>
        <v>0</v>
      </c>
      <c r="U572">
        <f t="shared" si="219"/>
        <v>0</v>
      </c>
      <c r="V572">
        <f t="shared" si="220"/>
        <v>0</v>
      </c>
      <c r="W572">
        <f t="shared" si="221"/>
        <v>0</v>
      </c>
      <c r="X572">
        <f t="shared" si="222"/>
        <v>1</v>
      </c>
      <c r="Y572">
        <f t="shared" si="223"/>
        <v>0</v>
      </c>
      <c r="Z572">
        <f t="shared" si="224"/>
        <v>0</v>
      </c>
      <c r="AA572">
        <f t="shared" si="225"/>
        <v>0</v>
      </c>
      <c r="AB572">
        <f t="shared" si="208"/>
        <v>0</v>
      </c>
      <c r="AC572">
        <f t="shared" si="209"/>
        <v>1</v>
      </c>
      <c r="AD572">
        <f t="shared" si="210"/>
        <v>0</v>
      </c>
      <c r="AE572">
        <f t="shared" si="211"/>
        <v>0</v>
      </c>
      <c r="AF572">
        <f t="shared" si="212"/>
        <v>0</v>
      </c>
      <c r="AG572">
        <f t="shared" si="213"/>
        <v>1</v>
      </c>
      <c r="AH572">
        <f t="shared" si="226"/>
        <v>1</v>
      </c>
      <c r="AI572">
        <f t="shared" si="233"/>
        <v>0</v>
      </c>
      <c r="AJ572">
        <f t="shared" si="233"/>
        <v>0</v>
      </c>
      <c r="AK572">
        <f t="shared" si="233"/>
        <v>0</v>
      </c>
      <c r="AL572">
        <f t="shared" si="233"/>
        <v>0</v>
      </c>
      <c r="AM572">
        <f t="shared" si="233"/>
        <v>0</v>
      </c>
      <c r="AN572">
        <f t="shared" si="233"/>
        <v>0</v>
      </c>
      <c r="AO572">
        <f t="shared" si="233"/>
        <v>0</v>
      </c>
      <c r="AP572">
        <f t="shared" si="233"/>
        <v>0</v>
      </c>
      <c r="AQ572">
        <f t="shared" si="233"/>
        <v>0</v>
      </c>
      <c r="AR572">
        <f t="shared" si="233"/>
        <v>0</v>
      </c>
      <c r="AS572">
        <f t="shared" si="233"/>
        <v>0</v>
      </c>
      <c r="AT572">
        <f t="shared" si="233"/>
        <v>0</v>
      </c>
      <c r="AU572">
        <f t="shared" si="233"/>
        <v>0</v>
      </c>
      <c r="AV572">
        <f t="shared" si="233"/>
        <v>0</v>
      </c>
      <c r="AW572">
        <f t="shared" si="233"/>
        <v>0</v>
      </c>
      <c r="AX572">
        <f t="shared" si="232"/>
        <v>0</v>
      </c>
      <c r="AY572">
        <f t="shared" si="232"/>
        <v>1</v>
      </c>
      <c r="AZ572">
        <f t="shared" si="232"/>
        <v>0</v>
      </c>
      <c r="BA572">
        <f t="shared" si="228"/>
        <v>0</v>
      </c>
      <c r="BB572">
        <f t="shared" si="229"/>
        <v>1</v>
      </c>
    </row>
    <row r="573" spans="1:54">
      <c r="A573">
        <v>570</v>
      </c>
      <c r="B573" t="s">
        <v>30</v>
      </c>
      <c r="C573" t="s">
        <v>28</v>
      </c>
      <c r="D573" t="s">
        <v>22</v>
      </c>
      <c r="E573" t="s">
        <v>30</v>
      </c>
      <c r="F573" t="s">
        <v>29</v>
      </c>
      <c r="G573" t="s">
        <v>23</v>
      </c>
      <c r="H573" s="3">
        <v>0.61557113951331599</v>
      </c>
      <c r="I573" s="3">
        <v>0.59401598264794997</v>
      </c>
      <c r="J573" s="3">
        <v>0.52008304501483804</v>
      </c>
      <c r="K573" s="3">
        <v>0.55010046809049895</v>
      </c>
      <c r="L573" s="3">
        <v>0.439829169261991</v>
      </c>
      <c r="M573" s="3">
        <v>0.361848471938227</v>
      </c>
      <c r="N573" s="3">
        <v>0.65420560747663503</v>
      </c>
      <c r="O573" s="3">
        <v>0.45898024580740399</v>
      </c>
      <c r="P573">
        <f t="shared" si="214"/>
        <v>1</v>
      </c>
      <c r="Q573">
        <f t="shared" si="215"/>
        <v>0</v>
      </c>
      <c r="R573">
        <f t="shared" si="216"/>
        <v>0</v>
      </c>
      <c r="S573">
        <f t="shared" si="217"/>
        <v>0</v>
      </c>
      <c r="T573">
        <f t="shared" si="218"/>
        <v>0</v>
      </c>
      <c r="U573">
        <f t="shared" si="219"/>
        <v>0</v>
      </c>
      <c r="V573">
        <f t="shared" si="220"/>
        <v>0</v>
      </c>
      <c r="W573">
        <f t="shared" si="221"/>
        <v>0</v>
      </c>
      <c r="X573">
        <f t="shared" si="222"/>
        <v>0</v>
      </c>
      <c r="Y573">
        <f t="shared" si="223"/>
        <v>1</v>
      </c>
      <c r="Z573">
        <f t="shared" si="224"/>
        <v>0</v>
      </c>
      <c r="AA573">
        <f t="shared" si="225"/>
        <v>0</v>
      </c>
      <c r="AB573">
        <f t="shared" si="208"/>
        <v>0</v>
      </c>
      <c r="AC573">
        <f t="shared" si="209"/>
        <v>1</v>
      </c>
      <c r="AD573">
        <f t="shared" si="210"/>
        <v>0</v>
      </c>
      <c r="AE573">
        <f t="shared" si="211"/>
        <v>0</v>
      </c>
      <c r="AF573">
        <f t="shared" si="212"/>
        <v>0</v>
      </c>
      <c r="AG573">
        <f t="shared" si="213"/>
        <v>1</v>
      </c>
      <c r="AH573">
        <f t="shared" si="226"/>
        <v>1</v>
      </c>
      <c r="AI573">
        <f t="shared" si="233"/>
        <v>0</v>
      </c>
      <c r="AJ573">
        <f t="shared" si="233"/>
        <v>0</v>
      </c>
      <c r="AK573">
        <f t="shared" si="233"/>
        <v>0</v>
      </c>
      <c r="AL573">
        <f t="shared" si="233"/>
        <v>0</v>
      </c>
      <c r="AM573">
        <f t="shared" si="233"/>
        <v>0</v>
      </c>
      <c r="AN573">
        <f t="shared" si="233"/>
        <v>0</v>
      </c>
      <c r="AO573">
        <f t="shared" si="233"/>
        <v>0</v>
      </c>
      <c r="AP573">
        <f t="shared" si="233"/>
        <v>0</v>
      </c>
      <c r="AQ573">
        <f t="shared" si="233"/>
        <v>0</v>
      </c>
      <c r="AR573">
        <f t="shared" si="233"/>
        <v>1</v>
      </c>
      <c r="AS573">
        <f t="shared" si="233"/>
        <v>0</v>
      </c>
      <c r="AT573">
        <f t="shared" si="233"/>
        <v>0</v>
      </c>
      <c r="AU573">
        <f t="shared" si="233"/>
        <v>0</v>
      </c>
      <c r="AV573">
        <f t="shared" si="233"/>
        <v>0</v>
      </c>
      <c r="AW573">
        <f t="shared" si="233"/>
        <v>0</v>
      </c>
      <c r="AX573">
        <f t="shared" si="232"/>
        <v>0</v>
      </c>
      <c r="AY573">
        <f t="shared" si="232"/>
        <v>1</v>
      </c>
      <c r="AZ573">
        <f t="shared" si="232"/>
        <v>0</v>
      </c>
      <c r="BA573">
        <f t="shared" si="228"/>
        <v>0</v>
      </c>
      <c r="BB573">
        <f t="shared" si="229"/>
        <v>1</v>
      </c>
    </row>
    <row r="574" spans="1:54">
      <c r="A574">
        <v>571</v>
      </c>
      <c r="B574" t="s">
        <v>30</v>
      </c>
      <c r="C574" t="s">
        <v>28</v>
      </c>
      <c r="D574" t="s">
        <v>22</v>
      </c>
      <c r="E574" t="s">
        <v>30</v>
      </c>
      <c r="F574" t="s">
        <v>29</v>
      </c>
      <c r="G574" t="s">
        <v>24</v>
      </c>
      <c r="H574" s="3">
        <v>3.71875823008345E-2</v>
      </c>
      <c r="I574" s="3">
        <v>3.5892590595024802E-2</v>
      </c>
      <c r="J574" s="3">
        <v>3.1528134892024703E-2</v>
      </c>
      <c r="K574" s="3">
        <v>3.2723158151546299E-2</v>
      </c>
      <c r="L574" s="3">
        <v>2.4126340103052899E-2</v>
      </c>
      <c r="M574" s="3">
        <v>1.9304537948066702E-2</v>
      </c>
      <c r="N574" s="3">
        <v>4.0253018976423201E-2</v>
      </c>
      <c r="O574" s="3">
        <v>2.60413889557547E-2</v>
      </c>
      <c r="P574">
        <f t="shared" si="214"/>
        <v>1</v>
      </c>
      <c r="Q574">
        <f t="shared" si="215"/>
        <v>0</v>
      </c>
      <c r="R574">
        <f t="shared" si="216"/>
        <v>0</v>
      </c>
      <c r="S574">
        <f t="shared" si="217"/>
        <v>0</v>
      </c>
      <c r="T574">
        <f t="shared" si="218"/>
        <v>0</v>
      </c>
      <c r="U574">
        <f t="shared" si="219"/>
        <v>0</v>
      </c>
      <c r="V574">
        <f t="shared" si="220"/>
        <v>0</v>
      </c>
      <c r="W574">
        <f t="shared" si="221"/>
        <v>0</v>
      </c>
      <c r="X574">
        <f t="shared" si="222"/>
        <v>0</v>
      </c>
      <c r="Y574">
        <f t="shared" si="223"/>
        <v>0</v>
      </c>
      <c r="Z574">
        <f t="shared" si="224"/>
        <v>0</v>
      </c>
      <c r="AA574">
        <f t="shared" si="225"/>
        <v>1</v>
      </c>
      <c r="AB574">
        <f t="shared" si="208"/>
        <v>0</v>
      </c>
      <c r="AC574">
        <f t="shared" si="209"/>
        <v>0</v>
      </c>
      <c r="AD574">
        <f t="shared" si="210"/>
        <v>0</v>
      </c>
      <c r="AE574">
        <f t="shared" si="211"/>
        <v>0</v>
      </c>
      <c r="AF574">
        <f t="shared" si="212"/>
        <v>0</v>
      </c>
      <c r="AG574">
        <f t="shared" si="213"/>
        <v>1</v>
      </c>
      <c r="AH574">
        <f t="shared" si="226"/>
        <v>0</v>
      </c>
      <c r="AI574">
        <f t="shared" si="233"/>
        <v>0</v>
      </c>
      <c r="AJ574">
        <f t="shared" si="233"/>
        <v>0</v>
      </c>
      <c r="AK574">
        <f t="shared" si="233"/>
        <v>0</v>
      </c>
      <c r="AL574">
        <f t="shared" si="233"/>
        <v>0</v>
      </c>
      <c r="AM574">
        <f t="shared" si="233"/>
        <v>0</v>
      </c>
      <c r="AN574">
        <f t="shared" si="233"/>
        <v>0</v>
      </c>
      <c r="AO574">
        <f t="shared" si="233"/>
        <v>0</v>
      </c>
      <c r="AP574">
        <f t="shared" si="233"/>
        <v>0</v>
      </c>
      <c r="AQ574">
        <f t="shared" si="233"/>
        <v>0</v>
      </c>
      <c r="AR574">
        <f t="shared" si="233"/>
        <v>0</v>
      </c>
      <c r="AS574">
        <f t="shared" si="233"/>
        <v>1</v>
      </c>
      <c r="AT574">
        <f t="shared" si="233"/>
        <v>0</v>
      </c>
      <c r="AU574">
        <f t="shared" si="233"/>
        <v>0</v>
      </c>
      <c r="AV574">
        <f t="shared" si="233"/>
        <v>0</v>
      </c>
      <c r="AW574">
        <f t="shared" si="233"/>
        <v>0</v>
      </c>
      <c r="AX574">
        <f t="shared" si="232"/>
        <v>0</v>
      </c>
      <c r="AY574">
        <f t="shared" si="232"/>
        <v>1</v>
      </c>
      <c r="AZ574">
        <f t="shared" si="232"/>
        <v>0</v>
      </c>
      <c r="BA574">
        <f t="shared" si="228"/>
        <v>0</v>
      </c>
      <c r="BB574">
        <f t="shared" si="229"/>
        <v>1</v>
      </c>
    </row>
    <row r="575" spans="1:54">
      <c r="A575">
        <v>572</v>
      </c>
      <c r="B575" t="s">
        <v>30</v>
      </c>
      <c r="C575" t="s">
        <v>28</v>
      </c>
      <c r="D575" t="s">
        <v>22</v>
      </c>
      <c r="E575" t="s">
        <v>30</v>
      </c>
      <c r="F575" t="s">
        <v>29</v>
      </c>
      <c r="G575" t="s">
        <v>31</v>
      </c>
      <c r="H575" s="3">
        <v>0.47400862431808399</v>
      </c>
      <c r="I575" s="3">
        <v>0.47093193014835</v>
      </c>
      <c r="J575" s="3">
        <v>0.38706032590054901</v>
      </c>
      <c r="K575" s="3">
        <v>0.42391487306016501</v>
      </c>
      <c r="L575" s="3">
        <v>0.31988570242465397</v>
      </c>
      <c r="M575" s="3">
        <v>0.25172229102981097</v>
      </c>
      <c r="N575" s="3">
        <v>0.53846153846153799</v>
      </c>
      <c r="O575" s="3">
        <v>0.31395629528807001</v>
      </c>
      <c r="P575">
        <f t="shared" si="214"/>
        <v>1</v>
      </c>
      <c r="Q575">
        <f t="shared" si="215"/>
        <v>0</v>
      </c>
      <c r="R575">
        <f t="shared" si="216"/>
        <v>0</v>
      </c>
      <c r="S575">
        <f t="shared" si="217"/>
        <v>0</v>
      </c>
      <c r="T575">
        <f t="shared" si="218"/>
        <v>0</v>
      </c>
      <c r="U575">
        <f t="shared" si="219"/>
        <v>0</v>
      </c>
      <c r="V575">
        <f t="shared" si="220"/>
        <v>0</v>
      </c>
      <c r="W575">
        <f t="shared" si="221"/>
        <v>0</v>
      </c>
      <c r="X575">
        <f t="shared" si="222"/>
        <v>0</v>
      </c>
      <c r="Y575">
        <f t="shared" si="223"/>
        <v>0</v>
      </c>
      <c r="Z575">
        <f t="shared" si="224"/>
        <v>1</v>
      </c>
      <c r="AA575">
        <f t="shared" si="225"/>
        <v>0</v>
      </c>
      <c r="AB575">
        <f t="shared" si="208"/>
        <v>0</v>
      </c>
      <c r="AC575">
        <f t="shared" si="209"/>
        <v>1</v>
      </c>
      <c r="AD575">
        <f t="shared" si="210"/>
        <v>0</v>
      </c>
      <c r="AE575">
        <f t="shared" si="211"/>
        <v>0</v>
      </c>
      <c r="AF575">
        <f t="shared" si="212"/>
        <v>0</v>
      </c>
      <c r="AG575">
        <f t="shared" si="213"/>
        <v>1</v>
      </c>
      <c r="AH575">
        <f t="shared" si="226"/>
        <v>1</v>
      </c>
      <c r="AI575">
        <f t="shared" si="233"/>
        <v>0</v>
      </c>
      <c r="AJ575">
        <f t="shared" si="233"/>
        <v>0</v>
      </c>
      <c r="AK575">
        <f t="shared" si="233"/>
        <v>0</v>
      </c>
      <c r="AL575">
        <f t="shared" si="233"/>
        <v>0</v>
      </c>
      <c r="AM575">
        <f t="shared" si="233"/>
        <v>0</v>
      </c>
      <c r="AN575">
        <f t="shared" si="233"/>
        <v>0</v>
      </c>
      <c r="AO575">
        <f t="shared" si="233"/>
        <v>0</v>
      </c>
      <c r="AP575">
        <f t="shared" si="233"/>
        <v>0</v>
      </c>
      <c r="AQ575">
        <f t="shared" si="233"/>
        <v>0</v>
      </c>
      <c r="AR575">
        <f t="shared" si="233"/>
        <v>0</v>
      </c>
      <c r="AS575">
        <f t="shared" si="233"/>
        <v>0</v>
      </c>
      <c r="AT575">
        <f t="shared" si="233"/>
        <v>0</v>
      </c>
      <c r="AU575">
        <f t="shared" si="233"/>
        <v>0</v>
      </c>
      <c r="AV575">
        <f t="shared" si="233"/>
        <v>0</v>
      </c>
      <c r="AW575">
        <f t="shared" si="233"/>
        <v>0</v>
      </c>
      <c r="AX575">
        <f t="shared" si="232"/>
        <v>0</v>
      </c>
      <c r="AY575">
        <f t="shared" si="232"/>
        <v>1</v>
      </c>
      <c r="AZ575">
        <f t="shared" si="232"/>
        <v>0</v>
      </c>
      <c r="BA575">
        <f t="shared" si="228"/>
        <v>0</v>
      </c>
      <c r="BB575">
        <f t="shared" si="229"/>
        <v>1</v>
      </c>
    </row>
    <row r="576" spans="1:54">
      <c r="A576">
        <v>573</v>
      </c>
      <c r="B576" t="s">
        <v>30</v>
      </c>
      <c r="C576" t="s">
        <v>28</v>
      </c>
      <c r="D576" t="s">
        <v>22</v>
      </c>
      <c r="E576" t="s">
        <v>30</v>
      </c>
      <c r="F576" t="s">
        <v>29</v>
      </c>
      <c r="G576" t="s">
        <v>25</v>
      </c>
      <c r="H576" s="3">
        <v>3.2473273044089598E-3</v>
      </c>
      <c r="I576" s="3">
        <v>3.1957583055086001E-3</v>
      </c>
      <c r="J576" s="3">
        <v>2.7840191856639599E-3</v>
      </c>
      <c r="K576" s="3">
        <v>2.9538479859215201E-3</v>
      </c>
      <c r="L576" s="3">
        <v>2.18415960426936E-3</v>
      </c>
      <c r="M576" s="3">
        <v>1.74963460296794E-3</v>
      </c>
      <c r="N576" s="3">
        <v>3.5138798253099698E-3</v>
      </c>
      <c r="O576" s="3">
        <v>2.3130943144749399E-3</v>
      </c>
      <c r="P576">
        <f t="shared" si="214"/>
        <v>1</v>
      </c>
      <c r="Q576">
        <f t="shared" si="215"/>
        <v>0</v>
      </c>
      <c r="R576">
        <f t="shared" si="216"/>
        <v>0</v>
      </c>
      <c r="S576">
        <f t="shared" si="217"/>
        <v>0</v>
      </c>
      <c r="T576">
        <f t="shared" si="218"/>
        <v>0</v>
      </c>
      <c r="U576">
        <f t="shared" si="219"/>
        <v>0</v>
      </c>
      <c r="V576">
        <f t="shared" si="220"/>
        <v>0</v>
      </c>
      <c r="W576">
        <f t="shared" si="221"/>
        <v>0</v>
      </c>
      <c r="X576">
        <f t="shared" si="222"/>
        <v>0</v>
      </c>
      <c r="Y576">
        <f t="shared" si="223"/>
        <v>0</v>
      </c>
      <c r="Z576">
        <f t="shared" si="224"/>
        <v>0</v>
      </c>
      <c r="AA576">
        <f t="shared" si="225"/>
        <v>0</v>
      </c>
      <c r="AB576">
        <f t="shared" si="208"/>
        <v>0</v>
      </c>
      <c r="AC576">
        <f t="shared" si="209"/>
        <v>0</v>
      </c>
      <c r="AD576">
        <f t="shared" si="210"/>
        <v>0</v>
      </c>
      <c r="AE576">
        <f t="shared" si="211"/>
        <v>0</v>
      </c>
      <c r="AF576">
        <f t="shared" si="212"/>
        <v>0</v>
      </c>
      <c r="AG576">
        <f t="shared" si="213"/>
        <v>1</v>
      </c>
      <c r="AH576">
        <f t="shared" si="226"/>
        <v>0</v>
      </c>
      <c r="AI576">
        <f t="shared" si="233"/>
        <v>0</v>
      </c>
      <c r="AJ576">
        <f t="shared" si="233"/>
        <v>0</v>
      </c>
      <c r="AK576">
        <f t="shared" si="233"/>
        <v>0</v>
      </c>
      <c r="AL576">
        <f t="shared" si="233"/>
        <v>0</v>
      </c>
      <c r="AM576">
        <f t="shared" si="233"/>
        <v>0</v>
      </c>
      <c r="AN576">
        <f t="shared" si="233"/>
        <v>1</v>
      </c>
      <c r="AO576">
        <f t="shared" si="233"/>
        <v>0</v>
      </c>
      <c r="AP576">
        <f t="shared" si="233"/>
        <v>0</v>
      </c>
      <c r="AQ576">
        <f t="shared" si="233"/>
        <v>0</v>
      </c>
      <c r="AR576">
        <f t="shared" si="233"/>
        <v>0</v>
      </c>
      <c r="AS576">
        <f t="shared" si="233"/>
        <v>0</v>
      </c>
      <c r="AT576">
        <f t="shared" si="233"/>
        <v>0</v>
      </c>
      <c r="AU576">
        <f t="shared" si="233"/>
        <v>0</v>
      </c>
      <c r="AV576">
        <f t="shared" si="233"/>
        <v>0</v>
      </c>
      <c r="AW576">
        <f t="shared" si="233"/>
        <v>0</v>
      </c>
      <c r="AX576">
        <f t="shared" si="232"/>
        <v>0</v>
      </c>
      <c r="AY576">
        <f t="shared" si="232"/>
        <v>1</v>
      </c>
      <c r="AZ576">
        <f t="shared" si="232"/>
        <v>0</v>
      </c>
      <c r="BA576">
        <f t="shared" si="228"/>
        <v>1</v>
      </c>
      <c r="BB576">
        <f t="shared" si="229"/>
        <v>1</v>
      </c>
    </row>
    <row r="577" spans="1:54">
      <c r="A577">
        <v>574</v>
      </c>
      <c r="B577" t="s">
        <v>30</v>
      </c>
      <c r="C577" t="s">
        <v>28</v>
      </c>
      <c r="D577" t="s">
        <v>22</v>
      </c>
      <c r="E577" t="s">
        <v>30</v>
      </c>
      <c r="F577" t="s">
        <v>29</v>
      </c>
      <c r="G577" t="s">
        <v>26</v>
      </c>
      <c r="H577" s="3">
        <v>3.3224296966575901E-3</v>
      </c>
      <c r="I577" s="3">
        <v>3.2762048824239898E-3</v>
      </c>
      <c r="J577" s="3">
        <v>2.8435282535637998E-3</v>
      </c>
      <c r="K577" s="3">
        <v>3.0337411697375998E-3</v>
      </c>
      <c r="L577" s="3">
        <v>2.2377109800959601E-3</v>
      </c>
      <c r="M577" s="3">
        <v>1.7909564020953E-3</v>
      </c>
      <c r="N577" s="3">
        <v>3.5934291581108798E-3</v>
      </c>
      <c r="O577" s="3">
        <v>2.3572637642400901E-3</v>
      </c>
      <c r="P577">
        <f t="shared" si="214"/>
        <v>1</v>
      </c>
      <c r="Q577">
        <f t="shared" si="215"/>
        <v>0</v>
      </c>
      <c r="R577">
        <f t="shared" si="216"/>
        <v>0</v>
      </c>
      <c r="S577">
        <f t="shared" si="217"/>
        <v>0</v>
      </c>
      <c r="T577">
        <f t="shared" si="218"/>
        <v>0</v>
      </c>
      <c r="U577">
        <f t="shared" si="219"/>
        <v>0</v>
      </c>
      <c r="V577">
        <f t="shared" si="220"/>
        <v>0</v>
      </c>
      <c r="W577">
        <f t="shared" si="221"/>
        <v>0</v>
      </c>
      <c r="X577">
        <f t="shared" si="222"/>
        <v>0</v>
      </c>
      <c r="Y577">
        <f t="shared" si="223"/>
        <v>0</v>
      </c>
      <c r="Z577">
        <f t="shared" si="224"/>
        <v>0</v>
      </c>
      <c r="AA577">
        <f t="shared" si="225"/>
        <v>0</v>
      </c>
      <c r="AB577">
        <f t="shared" si="208"/>
        <v>0</v>
      </c>
      <c r="AC577">
        <f t="shared" si="209"/>
        <v>0</v>
      </c>
      <c r="AD577">
        <f t="shared" si="210"/>
        <v>0</v>
      </c>
      <c r="AE577">
        <f t="shared" si="211"/>
        <v>0</v>
      </c>
      <c r="AF577">
        <f t="shared" si="212"/>
        <v>0</v>
      </c>
      <c r="AG577">
        <f t="shared" si="213"/>
        <v>1</v>
      </c>
      <c r="AH577">
        <f t="shared" si="226"/>
        <v>0</v>
      </c>
      <c r="AI577">
        <f t="shared" si="233"/>
        <v>0</v>
      </c>
      <c r="AJ577">
        <f t="shared" si="233"/>
        <v>1</v>
      </c>
      <c r="AK577">
        <f t="shared" si="233"/>
        <v>0</v>
      </c>
      <c r="AL577">
        <f t="shared" si="233"/>
        <v>0</v>
      </c>
      <c r="AM577">
        <f t="shared" si="233"/>
        <v>0</v>
      </c>
      <c r="AN577">
        <f t="shared" si="233"/>
        <v>0</v>
      </c>
      <c r="AO577">
        <f t="shared" si="233"/>
        <v>0</v>
      </c>
      <c r="AP577">
        <f t="shared" si="233"/>
        <v>0</v>
      </c>
      <c r="AQ577">
        <f t="shared" si="233"/>
        <v>0</v>
      </c>
      <c r="AR577">
        <f t="shared" si="233"/>
        <v>0</v>
      </c>
      <c r="AS577">
        <f t="shared" si="233"/>
        <v>0</v>
      </c>
      <c r="AT577">
        <f t="shared" si="233"/>
        <v>0</v>
      </c>
      <c r="AU577">
        <f t="shared" si="233"/>
        <v>0</v>
      </c>
      <c r="AV577">
        <f t="shared" si="233"/>
        <v>0</v>
      </c>
      <c r="AW577">
        <f t="shared" si="233"/>
        <v>0</v>
      </c>
      <c r="AX577">
        <f t="shared" si="232"/>
        <v>0</v>
      </c>
      <c r="AY577">
        <f t="shared" si="232"/>
        <v>1</v>
      </c>
      <c r="AZ577">
        <f t="shared" si="232"/>
        <v>0</v>
      </c>
      <c r="BA577">
        <f t="shared" si="228"/>
        <v>1</v>
      </c>
      <c r="BB577">
        <f t="shared" si="229"/>
        <v>1</v>
      </c>
    </row>
    <row r="578" spans="1:54">
      <c r="A578">
        <v>575</v>
      </c>
      <c r="B578" t="s">
        <v>30</v>
      </c>
      <c r="C578" t="s">
        <v>28</v>
      </c>
      <c r="D578" t="s">
        <v>23</v>
      </c>
      <c r="E578" t="s">
        <v>30</v>
      </c>
      <c r="F578" t="s">
        <v>28</v>
      </c>
      <c r="G578" t="s">
        <v>24</v>
      </c>
      <c r="H578" s="3">
        <v>3.00666022271713E-2</v>
      </c>
      <c r="I578" s="3">
        <v>2.9525380716368701E-2</v>
      </c>
      <c r="J578" s="3">
        <v>2.51889254767203E-2</v>
      </c>
      <c r="K578" s="3">
        <v>2.69487214379312E-2</v>
      </c>
      <c r="L578" s="3">
        <v>1.9313427921540099E-2</v>
      </c>
      <c r="M578" s="3">
        <v>1.5181224838500099E-2</v>
      </c>
      <c r="N578" s="3">
        <v>3.30151153540175E-2</v>
      </c>
      <c r="O578" s="3">
        <v>2.04194693027554E-2</v>
      </c>
      <c r="P578">
        <f t="shared" si="214"/>
        <v>0</v>
      </c>
      <c r="Q578">
        <f t="shared" si="215"/>
        <v>1</v>
      </c>
      <c r="R578">
        <f t="shared" si="216"/>
        <v>1</v>
      </c>
      <c r="S578">
        <f t="shared" si="217"/>
        <v>0</v>
      </c>
      <c r="T578">
        <f t="shared" si="218"/>
        <v>0</v>
      </c>
      <c r="U578">
        <f t="shared" si="219"/>
        <v>0</v>
      </c>
      <c r="V578">
        <f t="shared" si="220"/>
        <v>0</v>
      </c>
      <c r="W578">
        <f t="shared" si="221"/>
        <v>0</v>
      </c>
      <c r="X578">
        <f t="shared" si="222"/>
        <v>0</v>
      </c>
      <c r="Y578">
        <f t="shared" si="223"/>
        <v>0</v>
      </c>
      <c r="Z578">
        <f t="shared" si="224"/>
        <v>0</v>
      </c>
      <c r="AA578">
        <f t="shared" si="225"/>
        <v>0</v>
      </c>
      <c r="AB578">
        <f t="shared" si="208"/>
        <v>0</v>
      </c>
      <c r="AC578">
        <f t="shared" si="209"/>
        <v>0</v>
      </c>
      <c r="AD578">
        <f t="shared" si="210"/>
        <v>0</v>
      </c>
      <c r="AE578">
        <f t="shared" si="211"/>
        <v>0</v>
      </c>
      <c r="AF578">
        <f t="shared" si="212"/>
        <v>1</v>
      </c>
      <c r="AG578">
        <f t="shared" si="213"/>
        <v>1</v>
      </c>
      <c r="AH578">
        <f t="shared" si="226"/>
        <v>0</v>
      </c>
      <c r="AI578">
        <f t="shared" si="233"/>
        <v>0</v>
      </c>
      <c r="AJ578">
        <f t="shared" si="233"/>
        <v>0</v>
      </c>
      <c r="AK578">
        <f t="shared" si="233"/>
        <v>0</v>
      </c>
      <c r="AL578">
        <f t="shared" si="233"/>
        <v>0</v>
      </c>
      <c r="AM578">
        <f t="shared" si="233"/>
        <v>0</v>
      </c>
      <c r="AN578">
        <f t="shared" si="233"/>
        <v>0</v>
      </c>
      <c r="AO578">
        <f t="shared" si="233"/>
        <v>0</v>
      </c>
      <c r="AP578">
        <f t="shared" si="233"/>
        <v>0</v>
      </c>
      <c r="AQ578">
        <f t="shared" si="233"/>
        <v>0</v>
      </c>
      <c r="AR578">
        <f t="shared" si="233"/>
        <v>0</v>
      </c>
      <c r="AS578">
        <f t="shared" si="233"/>
        <v>0</v>
      </c>
      <c r="AT578">
        <f t="shared" si="233"/>
        <v>0</v>
      </c>
      <c r="AU578">
        <f t="shared" si="233"/>
        <v>1</v>
      </c>
      <c r="AV578">
        <f t="shared" si="233"/>
        <v>0</v>
      </c>
      <c r="AW578">
        <f t="shared" si="233"/>
        <v>0</v>
      </c>
      <c r="AX578">
        <f t="shared" si="232"/>
        <v>0</v>
      </c>
      <c r="AY578">
        <f t="shared" si="232"/>
        <v>0</v>
      </c>
      <c r="AZ578">
        <f t="shared" si="232"/>
        <v>0</v>
      </c>
      <c r="BA578">
        <f t="shared" si="228"/>
        <v>0</v>
      </c>
      <c r="BB578">
        <f t="shared" si="229"/>
        <v>0</v>
      </c>
    </row>
    <row r="579" spans="1:54">
      <c r="A579">
        <v>576</v>
      </c>
      <c r="B579" t="s">
        <v>30</v>
      </c>
      <c r="C579" t="s">
        <v>28</v>
      </c>
      <c r="D579" t="s">
        <v>23</v>
      </c>
      <c r="E579" t="s">
        <v>30</v>
      </c>
      <c r="F579" t="s">
        <v>28</v>
      </c>
      <c r="G579" t="s">
        <v>25</v>
      </c>
      <c r="H579" s="3">
        <v>2.2794976659796799E-2</v>
      </c>
      <c r="I579" s="3">
        <v>2.2008341050901301E-2</v>
      </c>
      <c r="J579" s="3">
        <v>1.9486165163732999E-2</v>
      </c>
      <c r="K579" s="3">
        <v>2.0133360598010401E-2</v>
      </c>
      <c r="L579" s="3">
        <v>1.48678888810828E-2</v>
      </c>
      <c r="M579" s="3">
        <v>1.20055834501346E-2</v>
      </c>
      <c r="N579" s="3">
        <v>2.4541691306918901E-2</v>
      </c>
      <c r="O579" s="3">
        <v>1.61769321994721E-2</v>
      </c>
      <c r="P579">
        <f t="shared" si="214"/>
        <v>0</v>
      </c>
      <c r="Q579">
        <f t="shared" si="215"/>
        <v>1</v>
      </c>
      <c r="R579">
        <f t="shared" si="216"/>
        <v>0</v>
      </c>
      <c r="S579">
        <f t="shared" si="217"/>
        <v>0</v>
      </c>
      <c r="T579">
        <f t="shared" si="218"/>
        <v>0</v>
      </c>
      <c r="U579">
        <f t="shared" si="219"/>
        <v>0</v>
      </c>
      <c r="V579">
        <f t="shared" si="220"/>
        <v>0</v>
      </c>
      <c r="W579">
        <f t="shared" si="221"/>
        <v>0</v>
      </c>
      <c r="X579">
        <f t="shared" si="222"/>
        <v>0</v>
      </c>
      <c r="Y579">
        <f t="shared" si="223"/>
        <v>0</v>
      </c>
      <c r="Z579">
        <f t="shared" si="224"/>
        <v>0</v>
      </c>
      <c r="AA579">
        <f t="shared" si="225"/>
        <v>0</v>
      </c>
      <c r="AB579">
        <f t="shared" ref="AB579:AB642" si="234">IF(AND(AND(C579="windows",D579="clang"),AND(F579="windows",G579="clang")),1,0)</f>
        <v>0</v>
      </c>
      <c r="AC579">
        <f t="shared" ref="AC579:AC642" si="235">IF(AND(OR(D579="clang",D579="gcc",D579="msvc"),OR(G579="gcc",G579="clang",G579="msvc")),1,0)</f>
        <v>0</v>
      </c>
      <c r="AD579">
        <f t="shared" ref="AD579:AD642" si="236">IF(AND(OR(D579="go",D579="tgo"),OR(G579="go",G579="tgo")),1,0)</f>
        <v>0</v>
      </c>
      <c r="AE579">
        <f t="shared" ref="AE579:AE642" si="237">IF(AND(OR(D579="rs-pure",D579="rs-sys"),OR(G579="rs-pure",G579="rs-sys")),1,0)</f>
        <v>0</v>
      </c>
      <c r="AF579">
        <f t="shared" ref="AF579:AF642" si="238">IF(C579=F579,1,0)</f>
        <v>1</v>
      </c>
      <c r="AG579">
        <f t="shared" ref="AG579:AG642" si="239">IF(B579=E579,1,0)</f>
        <v>1</v>
      </c>
      <c r="AH579">
        <f t="shared" si="226"/>
        <v>0</v>
      </c>
      <c r="AI579">
        <f t="shared" ref="AI579:AW595" si="240">IF(OR(AND($D579=AI$1,$G579=AI$2),AND($D579=AI$2,$G579=AI$1)),1,0)</f>
        <v>0</v>
      </c>
      <c r="AJ579">
        <f t="shared" si="240"/>
        <v>0</v>
      </c>
      <c r="AK579">
        <f t="shared" si="240"/>
        <v>0</v>
      </c>
      <c r="AL579">
        <f t="shared" si="240"/>
        <v>0</v>
      </c>
      <c r="AM579">
        <f t="shared" si="240"/>
        <v>0</v>
      </c>
      <c r="AN579">
        <f t="shared" si="240"/>
        <v>0</v>
      </c>
      <c r="AO579">
        <f t="shared" si="240"/>
        <v>1</v>
      </c>
      <c r="AP579">
        <f t="shared" si="240"/>
        <v>0</v>
      </c>
      <c r="AQ579">
        <f t="shared" si="240"/>
        <v>0</v>
      </c>
      <c r="AR579">
        <f t="shared" si="240"/>
        <v>0</v>
      </c>
      <c r="AS579">
        <f t="shared" si="240"/>
        <v>0</v>
      </c>
      <c r="AT579">
        <f t="shared" si="240"/>
        <v>0</v>
      </c>
      <c r="AU579">
        <f t="shared" si="240"/>
        <v>0</v>
      </c>
      <c r="AV579">
        <f t="shared" si="240"/>
        <v>0</v>
      </c>
      <c r="AW579">
        <f t="shared" si="240"/>
        <v>0</v>
      </c>
      <c r="AX579">
        <f t="shared" si="232"/>
        <v>0</v>
      </c>
      <c r="AY579">
        <f t="shared" si="232"/>
        <v>0</v>
      </c>
      <c r="AZ579">
        <f t="shared" si="232"/>
        <v>0</v>
      </c>
      <c r="BA579">
        <f t="shared" si="228"/>
        <v>1</v>
      </c>
      <c r="BB579">
        <f t="shared" si="229"/>
        <v>0</v>
      </c>
    </row>
    <row r="580" spans="1:54">
      <c r="A580">
        <v>577</v>
      </c>
      <c r="B580" t="s">
        <v>30</v>
      </c>
      <c r="C580" t="s">
        <v>28</v>
      </c>
      <c r="D580" t="s">
        <v>23</v>
      </c>
      <c r="E580" t="s">
        <v>30</v>
      </c>
      <c r="F580" t="s">
        <v>28</v>
      </c>
      <c r="G580" t="s">
        <v>26</v>
      </c>
      <c r="H580" s="3">
        <v>2.31498748937876E-2</v>
      </c>
      <c r="I580" s="3">
        <v>2.2437187558469102E-2</v>
      </c>
      <c r="J580" s="3">
        <v>1.9790671887739E-2</v>
      </c>
      <c r="K580" s="3">
        <v>2.0598676174292199E-2</v>
      </c>
      <c r="L580" s="3">
        <v>1.51483169786209E-2</v>
      </c>
      <c r="M580" s="3">
        <v>1.22300284393079E-2</v>
      </c>
      <c r="N580" s="3">
        <v>2.49174422095466E-2</v>
      </c>
      <c r="O580" s="3">
        <v>1.6496186633742901E-2</v>
      </c>
      <c r="P580">
        <f t="shared" ref="P580:P643" si="241">IF(OR(AND($C580="linux",$D580="clang"),AND($F580="linux",$G580="clang")),1,0)</f>
        <v>0</v>
      </c>
      <c r="Q580">
        <f t="shared" ref="Q580:Q643" si="242">IF(OR(AND($C580="linux",$D580="gcc"),AND($F580="linux",$G580="gcc")),1,0)</f>
        <v>1</v>
      </c>
      <c r="R580">
        <f t="shared" ref="R580:R643" si="243">IF(OR(AND($C580="linux",$D580="go"),AND($F580="linux",$G580="go")),1,0)</f>
        <v>0</v>
      </c>
      <c r="S580">
        <f t="shared" ref="S580:S643" si="244">IF(OR(AND($C580="linux",$D580="tgo"),AND($F580="linux",$G580="tgo")),1,0)</f>
        <v>0</v>
      </c>
      <c r="T580">
        <f t="shared" ref="T580:T643" si="245">IF(OR(AND($C580="darwin",$D580="clang"),AND($F580="darwin",$G580="clang")),1,0)</f>
        <v>0</v>
      </c>
      <c r="U580">
        <f t="shared" ref="U580:U643" si="246">IF(OR(AND($C580="darwin",$D580="gcc"),AND($F580="darwin",$G580="gcc")),1,0)</f>
        <v>0</v>
      </c>
      <c r="V580">
        <f t="shared" ref="V580:V643" si="247">IF(OR(AND($C580="darwin",$D580="go"),AND($F580="darwin",$G580="go")),1,0)</f>
        <v>0</v>
      </c>
      <c r="W580">
        <f t="shared" ref="W580:W643" si="248">IF(OR(AND($C580="darwin",$D580="tgo"),AND($F580="darwin",$G580="tgo")),1,0)</f>
        <v>0</v>
      </c>
      <c r="X580">
        <f t="shared" ref="X580:X643" si="249">IF(OR(AND($C580="windows",$D580="clang"),AND($F580="windows",$G580="clang")),1,0)</f>
        <v>0</v>
      </c>
      <c r="Y580">
        <f t="shared" ref="Y580:Y643" si="250">IF(OR(AND($C580="windows",$D580="gcc"),AND($F580="windows",$G580="gcc")),1,0)</f>
        <v>0</v>
      </c>
      <c r="Z580">
        <f t="shared" ref="Z580:Z643" si="251">IF(OR(AND($C580="windows",$D580="msvc"),AND($F580="windows",$G580="msvc")),1,0)</f>
        <v>0</v>
      </c>
      <c r="AA580">
        <f t="shared" ref="AA580:AA643" si="252">IF(OR(AND($C580="windows",$D580="go"),AND($F580="windows",$G580="go")),1,0)</f>
        <v>0</v>
      </c>
      <c r="AB580">
        <f t="shared" si="234"/>
        <v>0</v>
      </c>
      <c r="AC580">
        <f t="shared" si="235"/>
        <v>0</v>
      </c>
      <c r="AD580">
        <f t="shared" si="236"/>
        <v>0</v>
      </c>
      <c r="AE580">
        <f t="shared" si="237"/>
        <v>0</v>
      </c>
      <c r="AF580">
        <f t="shared" si="238"/>
        <v>1</v>
      </c>
      <c r="AG580">
        <f t="shared" si="239"/>
        <v>1</v>
      </c>
      <c r="AH580">
        <f t="shared" ref="AH580:AH643" si="253">IF(SUM(AC580:AE580)=1,1,0)</f>
        <v>0</v>
      </c>
      <c r="AI580">
        <f t="shared" si="240"/>
        <v>0</v>
      </c>
      <c r="AJ580">
        <f t="shared" si="240"/>
        <v>0</v>
      </c>
      <c r="AK580">
        <f t="shared" si="240"/>
        <v>1</v>
      </c>
      <c r="AL580">
        <f t="shared" si="240"/>
        <v>0</v>
      </c>
      <c r="AM580">
        <f t="shared" si="240"/>
        <v>0</v>
      </c>
      <c r="AN580">
        <f t="shared" si="240"/>
        <v>0</v>
      </c>
      <c r="AO580">
        <f t="shared" si="240"/>
        <v>0</v>
      </c>
      <c r="AP580">
        <f t="shared" si="240"/>
        <v>0</v>
      </c>
      <c r="AQ580">
        <f t="shared" si="240"/>
        <v>0</v>
      </c>
      <c r="AR580">
        <f t="shared" si="240"/>
        <v>0</v>
      </c>
      <c r="AS580">
        <f t="shared" si="240"/>
        <v>0</v>
      </c>
      <c r="AT580">
        <f t="shared" si="240"/>
        <v>0</v>
      </c>
      <c r="AU580">
        <f t="shared" si="240"/>
        <v>0</v>
      </c>
      <c r="AV580">
        <f t="shared" si="240"/>
        <v>0</v>
      </c>
      <c r="AW580">
        <f t="shared" si="240"/>
        <v>0</v>
      </c>
      <c r="AX580">
        <f t="shared" ref="AX580:AZ611" si="254">IF(OR(AND($C580=AX$1,$F580=AX$2),AND($C580=AX$2,$F580=AX$1)),1,0)</f>
        <v>0</v>
      </c>
      <c r="AY580">
        <f t="shared" si="254"/>
        <v>0</v>
      </c>
      <c r="AZ580">
        <f t="shared" si="254"/>
        <v>0</v>
      </c>
      <c r="BA580">
        <f t="shared" ref="BA580:BA643" si="255">IF(SUM(AI580:AQ580)=1,1,0)</f>
        <v>1</v>
      </c>
      <c r="BB580">
        <f t="shared" ref="BB580:BB643" si="256">IF(OR(C580="windows",F580="windows"),1,0)</f>
        <v>0</v>
      </c>
    </row>
    <row r="581" spans="1:54">
      <c r="A581">
        <v>578</v>
      </c>
      <c r="B581" t="s">
        <v>30</v>
      </c>
      <c r="C581" t="s">
        <v>28</v>
      </c>
      <c r="D581" t="s">
        <v>23</v>
      </c>
      <c r="E581" t="s">
        <v>30</v>
      </c>
      <c r="F581" t="s">
        <v>28</v>
      </c>
      <c r="G581" t="s">
        <v>27</v>
      </c>
      <c r="H581" s="3">
        <v>6.3183076972253602E-2</v>
      </c>
      <c r="I581" s="3">
        <v>6.0157755335950802E-2</v>
      </c>
      <c r="J581" s="3">
        <v>5.2286004532268802E-2</v>
      </c>
      <c r="K581" s="3">
        <v>5.4242204461614603E-2</v>
      </c>
      <c r="L581" s="3">
        <v>3.9994065616545497E-2</v>
      </c>
      <c r="M581" s="3">
        <v>3.1603419982710802E-2</v>
      </c>
      <c r="N581" s="3">
        <v>6.8425391591096396E-2</v>
      </c>
      <c r="O581" s="3">
        <v>4.1712873916883698E-2</v>
      </c>
      <c r="P581">
        <f t="shared" si="241"/>
        <v>0</v>
      </c>
      <c r="Q581">
        <f t="shared" si="242"/>
        <v>1</v>
      </c>
      <c r="R581">
        <f t="shared" si="243"/>
        <v>0</v>
      </c>
      <c r="S581">
        <f t="shared" si="244"/>
        <v>1</v>
      </c>
      <c r="T581">
        <f t="shared" si="245"/>
        <v>0</v>
      </c>
      <c r="U581">
        <f t="shared" si="246"/>
        <v>0</v>
      </c>
      <c r="V581">
        <f t="shared" si="247"/>
        <v>0</v>
      </c>
      <c r="W581">
        <f t="shared" si="248"/>
        <v>0</v>
      </c>
      <c r="X581">
        <f t="shared" si="249"/>
        <v>0</v>
      </c>
      <c r="Y581">
        <f t="shared" si="250"/>
        <v>0</v>
      </c>
      <c r="Z581">
        <f t="shared" si="251"/>
        <v>0</v>
      </c>
      <c r="AA581">
        <f t="shared" si="252"/>
        <v>0</v>
      </c>
      <c r="AB581">
        <f t="shared" si="234"/>
        <v>0</v>
      </c>
      <c r="AC581">
        <f t="shared" si="235"/>
        <v>0</v>
      </c>
      <c r="AD581">
        <f t="shared" si="236"/>
        <v>0</v>
      </c>
      <c r="AE581">
        <f t="shared" si="237"/>
        <v>0</v>
      </c>
      <c r="AF581">
        <f t="shared" si="238"/>
        <v>1</v>
      </c>
      <c r="AG581">
        <f t="shared" si="239"/>
        <v>1</v>
      </c>
      <c r="AH581">
        <f t="shared" si="253"/>
        <v>0</v>
      </c>
      <c r="AI581">
        <f t="shared" si="240"/>
        <v>0</v>
      </c>
      <c r="AJ581">
        <f t="shared" si="240"/>
        <v>0</v>
      </c>
      <c r="AK581">
        <f t="shared" si="240"/>
        <v>0</v>
      </c>
      <c r="AL581">
        <f t="shared" si="240"/>
        <v>0</v>
      </c>
      <c r="AM581">
        <f t="shared" si="240"/>
        <v>0</v>
      </c>
      <c r="AN581">
        <f t="shared" si="240"/>
        <v>0</v>
      </c>
      <c r="AO581">
        <f t="shared" si="240"/>
        <v>0</v>
      </c>
      <c r="AP581">
        <f t="shared" si="240"/>
        <v>0</v>
      </c>
      <c r="AQ581">
        <f t="shared" si="240"/>
        <v>0</v>
      </c>
      <c r="AR581">
        <f t="shared" si="240"/>
        <v>0</v>
      </c>
      <c r="AS581">
        <f t="shared" si="240"/>
        <v>0</v>
      </c>
      <c r="AT581">
        <f t="shared" si="240"/>
        <v>0</v>
      </c>
      <c r="AU581">
        <f t="shared" si="240"/>
        <v>0</v>
      </c>
      <c r="AV581">
        <f t="shared" si="240"/>
        <v>1</v>
      </c>
      <c r="AW581">
        <f t="shared" si="240"/>
        <v>0</v>
      </c>
      <c r="AX581">
        <f t="shared" si="254"/>
        <v>0</v>
      </c>
      <c r="AY581">
        <f t="shared" si="254"/>
        <v>0</v>
      </c>
      <c r="AZ581">
        <f t="shared" si="254"/>
        <v>0</v>
      </c>
      <c r="BA581">
        <f t="shared" si="255"/>
        <v>0</v>
      </c>
      <c r="BB581">
        <f t="shared" si="256"/>
        <v>0</v>
      </c>
    </row>
    <row r="582" spans="1:54">
      <c r="A582">
        <v>579</v>
      </c>
      <c r="B582" t="s">
        <v>30</v>
      </c>
      <c r="C582" t="s">
        <v>28</v>
      </c>
      <c r="D582" t="s">
        <v>23</v>
      </c>
      <c r="E582" t="s">
        <v>30</v>
      </c>
      <c r="F582" t="s">
        <v>29</v>
      </c>
      <c r="G582" t="s">
        <v>22</v>
      </c>
      <c r="H582" s="3">
        <v>2.9872082455744301E-2</v>
      </c>
      <c r="I582" s="3">
        <v>2.9586333373370698E-2</v>
      </c>
      <c r="J582" s="3">
        <v>2.55433384255398E-2</v>
      </c>
      <c r="K582" s="3">
        <v>2.77303683257441E-2</v>
      </c>
      <c r="L582" s="3">
        <v>2.03097501465129E-2</v>
      </c>
      <c r="M582" s="3">
        <v>1.6476940366901501E-2</v>
      </c>
      <c r="N582" s="3">
        <v>3.1959953792837802E-2</v>
      </c>
      <c r="O582" s="3">
        <v>2.1748529460678699E-2</v>
      </c>
      <c r="P582">
        <f t="shared" si="241"/>
        <v>0</v>
      </c>
      <c r="Q582">
        <f t="shared" si="242"/>
        <v>1</v>
      </c>
      <c r="R582">
        <f t="shared" si="243"/>
        <v>0</v>
      </c>
      <c r="S582">
        <f t="shared" si="244"/>
        <v>0</v>
      </c>
      <c r="T582">
        <f t="shared" si="245"/>
        <v>0</v>
      </c>
      <c r="U582">
        <f t="shared" si="246"/>
        <v>0</v>
      </c>
      <c r="V582">
        <f t="shared" si="247"/>
        <v>0</v>
      </c>
      <c r="W582">
        <f t="shared" si="248"/>
        <v>0</v>
      </c>
      <c r="X582">
        <f t="shared" si="249"/>
        <v>1</v>
      </c>
      <c r="Y582">
        <f t="shared" si="250"/>
        <v>0</v>
      </c>
      <c r="Z582">
        <f t="shared" si="251"/>
        <v>0</v>
      </c>
      <c r="AA582">
        <f t="shared" si="252"/>
        <v>0</v>
      </c>
      <c r="AB582">
        <f t="shared" si="234"/>
        <v>0</v>
      </c>
      <c r="AC582">
        <f t="shared" si="235"/>
        <v>1</v>
      </c>
      <c r="AD582">
        <f t="shared" si="236"/>
        <v>0</v>
      </c>
      <c r="AE582">
        <f t="shared" si="237"/>
        <v>0</v>
      </c>
      <c r="AF582">
        <f t="shared" si="238"/>
        <v>0</v>
      </c>
      <c r="AG582">
        <f t="shared" si="239"/>
        <v>1</v>
      </c>
      <c r="AH582">
        <f t="shared" si="253"/>
        <v>1</v>
      </c>
      <c r="AI582">
        <f t="shared" si="240"/>
        <v>0</v>
      </c>
      <c r="AJ582">
        <f t="shared" si="240"/>
        <v>0</v>
      </c>
      <c r="AK582">
        <f t="shared" si="240"/>
        <v>0</v>
      </c>
      <c r="AL582">
        <f t="shared" si="240"/>
        <v>0</v>
      </c>
      <c r="AM582">
        <f t="shared" si="240"/>
        <v>0</v>
      </c>
      <c r="AN582">
        <f t="shared" si="240"/>
        <v>0</v>
      </c>
      <c r="AO582">
        <f t="shared" si="240"/>
        <v>0</v>
      </c>
      <c r="AP582">
        <f t="shared" si="240"/>
        <v>0</v>
      </c>
      <c r="AQ582">
        <f t="shared" si="240"/>
        <v>0</v>
      </c>
      <c r="AR582">
        <f t="shared" si="240"/>
        <v>1</v>
      </c>
      <c r="AS582">
        <f t="shared" si="240"/>
        <v>0</v>
      </c>
      <c r="AT582">
        <f t="shared" si="240"/>
        <v>0</v>
      </c>
      <c r="AU582">
        <f t="shared" si="240"/>
        <v>0</v>
      </c>
      <c r="AV582">
        <f t="shared" si="240"/>
        <v>0</v>
      </c>
      <c r="AW582">
        <f t="shared" si="240"/>
        <v>0</v>
      </c>
      <c r="AX582">
        <f t="shared" si="254"/>
        <v>0</v>
      </c>
      <c r="AY582">
        <f t="shared" si="254"/>
        <v>1</v>
      </c>
      <c r="AZ582">
        <f t="shared" si="254"/>
        <v>0</v>
      </c>
      <c r="BA582">
        <f t="shared" si="255"/>
        <v>0</v>
      </c>
      <c r="BB582">
        <f t="shared" si="256"/>
        <v>1</v>
      </c>
    </row>
    <row r="583" spans="1:54">
      <c r="A583">
        <v>580</v>
      </c>
      <c r="B583" t="s">
        <v>30</v>
      </c>
      <c r="C583" t="s">
        <v>28</v>
      </c>
      <c r="D583" t="s">
        <v>23</v>
      </c>
      <c r="E583" t="s">
        <v>30</v>
      </c>
      <c r="F583" t="s">
        <v>29</v>
      </c>
      <c r="G583" t="s">
        <v>23</v>
      </c>
      <c r="H583" s="3">
        <v>0.73991203247886095</v>
      </c>
      <c r="I583" s="3">
        <v>0.73405832171205598</v>
      </c>
      <c r="J583" s="3">
        <v>0.67948982453442897</v>
      </c>
      <c r="K583" s="3">
        <v>0.70616848318221304</v>
      </c>
      <c r="L583" s="3">
        <v>0.64546889407705899</v>
      </c>
      <c r="M583" s="3">
        <v>0.58663000883627803</v>
      </c>
      <c r="N583" s="3">
        <v>0.77570093457943901</v>
      </c>
      <c r="O583" s="3">
        <v>0.64076503233040005</v>
      </c>
      <c r="P583">
        <f t="shared" si="241"/>
        <v>0</v>
      </c>
      <c r="Q583">
        <f t="shared" si="242"/>
        <v>1</v>
      </c>
      <c r="R583">
        <f t="shared" si="243"/>
        <v>0</v>
      </c>
      <c r="S583">
        <f t="shared" si="244"/>
        <v>0</v>
      </c>
      <c r="T583">
        <f t="shared" si="245"/>
        <v>0</v>
      </c>
      <c r="U583">
        <f t="shared" si="246"/>
        <v>0</v>
      </c>
      <c r="V583">
        <f t="shared" si="247"/>
        <v>0</v>
      </c>
      <c r="W583">
        <f t="shared" si="248"/>
        <v>0</v>
      </c>
      <c r="X583">
        <f t="shared" si="249"/>
        <v>0</v>
      </c>
      <c r="Y583">
        <f t="shared" si="250"/>
        <v>1</v>
      </c>
      <c r="Z583">
        <f t="shared" si="251"/>
        <v>0</v>
      </c>
      <c r="AA583">
        <f t="shared" si="252"/>
        <v>0</v>
      </c>
      <c r="AB583">
        <f t="shared" si="234"/>
        <v>0</v>
      </c>
      <c r="AC583">
        <f t="shared" si="235"/>
        <v>1</v>
      </c>
      <c r="AD583">
        <f t="shared" si="236"/>
        <v>0</v>
      </c>
      <c r="AE583">
        <f t="shared" si="237"/>
        <v>0</v>
      </c>
      <c r="AF583">
        <f t="shared" si="238"/>
        <v>0</v>
      </c>
      <c r="AG583">
        <f t="shared" si="239"/>
        <v>1</v>
      </c>
      <c r="AH583">
        <f t="shared" si="253"/>
        <v>1</v>
      </c>
      <c r="AI583">
        <f t="shared" si="240"/>
        <v>0</v>
      </c>
      <c r="AJ583">
        <f t="shared" si="240"/>
        <v>0</v>
      </c>
      <c r="AK583">
        <f t="shared" si="240"/>
        <v>0</v>
      </c>
      <c r="AL583">
        <f t="shared" si="240"/>
        <v>0</v>
      </c>
      <c r="AM583">
        <f t="shared" si="240"/>
        <v>0</v>
      </c>
      <c r="AN583">
        <f t="shared" si="240"/>
        <v>0</v>
      </c>
      <c r="AO583">
        <f t="shared" si="240"/>
        <v>0</v>
      </c>
      <c r="AP583">
        <f t="shared" si="240"/>
        <v>0</v>
      </c>
      <c r="AQ583">
        <f t="shared" si="240"/>
        <v>0</v>
      </c>
      <c r="AR583">
        <f t="shared" si="240"/>
        <v>0</v>
      </c>
      <c r="AS583">
        <f t="shared" si="240"/>
        <v>0</v>
      </c>
      <c r="AT583">
        <f t="shared" si="240"/>
        <v>0</v>
      </c>
      <c r="AU583">
        <f t="shared" si="240"/>
        <v>0</v>
      </c>
      <c r="AV583">
        <f t="shared" si="240"/>
        <v>0</v>
      </c>
      <c r="AW583">
        <f t="shared" si="240"/>
        <v>0</v>
      </c>
      <c r="AX583">
        <f t="shared" si="254"/>
        <v>0</v>
      </c>
      <c r="AY583">
        <f t="shared" si="254"/>
        <v>1</v>
      </c>
      <c r="AZ583">
        <f t="shared" si="254"/>
        <v>0</v>
      </c>
      <c r="BA583">
        <f t="shared" si="255"/>
        <v>0</v>
      </c>
      <c r="BB583">
        <f t="shared" si="256"/>
        <v>1</v>
      </c>
    </row>
    <row r="584" spans="1:54">
      <c r="A584">
        <v>581</v>
      </c>
      <c r="B584" t="s">
        <v>30</v>
      </c>
      <c r="C584" t="s">
        <v>28</v>
      </c>
      <c r="D584" t="s">
        <v>23</v>
      </c>
      <c r="E584" t="s">
        <v>30</v>
      </c>
      <c r="F584" t="s">
        <v>29</v>
      </c>
      <c r="G584" t="s">
        <v>24</v>
      </c>
      <c r="H584" s="3">
        <v>4.3828329878482897E-2</v>
      </c>
      <c r="I584" s="3">
        <v>4.26318393207306E-2</v>
      </c>
      <c r="J584" s="3">
        <v>3.6877618571038703E-2</v>
      </c>
      <c r="K584" s="3">
        <v>3.8868141333072703E-2</v>
      </c>
      <c r="L584" s="3">
        <v>2.8162932493772198E-2</v>
      </c>
      <c r="M584" s="3">
        <v>2.2021062481289301E-2</v>
      </c>
      <c r="N584" s="3">
        <v>4.7728579643473198E-2</v>
      </c>
      <c r="O584" s="3">
        <v>3.0093099747273699E-2</v>
      </c>
      <c r="P584">
        <f t="shared" si="241"/>
        <v>0</v>
      </c>
      <c r="Q584">
        <f t="shared" si="242"/>
        <v>1</v>
      </c>
      <c r="R584">
        <f t="shared" si="243"/>
        <v>0</v>
      </c>
      <c r="S584">
        <f t="shared" si="244"/>
        <v>0</v>
      </c>
      <c r="T584">
        <f t="shared" si="245"/>
        <v>0</v>
      </c>
      <c r="U584">
        <f t="shared" si="246"/>
        <v>0</v>
      </c>
      <c r="V584">
        <f t="shared" si="247"/>
        <v>0</v>
      </c>
      <c r="W584">
        <f t="shared" si="248"/>
        <v>0</v>
      </c>
      <c r="X584">
        <f t="shared" si="249"/>
        <v>0</v>
      </c>
      <c r="Y584">
        <f t="shared" si="250"/>
        <v>0</v>
      </c>
      <c r="Z584">
        <f t="shared" si="251"/>
        <v>0</v>
      </c>
      <c r="AA584">
        <f t="shared" si="252"/>
        <v>1</v>
      </c>
      <c r="AB584">
        <f t="shared" si="234"/>
        <v>0</v>
      </c>
      <c r="AC584">
        <f t="shared" si="235"/>
        <v>0</v>
      </c>
      <c r="AD584">
        <f t="shared" si="236"/>
        <v>0</v>
      </c>
      <c r="AE584">
        <f t="shared" si="237"/>
        <v>0</v>
      </c>
      <c r="AF584">
        <f t="shared" si="238"/>
        <v>0</v>
      </c>
      <c r="AG584">
        <f t="shared" si="239"/>
        <v>1</v>
      </c>
      <c r="AH584">
        <f t="shared" si="253"/>
        <v>0</v>
      </c>
      <c r="AI584">
        <f t="shared" si="240"/>
        <v>0</v>
      </c>
      <c r="AJ584">
        <f t="shared" si="240"/>
        <v>0</v>
      </c>
      <c r="AK584">
        <f t="shared" si="240"/>
        <v>0</v>
      </c>
      <c r="AL584">
        <f t="shared" si="240"/>
        <v>0</v>
      </c>
      <c r="AM584">
        <f t="shared" si="240"/>
        <v>0</v>
      </c>
      <c r="AN584">
        <f t="shared" si="240"/>
        <v>0</v>
      </c>
      <c r="AO584">
        <f t="shared" si="240"/>
        <v>0</v>
      </c>
      <c r="AP584">
        <f t="shared" si="240"/>
        <v>0</v>
      </c>
      <c r="AQ584">
        <f t="shared" si="240"/>
        <v>0</v>
      </c>
      <c r="AR584">
        <f t="shared" si="240"/>
        <v>0</v>
      </c>
      <c r="AS584">
        <f t="shared" si="240"/>
        <v>0</v>
      </c>
      <c r="AT584">
        <f t="shared" si="240"/>
        <v>0</v>
      </c>
      <c r="AU584">
        <f t="shared" si="240"/>
        <v>1</v>
      </c>
      <c r="AV584">
        <f t="shared" si="240"/>
        <v>0</v>
      </c>
      <c r="AW584">
        <f t="shared" si="240"/>
        <v>0</v>
      </c>
      <c r="AX584">
        <f t="shared" si="254"/>
        <v>0</v>
      </c>
      <c r="AY584">
        <f t="shared" si="254"/>
        <v>1</v>
      </c>
      <c r="AZ584">
        <f t="shared" si="254"/>
        <v>0</v>
      </c>
      <c r="BA584">
        <f t="shared" si="255"/>
        <v>0</v>
      </c>
      <c r="BB584">
        <f t="shared" si="256"/>
        <v>1</v>
      </c>
    </row>
    <row r="585" spans="1:54">
      <c r="A585">
        <v>582</v>
      </c>
      <c r="B585" t="s">
        <v>30</v>
      </c>
      <c r="C585" t="s">
        <v>28</v>
      </c>
      <c r="D585" t="s">
        <v>23</v>
      </c>
      <c r="E585" t="s">
        <v>30</v>
      </c>
      <c r="F585" t="s">
        <v>29</v>
      </c>
      <c r="G585" t="s">
        <v>31</v>
      </c>
      <c r="H585" s="3">
        <v>0.55329752413142497</v>
      </c>
      <c r="I585" s="3">
        <v>0.55596196589482605</v>
      </c>
      <c r="J585" s="3">
        <v>0.45463851630794799</v>
      </c>
      <c r="K585" s="3">
        <v>0.498967316412813</v>
      </c>
      <c r="L585" s="3">
        <v>0.37054733223097602</v>
      </c>
      <c r="M585" s="3">
        <v>0.29025756793298402</v>
      </c>
      <c r="N585" s="3">
        <v>0.63846153846153797</v>
      </c>
      <c r="O585" s="3">
        <v>0.36370799632008799</v>
      </c>
      <c r="P585">
        <f t="shared" si="241"/>
        <v>0</v>
      </c>
      <c r="Q585">
        <f t="shared" si="242"/>
        <v>1</v>
      </c>
      <c r="R585">
        <f t="shared" si="243"/>
        <v>0</v>
      </c>
      <c r="S585">
        <f t="shared" si="244"/>
        <v>0</v>
      </c>
      <c r="T585">
        <f t="shared" si="245"/>
        <v>0</v>
      </c>
      <c r="U585">
        <f t="shared" si="246"/>
        <v>0</v>
      </c>
      <c r="V585">
        <f t="shared" si="247"/>
        <v>0</v>
      </c>
      <c r="W585">
        <f t="shared" si="248"/>
        <v>0</v>
      </c>
      <c r="X585">
        <f t="shared" si="249"/>
        <v>0</v>
      </c>
      <c r="Y585">
        <f t="shared" si="250"/>
        <v>0</v>
      </c>
      <c r="Z585">
        <f t="shared" si="251"/>
        <v>1</v>
      </c>
      <c r="AA585">
        <f t="shared" si="252"/>
        <v>0</v>
      </c>
      <c r="AB585">
        <f t="shared" si="234"/>
        <v>0</v>
      </c>
      <c r="AC585">
        <f t="shared" si="235"/>
        <v>1</v>
      </c>
      <c r="AD585">
        <f t="shared" si="236"/>
        <v>0</v>
      </c>
      <c r="AE585">
        <f t="shared" si="237"/>
        <v>0</v>
      </c>
      <c r="AF585">
        <f t="shared" si="238"/>
        <v>0</v>
      </c>
      <c r="AG585">
        <f t="shared" si="239"/>
        <v>1</v>
      </c>
      <c r="AH585">
        <f t="shared" si="253"/>
        <v>1</v>
      </c>
      <c r="AI585">
        <f t="shared" si="240"/>
        <v>0</v>
      </c>
      <c r="AJ585">
        <f t="shared" si="240"/>
        <v>0</v>
      </c>
      <c r="AK585">
        <f t="shared" si="240"/>
        <v>0</v>
      </c>
      <c r="AL585">
        <f t="shared" si="240"/>
        <v>0</v>
      </c>
      <c r="AM585">
        <f t="shared" si="240"/>
        <v>0</v>
      </c>
      <c r="AN585">
        <f t="shared" si="240"/>
        <v>0</v>
      </c>
      <c r="AO585">
        <f t="shared" si="240"/>
        <v>0</v>
      </c>
      <c r="AP585">
        <f t="shared" si="240"/>
        <v>0</v>
      </c>
      <c r="AQ585">
        <f t="shared" si="240"/>
        <v>0</v>
      </c>
      <c r="AR585">
        <f t="shared" si="240"/>
        <v>0</v>
      </c>
      <c r="AS585">
        <f t="shared" si="240"/>
        <v>0</v>
      </c>
      <c r="AT585">
        <f t="shared" si="240"/>
        <v>0</v>
      </c>
      <c r="AU585">
        <f t="shared" si="240"/>
        <v>0</v>
      </c>
      <c r="AV585">
        <f t="shared" si="240"/>
        <v>0</v>
      </c>
      <c r="AW585">
        <f t="shared" si="240"/>
        <v>0</v>
      </c>
      <c r="AX585">
        <f t="shared" si="254"/>
        <v>0</v>
      </c>
      <c r="AY585">
        <f t="shared" si="254"/>
        <v>1</v>
      </c>
      <c r="AZ585">
        <f t="shared" si="254"/>
        <v>0</v>
      </c>
      <c r="BA585">
        <f t="shared" si="255"/>
        <v>0</v>
      </c>
      <c r="BB585">
        <f t="shared" si="256"/>
        <v>1</v>
      </c>
    </row>
    <row r="586" spans="1:54">
      <c r="A586">
        <v>583</v>
      </c>
      <c r="B586" t="s">
        <v>30</v>
      </c>
      <c r="C586" t="s">
        <v>28</v>
      </c>
      <c r="D586" t="s">
        <v>23</v>
      </c>
      <c r="E586" t="s">
        <v>30</v>
      </c>
      <c r="F586" t="s">
        <v>29</v>
      </c>
      <c r="G586" t="s">
        <v>25</v>
      </c>
      <c r="H586" s="3">
        <v>3.8517643299453199E-3</v>
      </c>
      <c r="I586" s="3">
        <v>3.7492710937721001E-3</v>
      </c>
      <c r="J586" s="3">
        <v>3.2861900756283599E-3</v>
      </c>
      <c r="K586" s="3">
        <v>3.44084663021415E-3</v>
      </c>
      <c r="L586" s="3">
        <v>2.5696611205603698E-3</v>
      </c>
      <c r="M586" s="3">
        <v>2.0634228699126099E-3</v>
      </c>
      <c r="N586" s="3">
        <v>4.1664575071532501E-3</v>
      </c>
      <c r="O586" s="3">
        <v>2.6984906804098699E-3</v>
      </c>
      <c r="P586">
        <f t="shared" si="241"/>
        <v>0</v>
      </c>
      <c r="Q586">
        <f t="shared" si="242"/>
        <v>1</v>
      </c>
      <c r="R586">
        <f t="shared" si="243"/>
        <v>0</v>
      </c>
      <c r="S586">
        <f t="shared" si="244"/>
        <v>0</v>
      </c>
      <c r="T586">
        <f t="shared" si="245"/>
        <v>0</v>
      </c>
      <c r="U586">
        <f t="shared" si="246"/>
        <v>0</v>
      </c>
      <c r="V586">
        <f t="shared" si="247"/>
        <v>0</v>
      </c>
      <c r="W586">
        <f t="shared" si="248"/>
        <v>0</v>
      </c>
      <c r="X586">
        <f t="shared" si="249"/>
        <v>0</v>
      </c>
      <c r="Y586">
        <f t="shared" si="250"/>
        <v>0</v>
      </c>
      <c r="Z586">
        <f t="shared" si="251"/>
        <v>0</v>
      </c>
      <c r="AA586">
        <f t="shared" si="252"/>
        <v>0</v>
      </c>
      <c r="AB586">
        <f t="shared" si="234"/>
        <v>0</v>
      </c>
      <c r="AC586">
        <f t="shared" si="235"/>
        <v>0</v>
      </c>
      <c r="AD586">
        <f t="shared" si="236"/>
        <v>0</v>
      </c>
      <c r="AE586">
        <f t="shared" si="237"/>
        <v>0</v>
      </c>
      <c r="AF586">
        <f t="shared" si="238"/>
        <v>0</v>
      </c>
      <c r="AG586">
        <f t="shared" si="239"/>
        <v>1</v>
      </c>
      <c r="AH586">
        <f t="shared" si="253"/>
        <v>0</v>
      </c>
      <c r="AI586">
        <f t="shared" si="240"/>
        <v>0</v>
      </c>
      <c r="AJ586">
        <f t="shared" si="240"/>
        <v>0</v>
      </c>
      <c r="AK586">
        <f t="shared" si="240"/>
        <v>0</v>
      </c>
      <c r="AL586">
        <f t="shared" si="240"/>
        <v>0</v>
      </c>
      <c r="AM586">
        <f t="shared" si="240"/>
        <v>0</v>
      </c>
      <c r="AN586">
        <f t="shared" si="240"/>
        <v>0</v>
      </c>
      <c r="AO586">
        <f t="shared" si="240"/>
        <v>1</v>
      </c>
      <c r="AP586">
        <f t="shared" si="240"/>
        <v>0</v>
      </c>
      <c r="AQ586">
        <f t="shared" si="240"/>
        <v>0</v>
      </c>
      <c r="AR586">
        <f t="shared" si="240"/>
        <v>0</v>
      </c>
      <c r="AS586">
        <f t="shared" si="240"/>
        <v>0</v>
      </c>
      <c r="AT586">
        <f t="shared" si="240"/>
        <v>0</v>
      </c>
      <c r="AU586">
        <f t="shared" si="240"/>
        <v>0</v>
      </c>
      <c r="AV586">
        <f t="shared" si="240"/>
        <v>0</v>
      </c>
      <c r="AW586">
        <f t="shared" si="240"/>
        <v>0</v>
      </c>
      <c r="AX586">
        <f t="shared" si="254"/>
        <v>0</v>
      </c>
      <c r="AY586">
        <f t="shared" si="254"/>
        <v>1</v>
      </c>
      <c r="AZ586">
        <f t="shared" si="254"/>
        <v>0</v>
      </c>
      <c r="BA586">
        <f t="shared" si="255"/>
        <v>1</v>
      </c>
      <c r="BB586">
        <f t="shared" si="256"/>
        <v>1</v>
      </c>
    </row>
    <row r="587" spans="1:54">
      <c r="A587">
        <v>584</v>
      </c>
      <c r="B587" t="s">
        <v>30</v>
      </c>
      <c r="C587" t="s">
        <v>28</v>
      </c>
      <c r="D587" t="s">
        <v>23</v>
      </c>
      <c r="E587" t="s">
        <v>30</v>
      </c>
      <c r="F587" t="s">
        <v>29</v>
      </c>
      <c r="G587" t="s">
        <v>26</v>
      </c>
      <c r="H587" s="3">
        <v>3.9398363163149199E-3</v>
      </c>
      <c r="I587" s="3">
        <v>3.8425233683168801E-3</v>
      </c>
      <c r="J587" s="3">
        <v>3.3594523974160499E-3</v>
      </c>
      <c r="K587" s="3">
        <v>3.5318317333727601E-3</v>
      </c>
      <c r="L587" s="3">
        <v>2.6278153267123498E-3</v>
      </c>
      <c r="M587" s="3">
        <v>2.1093682449071101E-3</v>
      </c>
      <c r="N587" s="3">
        <v>4.2607802874743304E-3</v>
      </c>
      <c r="O587" s="3">
        <v>2.7627805187169598E-3</v>
      </c>
      <c r="P587">
        <f t="shared" si="241"/>
        <v>0</v>
      </c>
      <c r="Q587">
        <f t="shared" si="242"/>
        <v>1</v>
      </c>
      <c r="R587">
        <f t="shared" si="243"/>
        <v>0</v>
      </c>
      <c r="S587">
        <f t="shared" si="244"/>
        <v>0</v>
      </c>
      <c r="T587">
        <f t="shared" si="245"/>
        <v>0</v>
      </c>
      <c r="U587">
        <f t="shared" si="246"/>
        <v>0</v>
      </c>
      <c r="V587">
        <f t="shared" si="247"/>
        <v>0</v>
      </c>
      <c r="W587">
        <f t="shared" si="248"/>
        <v>0</v>
      </c>
      <c r="X587">
        <f t="shared" si="249"/>
        <v>0</v>
      </c>
      <c r="Y587">
        <f t="shared" si="250"/>
        <v>0</v>
      </c>
      <c r="Z587">
        <f t="shared" si="251"/>
        <v>0</v>
      </c>
      <c r="AA587">
        <f t="shared" si="252"/>
        <v>0</v>
      </c>
      <c r="AB587">
        <f t="shared" si="234"/>
        <v>0</v>
      </c>
      <c r="AC587">
        <f t="shared" si="235"/>
        <v>0</v>
      </c>
      <c r="AD587">
        <f t="shared" si="236"/>
        <v>0</v>
      </c>
      <c r="AE587">
        <f t="shared" si="237"/>
        <v>0</v>
      </c>
      <c r="AF587">
        <f t="shared" si="238"/>
        <v>0</v>
      </c>
      <c r="AG587">
        <f t="shared" si="239"/>
        <v>1</v>
      </c>
      <c r="AH587">
        <f t="shared" si="253"/>
        <v>0</v>
      </c>
      <c r="AI587">
        <f t="shared" si="240"/>
        <v>0</v>
      </c>
      <c r="AJ587">
        <f t="shared" si="240"/>
        <v>0</v>
      </c>
      <c r="AK587">
        <f t="shared" si="240"/>
        <v>1</v>
      </c>
      <c r="AL587">
        <f t="shared" si="240"/>
        <v>0</v>
      </c>
      <c r="AM587">
        <f t="shared" si="240"/>
        <v>0</v>
      </c>
      <c r="AN587">
        <f t="shared" si="240"/>
        <v>0</v>
      </c>
      <c r="AO587">
        <f t="shared" si="240"/>
        <v>0</v>
      </c>
      <c r="AP587">
        <f t="shared" si="240"/>
        <v>0</v>
      </c>
      <c r="AQ587">
        <f t="shared" si="240"/>
        <v>0</v>
      </c>
      <c r="AR587">
        <f t="shared" si="240"/>
        <v>0</v>
      </c>
      <c r="AS587">
        <f t="shared" si="240"/>
        <v>0</v>
      </c>
      <c r="AT587">
        <f t="shared" si="240"/>
        <v>0</v>
      </c>
      <c r="AU587">
        <f t="shared" si="240"/>
        <v>0</v>
      </c>
      <c r="AV587">
        <f t="shared" si="240"/>
        <v>0</v>
      </c>
      <c r="AW587">
        <f t="shared" si="240"/>
        <v>0</v>
      </c>
      <c r="AX587">
        <f t="shared" si="254"/>
        <v>0</v>
      </c>
      <c r="AY587">
        <f t="shared" si="254"/>
        <v>1</v>
      </c>
      <c r="AZ587">
        <f t="shared" si="254"/>
        <v>0</v>
      </c>
      <c r="BA587">
        <f t="shared" si="255"/>
        <v>1</v>
      </c>
      <c r="BB587">
        <f t="shared" si="256"/>
        <v>1</v>
      </c>
    </row>
    <row r="588" spans="1:54">
      <c r="A588">
        <v>585</v>
      </c>
      <c r="B588" t="s">
        <v>30</v>
      </c>
      <c r="C588" t="s">
        <v>28</v>
      </c>
      <c r="D588" t="s">
        <v>24</v>
      </c>
      <c r="E588" t="s">
        <v>30</v>
      </c>
      <c r="F588" t="s">
        <v>28</v>
      </c>
      <c r="G588" t="s">
        <v>25</v>
      </c>
      <c r="H588" s="3">
        <v>0.58771801523497202</v>
      </c>
      <c r="I588" s="3">
        <v>0.61543541878152297</v>
      </c>
      <c r="J588" s="3">
        <v>0.44451518096413001</v>
      </c>
      <c r="K588" s="3">
        <v>0.532160761324599</v>
      </c>
      <c r="L588" s="3">
        <v>0.323298925790234</v>
      </c>
      <c r="M588" s="3">
        <v>0.23572639100414</v>
      </c>
      <c r="N588" s="3">
        <v>0.74333427609081304</v>
      </c>
      <c r="O588" s="3">
        <v>0.34114652700348802</v>
      </c>
      <c r="P588">
        <f t="shared" si="241"/>
        <v>0</v>
      </c>
      <c r="Q588">
        <f t="shared" si="242"/>
        <v>0</v>
      </c>
      <c r="R588">
        <f t="shared" si="243"/>
        <v>1</v>
      </c>
      <c r="S588">
        <f t="shared" si="244"/>
        <v>0</v>
      </c>
      <c r="T588">
        <f t="shared" si="245"/>
        <v>0</v>
      </c>
      <c r="U588">
        <f t="shared" si="246"/>
        <v>0</v>
      </c>
      <c r="V588">
        <f t="shared" si="247"/>
        <v>0</v>
      </c>
      <c r="W588">
        <f t="shared" si="248"/>
        <v>0</v>
      </c>
      <c r="X588">
        <f t="shared" si="249"/>
        <v>0</v>
      </c>
      <c r="Y588">
        <f t="shared" si="250"/>
        <v>0</v>
      </c>
      <c r="Z588">
        <f t="shared" si="251"/>
        <v>0</v>
      </c>
      <c r="AA588">
        <f t="shared" si="252"/>
        <v>0</v>
      </c>
      <c r="AB588">
        <f t="shared" si="234"/>
        <v>0</v>
      </c>
      <c r="AC588">
        <f t="shared" si="235"/>
        <v>0</v>
      </c>
      <c r="AD588">
        <f t="shared" si="236"/>
        <v>0</v>
      </c>
      <c r="AE588">
        <f t="shared" si="237"/>
        <v>0</v>
      </c>
      <c r="AF588">
        <f t="shared" si="238"/>
        <v>1</v>
      </c>
      <c r="AG588">
        <f t="shared" si="239"/>
        <v>1</v>
      </c>
      <c r="AH588">
        <f t="shared" si="253"/>
        <v>0</v>
      </c>
      <c r="AI588">
        <f t="shared" si="240"/>
        <v>0</v>
      </c>
      <c r="AJ588">
        <f t="shared" si="240"/>
        <v>0</v>
      </c>
      <c r="AK588">
        <f t="shared" si="240"/>
        <v>0</v>
      </c>
      <c r="AL588">
        <f t="shared" si="240"/>
        <v>0</v>
      </c>
      <c r="AM588">
        <f t="shared" si="240"/>
        <v>0</v>
      </c>
      <c r="AN588">
        <f t="shared" si="240"/>
        <v>0</v>
      </c>
      <c r="AO588">
        <f t="shared" si="240"/>
        <v>0</v>
      </c>
      <c r="AP588">
        <f t="shared" si="240"/>
        <v>1</v>
      </c>
      <c r="AQ588">
        <f t="shared" si="240"/>
        <v>0</v>
      </c>
      <c r="AR588">
        <f t="shared" si="240"/>
        <v>0</v>
      </c>
      <c r="AS588">
        <f t="shared" si="240"/>
        <v>0</v>
      </c>
      <c r="AT588">
        <f t="shared" si="240"/>
        <v>0</v>
      </c>
      <c r="AU588">
        <f t="shared" si="240"/>
        <v>0</v>
      </c>
      <c r="AV588">
        <f t="shared" si="240"/>
        <v>0</v>
      </c>
      <c r="AW588">
        <f t="shared" si="240"/>
        <v>0</v>
      </c>
      <c r="AX588">
        <f t="shared" si="254"/>
        <v>0</v>
      </c>
      <c r="AY588">
        <f t="shared" si="254"/>
        <v>0</v>
      </c>
      <c r="AZ588">
        <f t="shared" si="254"/>
        <v>0</v>
      </c>
      <c r="BA588">
        <f t="shared" si="255"/>
        <v>1</v>
      </c>
      <c r="BB588">
        <f t="shared" si="256"/>
        <v>0</v>
      </c>
    </row>
    <row r="589" spans="1:54">
      <c r="A589">
        <v>586</v>
      </c>
      <c r="B589" t="s">
        <v>30</v>
      </c>
      <c r="C589" t="s">
        <v>28</v>
      </c>
      <c r="D589" t="s">
        <v>24</v>
      </c>
      <c r="E589" t="s">
        <v>30</v>
      </c>
      <c r="F589" t="s">
        <v>28</v>
      </c>
      <c r="G589" t="s">
        <v>26</v>
      </c>
      <c r="H589" s="3">
        <v>0.59542496452093296</v>
      </c>
      <c r="I589" s="3">
        <v>0.62298609083274203</v>
      </c>
      <c r="J589" s="3">
        <v>0.447635649035595</v>
      </c>
      <c r="K589" s="3">
        <v>0.537831802257148</v>
      </c>
      <c r="L589" s="3">
        <v>0.32697223550307503</v>
      </c>
      <c r="M589" s="3">
        <v>0.238493794751511</v>
      </c>
      <c r="N589" s="3">
        <v>0.754728309816871</v>
      </c>
      <c r="O589" s="3">
        <v>0.34363711868429397</v>
      </c>
      <c r="P589">
        <f t="shared" si="241"/>
        <v>0</v>
      </c>
      <c r="Q589">
        <f t="shared" si="242"/>
        <v>0</v>
      </c>
      <c r="R589">
        <f t="shared" si="243"/>
        <v>1</v>
      </c>
      <c r="S589">
        <f t="shared" si="244"/>
        <v>0</v>
      </c>
      <c r="T589">
        <f t="shared" si="245"/>
        <v>0</v>
      </c>
      <c r="U589">
        <f t="shared" si="246"/>
        <v>0</v>
      </c>
      <c r="V589">
        <f t="shared" si="247"/>
        <v>0</v>
      </c>
      <c r="W589">
        <f t="shared" si="248"/>
        <v>0</v>
      </c>
      <c r="X589">
        <f t="shared" si="249"/>
        <v>0</v>
      </c>
      <c r="Y589">
        <f t="shared" si="250"/>
        <v>0</v>
      </c>
      <c r="Z589">
        <f t="shared" si="251"/>
        <v>0</v>
      </c>
      <c r="AA589">
        <f t="shared" si="252"/>
        <v>0</v>
      </c>
      <c r="AB589">
        <f t="shared" si="234"/>
        <v>0</v>
      </c>
      <c r="AC589">
        <f t="shared" si="235"/>
        <v>0</v>
      </c>
      <c r="AD589">
        <f t="shared" si="236"/>
        <v>0</v>
      </c>
      <c r="AE589">
        <f t="shared" si="237"/>
        <v>0</v>
      </c>
      <c r="AF589">
        <f t="shared" si="238"/>
        <v>1</v>
      </c>
      <c r="AG589">
        <f t="shared" si="239"/>
        <v>1</v>
      </c>
      <c r="AH589">
        <f t="shared" si="253"/>
        <v>0</v>
      </c>
      <c r="AI589">
        <f t="shared" si="240"/>
        <v>0</v>
      </c>
      <c r="AJ589">
        <f t="shared" si="240"/>
        <v>0</v>
      </c>
      <c r="AK589">
        <f t="shared" si="240"/>
        <v>0</v>
      </c>
      <c r="AL589">
        <f t="shared" si="240"/>
        <v>1</v>
      </c>
      <c r="AM589">
        <f t="shared" si="240"/>
        <v>0</v>
      </c>
      <c r="AN589">
        <f t="shared" si="240"/>
        <v>0</v>
      </c>
      <c r="AO589">
        <f t="shared" si="240"/>
        <v>0</v>
      </c>
      <c r="AP589">
        <f t="shared" si="240"/>
        <v>0</v>
      </c>
      <c r="AQ589">
        <f t="shared" si="240"/>
        <v>0</v>
      </c>
      <c r="AR589">
        <f t="shared" si="240"/>
        <v>0</v>
      </c>
      <c r="AS589">
        <f t="shared" si="240"/>
        <v>0</v>
      </c>
      <c r="AT589">
        <f t="shared" si="240"/>
        <v>0</v>
      </c>
      <c r="AU589">
        <f t="shared" si="240"/>
        <v>0</v>
      </c>
      <c r="AV589">
        <f t="shared" si="240"/>
        <v>0</v>
      </c>
      <c r="AW589">
        <f t="shared" si="240"/>
        <v>0</v>
      </c>
      <c r="AX589">
        <f t="shared" si="254"/>
        <v>0</v>
      </c>
      <c r="AY589">
        <f t="shared" si="254"/>
        <v>0</v>
      </c>
      <c r="AZ589">
        <f t="shared" si="254"/>
        <v>0</v>
      </c>
      <c r="BA589">
        <f t="shared" si="255"/>
        <v>1</v>
      </c>
      <c r="BB589">
        <f t="shared" si="256"/>
        <v>0</v>
      </c>
    </row>
    <row r="590" spans="1:54">
      <c r="A590">
        <v>587</v>
      </c>
      <c r="B590" t="s">
        <v>30</v>
      </c>
      <c r="C590" t="s">
        <v>28</v>
      </c>
      <c r="D590" t="s">
        <v>24</v>
      </c>
      <c r="E590" t="s">
        <v>30</v>
      </c>
      <c r="F590" t="s">
        <v>28</v>
      </c>
      <c r="G590" t="s">
        <v>27</v>
      </c>
      <c r="H590" s="3">
        <v>0.31400591936883898</v>
      </c>
      <c r="I590" s="3">
        <v>0.31015519573921002</v>
      </c>
      <c r="J590" s="3">
        <v>0.232483438436655</v>
      </c>
      <c r="K590" s="3">
        <v>0.25797657888694098</v>
      </c>
      <c r="L590" s="3">
        <v>0.18333097094659101</v>
      </c>
      <c r="M590" s="3">
        <v>0.137394902342172</v>
      </c>
      <c r="N590" s="3">
        <v>0.48249801113762902</v>
      </c>
      <c r="O590" s="3">
        <v>0.176849499543451</v>
      </c>
      <c r="P590">
        <f t="shared" si="241"/>
        <v>0</v>
      </c>
      <c r="Q590">
        <f t="shared" si="242"/>
        <v>0</v>
      </c>
      <c r="R590">
        <f t="shared" si="243"/>
        <v>1</v>
      </c>
      <c r="S590">
        <f t="shared" si="244"/>
        <v>1</v>
      </c>
      <c r="T590">
        <f t="shared" si="245"/>
        <v>0</v>
      </c>
      <c r="U590">
        <f t="shared" si="246"/>
        <v>0</v>
      </c>
      <c r="V590">
        <f t="shared" si="247"/>
        <v>0</v>
      </c>
      <c r="W590">
        <f t="shared" si="248"/>
        <v>0</v>
      </c>
      <c r="X590">
        <f t="shared" si="249"/>
        <v>0</v>
      </c>
      <c r="Y590">
        <f t="shared" si="250"/>
        <v>0</v>
      </c>
      <c r="Z590">
        <f t="shared" si="251"/>
        <v>0</v>
      </c>
      <c r="AA590">
        <f t="shared" si="252"/>
        <v>0</v>
      </c>
      <c r="AB590">
        <f t="shared" si="234"/>
        <v>0</v>
      </c>
      <c r="AC590">
        <f t="shared" si="235"/>
        <v>0</v>
      </c>
      <c r="AD590">
        <f t="shared" si="236"/>
        <v>1</v>
      </c>
      <c r="AE590">
        <f t="shared" si="237"/>
        <v>0</v>
      </c>
      <c r="AF590">
        <f t="shared" si="238"/>
        <v>1</v>
      </c>
      <c r="AG590">
        <f t="shared" si="239"/>
        <v>1</v>
      </c>
      <c r="AH590">
        <f t="shared" si="253"/>
        <v>1</v>
      </c>
      <c r="AI590">
        <f t="shared" si="240"/>
        <v>0</v>
      </c>
      <c r="AJ590">
        <f t="shared" si="240"/>
        <v>0</v>
      </c>
      <c r="AK590">
        <f t="shared" si="240"/>
        <v>0</v>
      </c>
      <c r="AL590">
        <f t="shared" si="240"/>
        <v>0</v>
      </c>
      <c r="AM590">
        <f t="shared" si="240"/>
        <v>0</v>
      </c>
      <c r="AN590">
        <f t="shared" si="240"/>
        <v>0</v>
      </c>
      <c r="AO590">
        <f t="shared" si="240"/>
        <v>0</v>
      </c>
      <c r="AP590">
        <f t="shared" si="240"/>
        <v>0</v>
      </c>
      <c r="AQ590">
        <f t="shared" si="240"/>
        <v>0</v>
      </c>
      <c r="AR590">
        <f t="shared" si="240"/>
        <v>0</v>
      </c>
      <c r="AS590">
        <f t="shared" si="240"/>
        <v>0</v>
      </c>
      <c r="AT590">
        <f t="shared" si="240"/>
        <v>0</v>
      </c>
      <c r="AU590">
        <f t="shared" si="240"/>
        <v>0</v>
      </c>
      <c r="AV590">
        <f t="shared" si="240"/>
        <v>0</v>
      </c>
      <c r="AW590">
        <f t="shared" si="240"/>
        <v>1</v>
      </c>
      <c r="AX590">
        <f t="shared" si="254"/>
        <v>0</v>
      </c>
      <c r="AY590">
        <f t="shared" si="254"/>
        <v>0</v>
      </c>
      <c r="AZ590">
        <f t="shared" si="254"/>
        <v>0</v>
      </c>
      <c r="BA590">
        <f t="shared" si="255"/>
        <v>0</v>
      </c>
      <c r="BB590">
        <f t="shared" si="256"/>
        <v>0</v>
      </c>
    </row>
    <row r="591" spans="1:54">
      <c r="A591">
        <v>588</v>
      </c>
      <c r="B591" t="s">
        <v>30</v>
      </c>
      <c r="C591" t="s">
        <v>28</v>
      </c>
      <c r="D591" t="s">
        <v>24</v>
      </c>
      <c r="E591" t="s">
        <v>30</v>
      </c>
      <c r="F591" t="s">
        <v>29</v>
      </c>
      <c r="G591" t="s">
        <v>22</v>
      </c>
      <c r="H591" s="3">
        <v>0.76145646607347295</v>
      </c>
      <c r="I591" s="3">
        <v>0.76014532082285502</v>
      </c>
      <c r="J591" s="3">
        <v>0.50625443168724804</v>
      </c>
      <c r="K591" s="3">
        <v>0.64361662024370903</v>
      </c>
      <c r="L591" s="3">
        <v>0.37793016362014997</v>
      </c>
      <c r="M591" s="3">
        <v>0.27560229592222502</v>
      </c>
      <c r="N591" s="3">
        <v>0.96552072399685196</v>
      </c>
      <c r="O591" s="3">
        <v>0.39048751980763902</v>
      </c>
      <c r="P591">
        <f t="shared" si="241"/>
        <v>0</v>
      </c>
      <c r="Q591">
        <f t="shared" si="242"/>
        <v>0</v>
      </c>
      <c r="R591">
        <f t="shared" si="243"/>
        <v>1</v>
      </c>
      <c r="S591">
        <f t="shared" si="244"/>
        <v>0</v>
      </c>
      <c r="T591">
        <f t="shared" si="245"/>
        <v>0</v>
      </c>
      <c r="U591">
        <f t="shared" si="246"/>
        <v>0</v>
      </c>
      <c r="V591">
        <f t="shared" si="247"/>
        <v>0</v>
      </c>
      <c r="W591">
        <f t="shared" si="248"/>
        <v>0</v>
      </c>
      <c r="X591">
        <f t="shared" si="249"/>
        <v>1</v>
      </c>
      <c r="Y591">
        <f t="shared" si="250"/>
        <v>0</v>
      </c>
      <c r="Z591">
        <f t="shared" si="251"/>
        <v>0</v>
      </c>
      <c r="AA591">
        <f t="shared" si="252"/>
        <v>0</v>
      </c>
      <c r="AB591">
        <f t="shared" si="234"/>
        <v>0</v>
      </c>
      <c r="AC591">
        <f t="shared" si="235"/>
        <v>0</v>
      </c>
      <c r="AD591">
        <f t="shared" si="236"/>
        <v>0</v>
      </c>
      <c r="AE591">
        <f t="shared" si="237"/>
        <v>0</v>
      </c>
      <c r="AF591">
        <f t="shared" si="238"/>
        <v>0</v>
      </c>
      <c r="AG591">
        <f t="shared" si="239"/>
        <v>1</v>
      </c>
      <c r="AH591">
        <f t="shared" si="253"/>
        <v>0</v>
      </c>
      <c r="AI591">
        <f t="shared" si="240"/>
        <v>0</v>
      </c>
      <c r="AJ591">
        <f t="shared" si="240"/>
        <v>0</v>
      </c>
      <c r="AK591">
        <f t="shared" si="240"/>
        <v>0</v>
      </c>
      <c r="AL591">
        <f t="shared" si="240"/>
        <v>0</v>
      </c>
      <c r="AM591">
        <f t="shared" si="240"/>
        <v>0</v>
      </c>
      <c r="AN591">
        <f t="shared" si="240"/>
        <v>0</v>
      </c>
      <c r="AO591">
        <f t="shared" si="240"/>
        <v>0</v>
      </c>
      <c r="AP591">
        <f t="shared" si="240"/>
        <v>0</v>
      </c>
      <c r="AQ591">
        <f t="shared" si="240"/>
        <v>0</v>
      </c>
      <c r="AR591">
        <f t="shared" si="240"/>
        <v>0</v>
      </c>
      <c r="AS591">
        <f t="shared" si="240"/>
        <v>1</v>
      </c>
      <c r="AT591">
        <f t="shared" si="240"/>
        <v>0</v>
      </c>
      <c r="AU591">
        <f t="shared" si="240"/>
        <v>0</v>
      </c>
      <c r="AV591">
        <f t="shared" si="240"/>
        <v>0</v>
      </c>
      <c r="AW591">
        <f t="shared" si="240"/>
        <v>0</v>
      </c>
      <c r="AX591">
        <f t="shared" si="254"/>
        <v>0</v>
      </c>
      <c r="AY591">
        <f t="shared" si="254"/>
        <v>1</v>
      </c>
      <c r="AZ591">
        <f t="shared" si="254"/>
        <v>0</v>
      </c>
      <c r="BA591">
        <f t="shared" si="255"/>
        <v>0</v>
      </c>
      <c r="BB591">
        <f t="shared" si="256"/>
        <v>1</v>
      </c>
    </row>
    <row r="592" spans="1:54">
      <c r="A592">
        <v>589</v>
      </c>
      <c r="B592" t="s">
        <v>30</v>
      </c>
      <c r="C592" t="s">
        <v>28</v>
      </c>
      <c r="D592" t="s">
        <v>24</v>
      </c>
      <c r="E592" t="s">
        <v>30</v>
      </c>
      <c r="F592" t="s">
        <v>29</v>
      </c>
      <c r="G592" t="s">
        <v>23</v>
      </c>
      <c r="H592" s="3">
        <v>3.87457522534084E-2</v>
      </c>
      <c r="I592" s="3">
        <v>3.7306114636515203E-2</v>
      </c>
      <c r="J592" s="3">
        <v>3.2769091467226799E-2</v>
      </c>
      <c r="K592" s="3">
        <v>3.3533450546598398E-2</v>
      </c>
      <c r="L592" s="3">
        <v>2.4556984713576601E-2</v>
      </c>
      <c r="M592" s="3">
        <v>1.9143263211734901E-2</v>
      </c>
      <c r="N592" s="3">
        <v>4.2561654733492403E-2</v>
      </c>
      <c r="O592" s="3">
        <v>2.6158725900246101E-2</v>
      </c>
      <c r="P592">
        <f t="shared" si="241"/>
        <v>0</v>
      </c>
      <c r="Q592">
        <f t="shared" si="242"/>
        <v>0</v>
      </c>
      <c r="R592">
        <f t="shared" si="243"/>
        <v>1</v>
      </c>
      <c r="S592">
        <f t="shared" si="244"/>
        <v>0</v>
      </c>
      <c r="T592">
        <f t="shared" si="245"/>
        <v>0</v>
      </c>
      <c r="U592">
        <f t="shared" si="246"/>
        <v>0</v>
      </c>
      <c r="V592">
        <f t="shared" si="247"/>
        <v>0</v>
      </c>
      <c r="W592">
        <f t="shared" si="248"/>
        <v>0</v>
      </c>
      <c r="X592">
        <f t="shared" si="249"/>
        <v>0</v>
      </c>
      <c r="Y592">
        <f t="shared" si="250"/>
        <v>1</v>
      </c>
      <c r="Z592">
        <f t="shared" si="251"/>
        <v>0</v>
      </c>
      <c r="AA592">
        <f t="shared" si="252"/>
        <v>0</v>
      </c>
      <c r="AB592">
        <f t="shared" si="234"/>
        <v>0</v>
      </c>
      <c r="AC592">
        <f t="shared" si="235"/>
        <v>0</v>
      </c>
      <c r="AD592">
        <f t="shared" si="236"/>
        <v>0</v>
      </c>
      <c r="AE592">
        <f t="shared" si="237"/>
        <v>0</v>
      </c>
      <c r="AF592">
        <f t="shared" si="238"/>
        <v>0</v>
      </c>
      <c r="AG592">
        <f t="shared" si="239"/>
        <v>1</v>
      </c>
      <c r="AH592">
        <f t="shared" si="253"/>
        <v>0</v>
      </c>
      <c r="AI592">
        <f t="shared" si="240"/>
        <v>0</v>
      </c>
      <c r="AJ592">
        <f t="shared" si="240"/>
        <v>0</v>
      </c>
      <c r="AK592">
        <f t="shared" si="240"/>
        <v>0</v>
      </c>
      <c r="AL592">
        <f t="shared" si="240"/>
        <v>0</v>
      </c>
      <c r="AM592">
        <f t="shared" si="240"/>
        <v>0</v>
      </c>
      <c r="AN592">
        <f t="shared" si="240"/>
        <v>0</v>
      </c>
      <c r="AO592">
        <f t="shared" si="240"/>
        <v>0</v>
      </c>
      <c r="AP592">
        <f t="shared" si="240"/>
        <v>0</v>
      </c>
      <c r="AQ592">
        <f t="shared" si="240"/>
        <v>0</v>
      </c>
      <c r="AR592">
        <f t="shared" si="240"/>
        <v>0</v>
      </c>
      <c r="AS592">
        <f t="shared" si="240"/>
        <v>0</v>
      </c>
      <c r="AT592">
        <f t="shared" si="240"/>
        <v>0</v>
      </c>
      <c r="AU592">
        <f t="shared" si="240"/>
        <v>1</v>
      </c>
      <c r="AV592">
        <f t="shared" si="240"/>
        <v>0</v>
      </c>
      <c r="AW592">
        <f t="shared" si="240"/>
        <v>0</v>
      </c>
      <c r="AX592">
        <f t="shared" si="254"/>
        <v>0</v>
      </c>
      <c r="AY592">
        <f t="shared" si="254"/>
        <v>1</v>
      </c>
      <c r="AZ592">
        <f t="shared" si="254"/>
        <v>0</v>
      </c>
      <c r="BA592">
        <f t="shared" si="255"/>
        <v>0</v>
      </c>
      <c r="BB592">
        <f t="shared" si="256"/>
        <v>1</v>
      </c>
    </row>
    <row r="593" spans="1:54">
      <c r="A593">
        <v>590</v>
      </c>
      <c r="B593" t="s">
        <v>30</v>
      </c>
      <c r="C593" t="s">
        <v>28</v>
      </c>
      <c r="D593" t="s">
        <v>24</v>
      </c>
      <c r="E593" t="s">
        <v>30</v>
      </c>
      <c r="F593" t="s">
        <v>29</v>
      </c>
      <c r="G593" t="s">
        <v>24</v>
      </c>
      <c r="H593" s="3">
        <v>0.62855320236838397</v>
      </c>
      <c r="I593" s="3">
        <v>0.65886130064829895</v>
      </c>
      <c r="J593" s="3">
        <v>0.54327355916120001</v>
      </c>
      <c r="K593" s="3">
        <v>0.63152880116271903</v>
      </c>
      <c r="L593" s="3">
        <v>0.482804248632275</v>
      </c>
      <c r="M593" s="3">
        <v>0.40194272584622998</v>
      </c>
      <c r="N593" s="3">
        <v>0.69172633253778804</v>
      </c>
      <c r="O593" s="3">
        <v>0.47094418632337798</v>
      </c>
      <c r="P593">
        <f t="shared" si="241"/>
        <v>0</v>
      </c>
      <c r="Q593">
        <f t="shared" si="242"/>
        <v>0</v>
      </c>
      <c r="R593">
        <f t="shared" si="243"/>
        <v>1</v>
      </c>
      <c r="S593">
        <f t="shared" si="244"/>
        <v>0</v>
      </c>
      <c r="T593">
        <f t="shared" si="245"/>
        <v>0</v>
      </c>
      <c r="U593">
        <f t="shared" si="246"/>
        <v>0</v>
      </c>
      <c r="V593">
        <f t="shared" si="247"/>
        <v>0</v>
      </c>
      <c r="W593">
        <f t="shared" si="248"/>
        <v>0</v>
      </c>
      <c r="X593">
        <f t="shared" si="249"/>
        <v>0</v>
      </c>
      <c r="Y593">
        <f t="shared" si="250"/>
        <v>0</v>
      </c>
      <c r="Z593">
        <f t="shared" si="251"/>
        <v>0</v>
      </c>
      <c r="AA593">
        <f t="shared" si="252"/>
        <v>1</v>
      </c>
      <c r="AB593">
        <f t="shared" si="234"/>
        <v>0</v>
      </c>
      <c r="AC593">
        <f t="shared" si="235"/>
        <v>0</v>
      </c>
      <c r="AD593">
        <f t="shared" si="236"/>
        <v>1</v>
      </c>
      <c r="AE593">
        <f t="shared" si="237"/>
        <v>0</v>
      </c>
      <c r="AF593">
        <f t="shared" si="238"/>
        <v>0</v>
      </c>
      <c r="AG593">
        <f t="shared" si="239"/>
        <v>1</v>
      </c>
      <c r="AH593">
        <f t="shared" si="253"/>
        <v>1</v>
      </c>
      <c r="AI593">
        <f t="shared" si="240"/>
        <v>0</v>
      </c>
      <c r="AJ593">
        <f t="shared" si="240"/>
        <v>0</v>
      </c>
      <c r="AK593">
        <f t="shared" si="240"/>
        <v>0</v>
      </c>
      <c r="AL593">
        <f t="shared" si="240"/>
        <v>0</v>
      </c>
      <c r="AM593">
        <f t="shared" si="240"/>
        <v>0</v>
      </c>
      <c r="AN593">
        <f t="shared" si="240"/>
        <v>0</v>
      </c>
      <c r="AO593">
        <f t="shared" si="240"/>
        <v>0</v>
      </c>
      <c r="AP593">
        <f t="shared" si="240"/>
        <v>0</v>
      </c>
      <c r="AQ593">
        <f t="shared" si="240"/>
        <v>0</v>
      </c>
      <c r="AR593">
        <f t="shared" si="240"/>
        <v>0</v>
      </c>
      <c r="AS593">
        <f t="shared" si="240"/>
        <v>0</v>
      </c>
      <c r="AT593">
        <f t="shared" si="240"/>
        <v>0</v>
      </c>
      <c r="AU593">
        <f t="shared" si="240"/>
        <v>0</v>
      </c>
      <c r="AV593">
        <f t="shared" si="240"/>
        <v>0</v>
      </c>
      <c r="AW593">
        <f t="shared" si="240"/>
        <v>0</v>
      </c>
      <c r="AX593">
        <f t="shared" si="254"/>
        <v>0</v>
      </c>
      <c r="AY593">
        <f t="shared" si="254"/>
        <v>1</v>
      </c>
      <c r="AZ593">
        <f t="shared" si="254"/>
        <v>0</v>
      </c>
      <c r="BA593">
        <f t="shared" si="255"/>
        <v>0</v>
      </c>
      <c r="BB593">
        <f t="shared" si="256"/>
        <v>1</v>
      </c>
    </row>
    <row r="594" spans="1:54">
      <c r="A594">
        <v>591</v>
      </c>
      <c r="B594" t="s">
        <v>30</v>
      </c>
      <c r="C594" t="s">
        <v>28</v>
      </c>
      <c r="D594" t="s">
        <v>24</v>
      </c>
      <c r="E594" t="s">
        <v>30</v>
      </c>
      <c r="F594" t="s">
        <v>29</v>
      </c>
      <c r="G594" t="s">
        <v>31</v>
      </c>
      <c r="H594" s="3">
        <v>4.7919660350709298E-2</v>
      </c>
      <c r="I594" s="3">
        <v>4.5213510528810598E-2</v>
      </c>
      <c r="J594" s="3">
        <v>4.1288034105897202E-2</v>
      </c>
      <c r="K594" s="3">
        <v>4.0764735430665902E-2</v>
      </c>
      <c r="L594" s="3">
        <v>3.2397164445492899E-2</v>
      </c>
      <c r="M594" s="3">
        <v>2.6290210937589199E-2</v>
      </c>
      <c r="N594" s="3">
        <v>5.1710421638822501E-2</v>
      </c>
      <c r="O594" s="3">
        <v>3.36611802421974E-2</v>
      </c>
      <c r="P594">
        <f t="shared" si="241"/>
        <v>0</v>
      </c>
      <c r="Q594">
        <f t="shared" si="242"/>
        <v>0</v>
      </c>
      <c r="R594">
        <f t="shared" si="243"/>
        <v>1</v>
      </c>
      <c r="S594">
        <f t="shared" si="244"/>
        <v>0</v>
      </c>
      <c r="T594">
        <f t="shared" si="245"/>
        <v>0</v>
      </c>
      <c r="U594">
        <f t="shared" si="246"/>
        <v>0</v>
      </c>
      <c r="V594">
        <f t="shared" si="247"/>
        <v>0</v>
      </c>
      <c r="W594">
        <f t="shared" si="248"/>
        <v>0</v>
      </c>
      <c r="X594">
        <f t="shared" si="249"/>
        <v>0</v>
      </c>
      <c r="Y594">
        <f t="shared" si="250"/>
        <v>0</v>
      </c>
      <c r="Z594">
        <f t="shared" si="251"/>
        <v>1</v>
      </c>
      <c r="AA594">
        <f t="shared" si="252"/>
        <v>0</v>
      </c>
      <c r="AB594">
        <f t="shared" si="234"/>
        <v>0</v>
      </c>
      <c r="AC594">
        <f t="shared" si="235"/>
        <v>0</v>
      </c>
      <c r="AD594">
        <f t="shared" si="236"/>
        <v>0</v>
      </c>
      <c r="AE594">
        <f t="shared" si="237"/>
        <v>0</v>
      </c>
      <c r="AF594">
        <f t="shared" si="238"/>
        <v>0</v>
      </c>
      <c r="AG594">
        <f t="shared" si="239"/>
        <v>1</v>
      </c>
      <c r="AH594">
        <f t="shared" si="253"/>
        <v>0</v>
      </c>
      <c r="AI594">
        <f t="shared" si="240"/>
        <v>0</v>
      </c>
      <c r="AJ594">
        <f t="shared" si="240"/>
        <v>0</v>
      </c>
      <c r="AK594">
        <f t="shared" si="240"/>
        <v>0</v>
      </c>
      <c r="AL594">
        <f t="shared" si="240"/>
        <v>0</v>
      </c>
      <c r="AM594">
        <f t="shared" si="240"/>
        <v>0</v>
      </c>
      <c r="AN594">
        <f t="shared" si="240"/>
        <v>0</v>
      </c>
      <c r="AO594">
        <f t="shared" si="240"/>
        <v>0</v>
      </c>
      <c r="AP594">
        <f t="shared" si="240"/>
        <v>0</v>
      </c>
      <c r="AQ594">
        <f t="shared" si="240"/>
        <v>0</v>
      </c>
      <c r="AR594">
        <f t="shared" si="240"/>
        <v>0</v>
      </c>
      <c r="AS594">
        <f t="shared" si="240"/>
        <v>0</v>
      </c>
      <c r="AT594">
        <f t="shared" si="240"/>
        <v>0</v>
      </c>
      <c r="AU594">
        <f t="shared" si="240"/>
        <v>0</v>
      </c>
      <c r="AV594">
        <f t="shared" si="240"/>
        <v>0</v>
      </c>
      <c r="AW594">
        <f t="shared" si="240"/>
        <v>0</v>
      </c>
      <c r="AX594">
        <f t="shared" si="254"/>
        <v>0</v>
      </c>
      <c r="AY594">
        <f t="shared" si="254"/>
        <v>1</v>
      </c>
      <c r="AZ594">
        <f t="shared" si="254"/>
        <v>0</v>
      </c>
      <c r="BA594">
        <f t="shared" si="255"/>
        <v>0</v>
      </c>
      <c r="BB594">
        <f t="shared" si="256"/>
        <v>1</v>
      </c>
    </row>
    <row r="595" spans="1:54">
      <c r="A595">
        <v>592</v>
      </c>
      <c r="B595" t="s">
        <v>30</v>
      </c>
      <c r="C595" t="s">
        <v>28</v>
      </c>
      <c r="D595" t="s">
        <v>24</v>
      </c>
      <c r="E595" t="s">
        <v>30</v>
      </c>
      <c r="F595" t="s">
        <v>29</v>
      </c>
      <c r="G595" t="s">
        <v>25</v>
      </c>
      <c r="H595" s="3">
        <v>0.10620629430846</v>
      </c>
      <c r="I595" s="3">
        <v>0.108481838758582</v>
      </c>
      <c r="J595" s="3">
        <v>7.6440437400716599E-2</v>
      </c>
      <c r="K595" s="3">
        <v>9.6042281609034594E-2</v>
      </c>
      <c r="L595" s="3">
        <v>5.7453824508465E-2</v>
      </c>
      <c r="M595" s="3">
        <v>4.3152021771089601E-2</v>
      </c>
      <c r="N595" s="3">
        <v>0.12619647608051801</v>
      </c>
      <c r="O595" s="3">
        <v>5.6449316707943897E-2</v>
      </c>
      <c r="P595">
        <f t="shared" si="241"/>
        <v>0</v>
      </c>
      <c r="Q595">
        <f t="shared" si="242"/>
        <v>0</v>
      </c>
      <c r="R595">
        <f t="shared" si="243"/>
        <v>1</v>
      </c>
      <c r="S595">
        <f t="shared" si="244"/>
        <v>0</v>
      </c>
      <c r="T595">
        <f t="shared" si="245"/>
        <v>0</v>
      </c>
      <c r="U595">
        <f t="shared" si="246"/>
        <v>0</v>
      </c>
      <c r="V595">
        <f t="shared" si="247"/>
        <v>0</v>
      </c>
      <c r="W595">
        <f t="shared" si="248"/>
        <v>0</v>
      </c>
      <c r="X595">
        <f t="shared" si="249"/>
        <v>0</v>
      </c>
      <c r="Y595">
        <f t="shared" si="250"/>
        <v>0</v>
      </c>
      <c r="Z595">
        <f t="shared" si="251"/>
        <v>0</v>
      </c>
      <c r="AA595">
        <f t="shared" si="252"/>
        <v>0</v>
      </c>
      <c r="AB595">
        <f t="shared" si="234"/>
        <v>0</v>
      </c>
      <c r="AC595">
        <f t="shared" si="235"/>
        <v>0</v>
      </c>
      <c r="AD595">
        <f t="shared" si="236"/>
        <v>0</v>
      </c>
      <c r="AE595">
        <f t="shared" si="237"/>
        <v>0</v>
      </c>
      <c r="AF595">
        <f t="shared" si="238"/>
        <v>0</v>
      </c>
      <c r="AG595">
        <f t="shared" si="239"/>
        <v>1</v>
      </c>
      <c r="AH595">
        <f t="shared" si="253"/>
        <v>0</v>
      </c>
      <c r="AI595">
        <f t="shared" si="240"/>
        <v>0</v>
      </c>
      <c r="AJ595">
        <f t="shared" si="240"/>
        <v>0</v>
      </c>
      <c r="AK595">
        <f t="shared" si="240"/>
        <v>0</v>
      </c>
      <c r="AL595">
        <f t="shared" si="240"/>
        <v>0</v>
      </c>
      <c r="AM595">
        <f t="shared" si="240"/>
        <v>0</v>
      </c>
      <c r="AN595">
        <f t="shared" si="240"/>
        <v>0</v>
      </c>
      <c r="AO595">
        <f t="shared" si="240"/>
        <v>0</v>
      </c>
      <c r="AP595">
        <f t="shared" si="240"/>
        <v>1</v>
      </c>
      <c r="AQ595">
        <f t="shared" si="240"/>
        <v>0</v>
      </c>
      <c r="AR595">
        <f t="shared" si="240"/>
        <v>0</v>
      </c>
      <c r="AS595">
        <f t="shared" si="240"/>
        <v>0</v>
      </c>
      <c r="AT595">
        <f t="shared" si="240"/>
        <v>0</v>
      </c>
      <c r="AU595">
        <f t="shared" si="240"/>
        <v>0</v>
      </c>
      <c r="AV595">
        <f t="shared" si="240"/>
        <v>0</v>
      </c>
      <c r="AW595">
        <f t="shared" si="240"/>
        <v>0</v>
      </c>
      <c r="AX595">
        <f t="shared" si="254"/>
        <v>0</v>
      </c>
      <c r="AY595">
        <f t="shared" si="254"/>
        <v>1</v>
      </c>
      <c r="AZ595">
        <f t="shared" si="254"/>
        <v>0</v>
      </c>
      <c r="BA595">
        <f t="shared" si="255"/>
        <v>1</v>
      </c>
      <c r="BB595">
        <f t="shared" si="256"/>
        <v>1</v>
      </c>
    </row>
    <row r="596" spans="1:54">
      <c r="A596">
        <v>593</v>
      </c>
      <c r="B596" t="s">
        <v>30</v>
      </c>
      <c r="C596" t="s">
        <v>28</v>
      </c>
      <c r="D596" t="s">
        <v>24</v>
      </c>
      <c r="E596" t="s">
        <v>30</v>
      </c>
      <c r="F596" t="s">
        <v>29</v>
      </c>
      <c r="G596" t="s">
        <v>26</v>
      </c>
      <c r="H596" s="3">
        <v>0.108595896942072</v>
      </c>
      <c r="I596" s="3">
        <v>0.110747464839567</v>
      </c>
      <c r="J596" s="3">
        <v>7.8142548538683895E-2</v>
      </c>
      <c r="K596" s="3">
        <v>9.7930118553010703E-2</v>
      </c>
      <c r="L596" s="3">
        <v>5.8775006901288798E-2</v>
      </c>
      <c r="M596" s="3">
        <v>4.4141645644936202E-2</v>
      </c>
      <c r="N596" s="3">
        <v>0.12905373032169701</v>
      </c>
      <c r="O596" s="3">
        <v>5.7700599271587501E-2</v>
      </c>
      <c r="P596">
        <f t="shared" si="241"/>
        <v>0</v>
      </c>
      <c r="Q596">
        <f t="shared" si="242"/>
        <v>0</v>
      </c>
      <c r="R596">
        <f t="shared" si="243"/>
        <v>1</v>
      </c>
      <c r="S596">
        <f t="shared" si="244"/>
        <v>0</v>
      </c>
      <c r="T596">
        <f t="shared" si="245"/>
        <v>0</v>
      </c>
      <c r="U596">
        <f t="shared" si="246"/>
        <v>0</v>
      </c>
      <c r="V596">
        <f t="shared" si="247"/>
        <v>0</v>
      </c>
      <c r="W596">
        <f t="shared" si="248"/>
        <v>0</v>
      </c>
      <c r="X596">
        <f t="shared" si="249"/>
        <v>0</v>
      </c>
      <c r="Y596">
        <f t="shared" si="250"/>
        <v>0</v>
      </c>
      <c r="Z596">
        <f t="shared" si="251"/>
        <v>0</v>
      </c>
      <c r="AA596">
        <f t="shared" si="252"/>
        <v>0</v>
      </c>
      <c r="AB596">
        <f t="shared" si="234"/>
        <v>0</v>
      </c>
      <c r="AC596">
        <f t="shared" si="235"/>
        <v>0</v>
      </c>
      <c r="AD596">
        <f t="shared" si="236"/>
        <v>0</v>
      </c>
      <c r="AE596">
        <f t="shared" si="237"/>
        <v>0</v>
      </c>
      <c r="AF596">
        <f t="shared" si="238"/>
        <v>0</v>
      </c>
      <c r="AG596">
        <f t="shared" si="239"/>
        <v>1</v>
      </c>
      <c r="AH596">
        <f t="shared" si="253"/>
        <v>0</v>
      </c>
      <c r="AI596">
        <f t="shared" ref="AI596:AW612" si="257">IF(OR(AND($D596=AI$1,$G596=AI$2),AND($D596=AI$2,$G596=AI$1)),1,0)</f>
        <v>0</v>
      </c>
      <c r="AJ596">
        <f t="shared" si="257"/>
        <v>0</v>
      </c>
      <c r="AK596">
        <f t="shared" si="257"/>
        <v>0</v>
      </c>
      <c r="AL596">
        <f t="shared" si="257"/>
        <v>1</v>
      </c>
      <c r="AM596">
        <f t="shared" si="257"/>
        <v>0</v>
      </c>
      <c r="AN596">
        <f t="shared" si="257"/>
        <v>0</v>
      </c>
      <c r="AO596">
        <f t="shared" si="257"/>
        <v>0</v>
      </c>
      <c r="AP596">
        <f t="shared" si="257"/>
        <v>0</v>
      </c>
      <c r="AQ596">
        <f t="shared" si="257"/>
        <v>0</v>
      </c>
      <c r="AR596">
        <f t="shared" si="257"/>
        <v>0</v>
      </c>
      <c r="AS596">
        <f t="shared" si="257"/>
        <v>0</v>
      </c>
      <c r="AT596">
        <f t="shared" si="257"/>
        <v>0</v>
      </c>
      <c r="AU596">
        <f t="shared" si="257"/>
        <v>0</v>
      </c>
      <c r="AV596">
        <f t="shared" si="257"/>
        <v>0</v>
      </c>
      <c r="AW596">
        <f t="shared" si="257"/>
        <v>0</v>
      </c>
      <c r="AX596">
        <f t="shared" si="254"/>
        <v>0</v>
      </c>
      <c r="AY596">
        <f t="shared" si="254"/>
        <v>1</v>
      </c>
      <c r="AZ596">
        <f t="shared" si="254"/>
        <v>0</v>
      </c>
      <c r="BA596">
        <f t="shared" si="255"/>
        <v>1</v>
      </c>
      <c r="BB596">
        <f t="shared" si="256"/>
        <v>1</v>
      </c>
    </row>
    <row r="597" spans="1:54">
      <c r="A597">
        <v>594</v>
      </c>
      <c r="B597" t="s">
        <v>30</v>
      </c>
      <c r="C597" t="s">
        <v>28</v>
      </c>
      <c r="D597" t="s">
        <v>25</v>
      </c>
      <c r="E597" t="s">
        <v>30</v>
      </c>
      <c r="F597" t="s">
        <v>28</v>
      </c>
      <c r="G597" t="s">
        <v>26</v>
      </c>
      <c r="H597" s="3">
        <v>0.98251485279356798</v>
      </c>
      <c r="I597" s="3">
        <v>0.98158855846524895</v>
      </c>
      <c r="J597" s="3">
        <v>0.97779030430057801</v>
      </c>
      <c r="K597" s="3">
        <v>0.97948332262309201</v>
      </c>
      <c r="L597" s="3">
        <v>0.97543038006206195</v>
      </c>
      <c r="M597" s="3">
        <v>0.972951990935502</v>
      </c>
      <c r="N597" s="3">
        <v>0.98492016558249496</v>
      </c>
      <c r="O597" s="3">
        <v>0.97472336449834396</v>
      </c>
      <c r="P597">
        <f t="shared" si="241"/>
        <v>0</v>
      </c>
      <c r="Q597">
        <f t="shared" si="242"/>
        <v>0</v>
      </c>
      <c r="R597">
        <f t="shared" si="243"/>
        <v>0</v>
      </c>
      <c r="S597">
        <f t="shared" si="244"/>
        <v>0</v>
      </c>
      <c r="T597">
        <f t="shared" si="245"/>
        <v>0</v>
      </c>
      <c r="U597">
        <f t="shared" si="246"/>
        <v>0</v>
      </c>
      <c r="V597">
        <f t="shared" si="247"/>
        <v>0</v>
      </c>
      <c r="W597">
        <f t="shared" si="248"/>
        <v>0</v>
      </c>
      <c r="X597">
        <f t="shared" si="249"/>
        <v>0</v>
      </c>
      <c r="Y597">
        <f t="shared" si="250"/>
        <v>0</v>
      </c>
      <c r="Z597">
        <f t="shared" si="251"/>
        <v>0</v>
      </c>
      <c r="AA597">
        <f t="shared" si="252"/>
        <v>0</v>
      </c>
      <c r="AB597">
        <f t="shared" si="234"/>
        <v>0</v>
      </c>
      <c r="AC597">
        <f t="shared" si="235"/>
        <v>0</v>
      </c>
      <c r="AD597">
        <f t="shared" si="236"/>
        <v>0</v>
      </c>
      <c r="AE597">
        <f t="shared" si="237"/>
        <v>1</v>
      </c>
      <c r="AF597">
        <f t="shared" si="238"/>
        <v>1</v>
      </c>
      <c r="AG597">
        <f t="shared" si="239"/>
        <v>1</v>
      </c>
      <c r="AH597">
        <f t="shared" si="253"/>
        <v>1</v>
      </c>
      <c r="AI597">
        <f t="shared" si="257"/>
        <v>1</v>
      </c>
      <c r="AJ597">
        <f t="shared" si="257"/>
        <v>0</v>
      </c>
      <c r="AK597">
        <f t="shared" si="257"/>
        <v>0</v>
      </c>
      <c r="AL597">
        <f t="shared" si="257"/>
        <v>0</v>
      </c>
      <c r="AM597">
        <f t="shared" si="257"/>
        <v>0</v>
      </c>
      <c r="AN597">
        <f t="shared" si="257"/>
        <v>0</v>
      </c>
      <c r="AO597">
        <f t="shared" si="257"/>
        <v>0</v>
      </c>
      <c r="AP597">
        <f t="shared" si="257"/>
        <v>0</v>
      </c>
      <c r="AQ597">
        <f t="shared" si="257"/>
        <v>0</v>
      </c>
      <c r="AR597">
        <f t="shared" si="257"/>
        <v>0</v>
      </c>
      <c r="AS597">
        <f t="shared" si="257"/>
        <v>0</v>
      </c>
      <c r="AT597">
        <f t="shared" si="257"/>
        <v>0</v>
      </c>
      <c r="AU597">
        <f t="shared" si="257"/>
        <v>0</v>
      </c>
      <c r="AV597">
        <f t="shared" si="257"/>
        <v>0</v>
      </c>
      <c r="AW597">
        <f t="shared" si="257"/>
        <v>0</v>
      </c>
      <c r="AX597">
        <f t="shared" si="254"/>
        <v>0</v>
      </c>
      <c r="AY597">
        <f t="shared" si="254"/>
        <v>0</v>
      </c>
      <c r="AZ597">
        <f t="shared" si="254"/>
        <v>0</v>
      </c>
      <c r="BA597">
        <f t="shared" si="255"/>
        <v>1</v>
      </c>
      <c r="BB597">
        <f t="shared" si="256"/>
        <v>0</v>
      </c>
    </row>
    <row r="598" spans="1:54">
      <c r="A598">
        <v>595</v>
      </c>
      <c r="B598" t="s">
        <v>30</v>
      </c>
      <c r="C598" t="s">
        <v>28</v>
      </c>
      <c r="D598" t="s">
        <v>25</v>
      </c>
      <c r="E598" t="s">
        <v>30</v>
      </c>
      <c r="F598" t="s">
        <v>28</v>
      </c>
      <c r="G598" t="s">
        <v>27</v>
      </c>
      <c r="H598" s="3">
        <v>0.29735361114626102</v>
      </c>
      <c r="I598" s="3">
        <v>0.28009320190050502</v>
      </c>
      <c r="J598" s="3">
        <v>0.24597523814036701</v>
      </c>
      <c r="K598" s="3">
        <v>0.24453108702967699</v>
      </c>
      <c r="L598" s="3">
        <v>0.206144317437609</v>
      </c>
      <c r="M598" s="3">
        <v>0.16366215070175399</v>
      </c>
      <c r="N598" s="3">
        <v>0.35866351271437003</v>
      </c>
      <c r="O598" s="3">
        <v>0.198573564214272</v>
      </c>
      <c r="P598">
        <f t="shared" si="241"/>
        <v>0</v>
      </c>
      <c r="Q598">
        <f t="shared" si="242"/>
        <v>0</v>
      </c>
      <c r="R598">
        <f t="shared" si="243"/>
        <v>0</v>
      </c>
      <c r="S598">
        <f t="shared" si="244"/>
        <v>1</v>
      </c>
      <c r="T598">
        <f t="shared" si="245"/>
        <v>0</v>
      </c>
      <c r="U598">
        <f t="shared" si="246"/>
        <v>0</v>
      </c>
      <c r="V598">
        <f t="shared" si="247"/>
        <v>0</v>
      </c>
      <c r="W598">
        <f t="shared" si="248"/>
        <v>0</v>
      </c>
      <c r="X598">
        <f t="shared" si="249"/>
        <v>0</v>
      </c>
      <c r="Y598">
        <f t="shared" si="250"/>
        <v>0</v>
      </c>
      <c r="Z598">
        <f t="shared" si="251"/>
        <v>0</v>
      </c>
      <c r="AA598">
        <f t="shared" si="252"/>
        <v>0</v>
      </c>
      <c r="AB598">
        <f t="shared" si="234"/>
        <v>0</v>
      </c>
      <c r="AC598">
        <f t="shared" si="235"/>
        <v>0</v>
      </c>
      <c r="AD598">
        <f t="shared" si="236"/>
        <v>0</v>
      </c>
      <c r="AE598">
        <f t="shared" si="237"/>
        <v>0</v>
      </c>
      <c r="AF598">
        <f t="shared" si="238"/>
        <v>1</v>
      </c>
      <c r="AG598">
        <f t="shared" si="239"/>
        <v>1</v>
      </c>
      <c r="AH598">
        <f t="shared" si="253"/>
        <v>0</v>
      </c>
      <c r="AI598">
        <f t="shared" si="257"/>
        <v>0</v>
      </c>
      <c r="AJ598">
        <f t="shared" si="257"/>
        <v>0</v>
      </c>
      <c r="AK598">
        <f t="shared" si="257"/>
        <v>0</v>
      </c>
      <c r="AL598">
        <f t="shared" si="257"/>
        <v>0</v>
      </c>
      <c r="AM598">
        <f t="shared" si="257"/>
        <v>0</v>
      </c>
      <c r="AN598">
        <f t="shared" si="257"/>
        <v>0</v>
      </c>
      <c r="AO598">
        <f t="shared" si="257"/>
        <v>0</v>
      </c>
      <c r="AP598">
        <f t="shared" si="257"/>
        <v>0</v>
      </c>
      <c r="AQ598">
        <f t="shared" si="257"/>
        <v>1</v>
      </c>
      <c r="AR598">
        <f t="shared" si="257"/>
        <v>0</v>
      </c>
      <c r="AS598">
        <f t="shared" si="257"/>
        <v>0</v>
      </c>
      <c r="AT598">
        <f t="shared" si="257"/>
        <v>0</v>
      </c>
      <c r="AU598">
        <f t="shared" si="257"/>
        <v>0</v>
      </c>
      <c r="AV598">
        <f t="shared" si="257"/>
        <v>0</v>
      </c>
      <c r="AW598">
        <f t="shared" si="257"/>
        <v>0</v>
      </c>
      <c r="AX598">
        <f t="shared" si="254"/>
        <v>0</v>
      </c>
      <c r="AY598">
        <f t="shared" si="254"/>
        <v>0</v>
      </c>
      <c r="AZ598">
        <f t="shared" si="254"/>
        <v>0</v>
      </c>
      <c r="BA598">
        <f t="shared" si="255"/>
        <v>1</v>
      </c>
      <c r="BB598">
        <f t="shared" si="256"/>
        <v>0</v>
      </c>
    </row>
    <row r="599" spans="1:54">
      <c r="A599">
        <v>596</v>
      </c>
      <c r="B599" t="s">
        <v>30</v>
      </c>
      <c r="C599" t="s">
        <v>28</v>
      </c>
      <c r="D599" t="s">
        <v>25</v>
      </c>
      <c r="E599" t="s">
        <v>30</v>
      </c>
      <c r="F599" t="s">
        <v>29</v>
      </c>
      <c r="G599" t="s">
        <v>22</v>
      </c>
      <c r="H599" s="3">
        <v>0.67334136434708702</v>
      </c>
      <c r="I599" s="3">
        <v>0.64967794524491296</v>
      </c>
      <c r="J599" s="3">
        <v>0.55053055838859699</v>
      </c>
      <c r="K599" s="3">
        <v>0.57159185259023304</v>
      </c>
      <c r="L599" s="3">
        <v>0.428770645361434</v>
      </c>
      <c r="M599" s="3">
        <v>0.33071664895084002</v>
      </c>
      <c r="N599" s="3">
        <v>0.76788882318154905</v>
      </c>
      <c r="O599" s="3">
        <v>0.43551374753940703</v>
      </c>
      <c r="P599">
        <f t="shared" si="241"/>
        <v>0</v>
      </c>
      <c r="Q599">
        <f t="shared" si="242"/>
        <v>0</v>
      </c>
      <c r="R599">
        <f t="shared" si="243"/>
        <v>0</v>
      </c>
      <c r="S599">
        <f t="shared" si="244"/>
        <v>0</v>
      </c>
      <c r="T599">
        <f t="shared" si="245"/>
        <v>0</v>
      </c>
      <c r="U599">
        <f t="shared" si="246"/>
        <v>0</v>
      </c>
      <c r="V599">
        <f t="shared" si="247"/>
        <v>0</v>
      </c>
      <c r="W599">
        <f t="shared" si="248"/>
        <v>0</v>
      </c>
      <c r="X599">
        <f t="shared" si="249"/>
        <v>1</v>
      </c>
      <c r="Y599">
        <f t="shared" si="250"/>
        <v>0</v>
      </c>
      <c r="Z599">
        <f t="shared" si="251"/>
        <v>0</v>
      </c>
      <c r="AA599">
        <f t="shared" si="252"/>
        <v>0</v>
      </c>
      <c r="AB599">
        <f t="shared" si="234"/>
        <v>0</v>
      </c>
      <c r="AC599">
        <f t="shared" si="235"/>
        <v>0</v>
      </c>
      <c r="AD599">
        <f t="shared" si="236"/>
        <v>0</v>
      </c>
      <c r="AE599">
        <f t="shared" si="237"/>
        <v>0</v>
      </c>
      <c r="AF599">
        <f t="shared" si="238"/>
        <v>0</v>
      </c>
      <c r="AG599">
        <f t="shared" si="239"/>
        <v>1</v>
      </c>
      <c r="AH599">
        <f t="shared" si="253"/>
        <v>0</v>
      </c>
      <c r="AI599">
        <f t="shared" si="257"/>
        <v>0</v>
      </c>
      <c r="AJ599">
        <f t="shared" si="257"/>
        <v>0</v>
      </c>
      <c r="AK599">
        <f t="shared" si="257"/>
        <v>0</v>
      </c>
      <c r="AL599">
        <f t="shared" si="257"/>
        <v>0</v>
      </c>
      <c r="AM599">
        <f t="shared" si="257"/>
        <v>0</v>
      </c>
      <c r="AN599">
        <f t="shared" si="257"/>
        <v>1</v>
      </c>
      <c r="AO599">
        <f t="shared" si="257"/>
        <v>0</v>
      </c>
      <c r="AP599">
        <f t="shared" si="257"/>
        <v>0</v>
      </c>
      <c r="AQ599">
        <f t="shared" si="257"/>
        <v>0</v>
      </c>
      <c r="AR599">
        <f t="shared" si="257"/>
        <v>0</v>
      </c>
      <c r="AS599">
        <f t="shared" si="257"/>
        <v>0</v>
      </c>
      <c r="AT599">
        <f t="shared" si="257"/>
        <v>0</v>
      </c>
      <c r="AU599">
        <f t="shared" si="257"/>
        <v>0</v>
      </c>
      <c r="AV599">
        <f t="shared" si="257"/>
        <v>0</v>
      </c>
      <c r="AW599">
        <f t="shared" si="257"/>
        <v>0</v>
      </c>
      <c r="AX599">
        <f t="shared" si="254"/>
        <v>0</v>
      </c>
      <c r="AY599">
        <f t="shared" si="254"/>
        <v>1</v>
      </c>
      <c r="AZ599">
        <f t="shared" si="254"/>
        <v>0</v>
      </c>
      <c r="BA599">
        <f t="shared" si="255"/>
        <v>1</v>
      </c>
      <c r="BB599">
        <f t="shared" si="256"/>
        <v>1</v>
      </c>
    </row>
    <row r="600" spans="1:54">
      <c r="A600">
        <v>597</v>
      </c>
      <c r="B600" t="s">
        <v>30</v>
      </c>
      <c r="C600" t="s">
        <v>28</v>
      </c>
      <c r="D600" t="s">
        <v>25</v>
      </c>
      <c r="E600" t="s">
        <v>30</v>
      </c>
      <c r="F600" t="s">
        <v>29</v>
      </c>
      <c r="G600" t="s">
        <v>23</v>
      </c>
      <c r="H600" s="3">
        <v>2.92884968214412E-2</v>
      </c>
      <c r="I600" s="3">
        <v>2.8356293310486301E-2</v>
      </c>
      <c r="J600" s="3">
        <v>2.4969125893032702E-2</v>
      </c>
      <c r="K600" s="3">
        <v>2.5886682537010101E-2</v>
      </c>
      <c r="L600" s="3">
        <v>1.9000174970829099E-2</v>
      </c>
      <c r="M600" s="3">
        <v>1.5188072169241999E-2</v>
      </c>
      <c r="N600" s="3">
        <v>3.1638083973979797E-2</v>
      </c>
      <c r="O600" s="3">
        <v>2.0604409963470498E-2</v>
      </c>
      <c r="P600">
        <f t="shared" si="241"/>
        <v>0</v>
      </c>
      <c r="Q600">
        <f t="shared" si="242"/>
        <v>0</v>
      </c>
      <c r="R600">
        <f t="shared" si="243"/>
        <v>0</v>
      </c>
      <c r="S600">
        <f t="shared" si="244"/>
        <v>0</v>
      </c>
      <c r="T600">
        <f t="shared" si="245"/>
        <v>0</v>
      </c>
      <c r="U600">
        <f t="shared" si="246"/>
        <v>0</v>
      </c>
      <c r="V600">
        <f t="shared" si="247"/>
        <v>0</v>
      </c>
      <c r="W600">
        <f t="shared" si="248"/>
        <v>0</v>
      </c>
      <c r="X600">
        <f t="shared" si="249"/>
        <v>0</v>
      </c>
      <c r="Y600">
        <f t="shared" si="250"/>
        <v>1</v>
      </c>
      <c r="Z600">
        <f t="shared" si="251"/>
        <v>0</v>
      </c>
      <c r="AA600">
        <f t="shared" si="252"/>
        <v>0</v>
      </c>
      <c r="AB600">
        <f t="shared" si="234"/>
        <v>0</v>
      </c>
      <c r="AC600">
        <f t="shared" si="235"/>
        <v>0</v>
      </c>
      <c r="AD600">
        <f t="shared" si="236"/>
        <v>0</v>
      </c>
      <c r="AE600">
        <f t="shared" si="237"/>
        <v>0</v>
      </c>
      <c r="AF600">
        <f t="shared" si="238"/>
        <v>0</v>
      </c>
      <c r="AG600">
        <f t="shared" si="239"/>
        <v>1</v>
      </c>
      <c r="AH600">
        <f t="shared" si="253"/>
        <v>0</v>
      </c>
      <c r="AI600">
        <f t="shared" si="257"/>
        <v>0</v>
      </c>
      <c r="AJ600">
        <f t="shared" si="257"/>
        <v>0</v>
      </c>
      <c r="AK600">
        <f t="shared" si="257"/>
        <v>0</v>
      </c>
      <c r="AL600">
        <f t="shared" si="257"/>
        <v>0</v>
      </c>
      <c r="AM600">
        <f t="shared" si="257"/>
        <v>0</v>
      </c>
      <c r="AN600">
        <f t="shared" si="257"/>
        <v>0</v>
      </c>
      <c r="AO600">
        <f t="shared" si="257"/>
        <v>1</v>
      </c>
      <c r="AP600">
        <f t="shared" si="257"/>
        <v>0</v>
      </c>
      <c r="AQ600">
        <f t="shared" si="257"/>
        <v>0</v>
      </c>
      <c r="AR600">
        <f t="shared" si="257"/>
        <v>0</v>
      </c>
      <c r="AS600">
        <f t="shared" si="257"/>
        <v>0</v>
      </c>
      <c r="AT600">
        <f t="shared" si="257"/>
        <v>0</v>
      </c>
      <c r="AU600">
        <f t="shared" si="257"/>
        <v>0</v>
      </c>
      <c r="AV600">
        <f t="shared" si="257"/>
        <v>0</v>
      </c>
      <c r="AW600">
        <f t="shared" si="257"/>
        <v>0</v>
      </c>
      <c r="AX600">
        <f t="shared" si="254"/>
        <v>0</v>
      </c>
      <c r="AY600">
        <f t="shared" si="254"/>
        <v>1</v>
      </c>
      <c r="AZ600">
        <f t="shared" si="254"/>
        <v>0</v>
      </c>
      <c r="BA600">
        <f t="shared" si="255"/>
        <v>1</v>
      </c>
      <c r="BB600">
        <f t="shared" si="256"/>
        <v>1</v>
      </c>
    </row>
    <row r="601" spans="1:54">
      <c r="A601">
        <v>598</v>
      </c>
      <c r="B601" t="s">
        <v>30</v>
      </c>
      <c r="C601" t="s">
        <v>28</v>
      </c>
      <c r="D601" t="s">
        <v>25</v>
      </c>
      <c r="E601" t="s">
        <v>30</v>
      </c>
      <c r="F601" t="s">
        <v>29</v>
      </c>
      <c r="G601" t="s">
        <v>24</v>
      </c>
      <c r="H601" s="3">
        <v>0.45891185752096803</v>
      </c>
      <c r="I601" s="3">
        <v>0.44803992910874502</v>
      </c>
      <c r="J601" s="3">
        <v>0.37378430834061499</v>
      </c>
      <c r="K601" s="3">
        <v>0.39990285469532899</v>
      </c>
      <c r="L601" s="3">
        <v>0.25426161073576498</v>
      </c>
      <c r="M601" s="3">
        <v>0.18706239631250601</v>
      </c>
      <c r="N601" s="3">
        <v>0.51419278533412105</v>
      </c>
      <c r="O601" s="3">
        <v>0.28807632769268998</v>
      </c>
      <c r="P601">
        <f t="shared" si="241"/>
        <v>0</v>
      </c>
      <c r="Q601">
        <f t="shared" si="242"/>
        <v>0</v>
      </c>
      <c r="R601">
        <f t="shared" si="243"/>
        <v>0</v>
      </c>
      <c r="S601">
        <f t="shared" si="244"/>
        <v>0</v>
      </c>
      <c r="T601">
        <f t="shared" si="245"/>
        <v>0</v>
      </c>
      <c r="U601">
        <f t="shared" si="246"/>
        <v>0</v>
      </c>
      <c r="V601">
        <f t="shared" si="247"/>
        <v>0</v>
      </c>
      <c r="W601">
        <f t="shared" si="248"/>
        <v>0</v>
      </c>
      <c r="X601">
        <f t="shared" si="249"/>
        <v>0</v>
      </c>
      <c r="Y601">
        <f t="shared" si="250"/>
        <v>0</v>
      </c>
      <c r="Z601">
        <f t="shared" si="251"/>
        <v>0</v>
      </c>
      <c r="AA601">
        <f t="shared" si="252"/>
        <v>1</v>
      </c>
      <c r="AB601">
        <f t="shared" si="234"/>
        <v>0</v>
      </c>
      <c r="AC601">
        <f t="shared" si="235"/>
        <v>0</v>
      </c>
      <c r="AD601">
        <f t="shared" si="236"/>
        <v>0</v>
      </c>
      <c r="AE601">
        <f t="shared" si="237"/>
        <v>0</v>
      </c>
      <c r="AF601">
        <f t="shared" si="238"/>
        <v>0</v>
      </c>
      <c r="AG601">
        <f t="shared" si="239"/>
        <v>1</v>
      </c>
      <c r="AH601">
        <f t="shared" si="253"/>
        <v>0</v>
      </c>
      <c r="AI601">
        <f t="shared" si="257"/>
        <v>0</v>
      </c>
      <c r="AJ601">
        <f t="shared" si="257"/>
        <v>0</v>
      </c>
      <c r="AK601">
        <f t="shared" si="257"/>
        <v>0</v>
      </c>
      <c r="AL601">
        <f t="shared" si="257"/>
        <v>0</v>
      </c>
      <c r="AM601">
        <f t="shared" si="257"/>
        <v>0</v>
      </c>
      <c r="AN601">
        <f t="shared" si="257"/>
        <v>0</v>
      </c>
      <c r="AO601">
        <f t="shared" si="257"/>
        <v>0</v>
      </c>
      <c r="AP601">
        <f t="shared" si="257"/>
        <v>1</v>
      </c>
      <c r="AQ601">
        <f t="shared" si="257"/>
        <v>0</v>
      </c>
      <c r="AR601">
        <f t="shared" si="257"/>
        <v>0</v>
      </c>
      <c r="AS601">
        <f t="shared" si="257"/>
        <v>0</v>
      </c>
      <c r="AT601">
        <f t="shared" si="257"/>
        <v>0</v>
      </c>
      <c r="AU601">
        <f t="shared" si="257"/>
        <v>0</v>
      </c>
      <c r="AV601">
        <f t="shared" si="257"/>
        <v>0</v>
      </c>
      <c r="AW601">
        <f t="shared" si="257"/>
        <v>0</v>
      </c>
      <c r="AX601">
        <f t="shared" si="254"/>
        <v>0</v>
      </c>
      <c r="AY601">
        <f t="shared" si="254"/>
        <v>1</v>
      </c>
      <c r="AZ601">
        <f t="shared" si="254"/>
        <v>0</v>
      </c>
      <c r="BA601">
        <f t="shared" si="255"/>
        <v>1</v>
      </c>
      <c r="BB601">
        <f t="shared" si="256"/>
        <v>1</v>
      </c>
    </row>
    <row r="602" spans="1:54">
      <c r="A602">
        <v>599</v>
      </c>
      <c r="B602" t="s">
        <v>30</v>
      </c>
      <c r="C602" t="s">
        <v>28</v>
      </c>
      <c r="D602" t="s">
        <v>25</v>
      </c>
      <c r="E602" t="s">
        <v>30</v>
      </c>
      <c r="F602" t="s">
        <v>29</v>
      </c>
      <c r="G602" t="s">
        <v>31</v>
      </c>
      <c r="H602" s="3">
        <v>3.5921216697533599E-2</v>
      </c>
      <c r="I602" s="3">
        <v>3.4103589850966801E-2</v>
      </c>
      <c r="J602" s="3">
        <v>3.1050504018659102E-2</v>
      </c>
      <c r="K602" s="3">
        <v>3.1017105484990499E-2</v>
      </c>
      <c r="L602" s="3">
        <v>2.4559315184461101E-2</v>
      </c>
      <c r="M602" s="3">
        <v>1.9932248369590101E-2</v>
      </c>
      <c r="N602" s="3">
        <v>3.8438793613246598E-2</v>
      </c>
      <c r="O602" s="3">
        <v>2.5786858780592201E-2</v>
      </c>
      <c r="P602">
        <f t="shared" si="241"/>
        <v>0</v>
      </c>
      <c r="Q602">
        <f t="shared" si="242"/>
        <v>0</v>
      </c>
      <c r="R602">
        <f t="shared" si="243"/>
        <v>0</v>
      </c>
      <c r="S602">
        <f t="shared" si="244"/>
        <v>0</v>
      </c>
      <c r="T602">
        <f t="shared" si="245"/>
        <v>0</v>
      </c>
      <c r="U602">
        <f t="shared" si="246"/>
        <v>0</v>
      </c>
      <c r="V602">
        <f t="shared" si="247"/>
        <v>0</v>
      </c>
      <c r="W602">
        <f t="shared" si="248"/>
        <v>0</v>
      </c>
      <c r="X602">
        <f t="shared" si="249"/>
        <v>0</v>
      </c>
      <c r="Y602">
        <f t="shared" si="250"/>
        <v>0</v>
      </c>
      <c r="Z602">
        <f t="shared" si="251"/>
        <v>1</v>
      </c>
      <c r="AA602">
        <f t="shared" si="252"/>
        <v>0</v>
      </c>
      <c r="AB602">
        <f t="shared" si="234"/>
        <v>0</v>
      </c>
      <c r="AC602">
        <f t="shared" si="235"/>
        <v>0</v>
      </c>
      <c r="AD602">
        <f t="shared" si="236"/>
        <v>0</v>
      </c>
      <c r="AE602">
        <f t="shared" si="237"/>
        <v>0</v>
      </c>
      <c r="AF602">
        <f t="shared" si="238"/>
        <v>0</v>
      </c>
      <c r="AG602">
        <f t="shared" si="239"/>
        <v>1</v>
      </c>
      <c r="AH602">
        <f t="shared" si="253"/>
        <v>0</v>
      </c>
      <c r="AI602">
        <f t="shared" si="257"/>
        <v>0</v>
      </c>
      <c r="AJ602">
        <f t="shared" si="257"/>
        <v>0</v>
      </c>
      <c r="AK602">
        <f t="shared" si="257"/>
        <v>0</v>
      </c>
      <c r="AL602">
        <f t="shared" si="257"/>
        <v>0</v>
      </c>
      <c r="AM602">
        <f t="shared" si="257"/>
        <v>0</v>
      </c>
      <c r="AN602">
        <f t="shared" si="257"/>
        <v>0</v>
      </c>
      <c r="AO602">
        <f t="shared" si="257"/>
        <v>0</v>
      </c>
      <c r="AP602">
        <f t="shared" si="257"/>
        <v>0</v>
      </c>
      <c r="AQ602">
        <f t="shared" si="257"/>
        <v>0</v>
      </c>
      <c r="AR602">
        <f t="shared" si="257"/>
        <v>0</v>
      </c>
      <c r="AS602">
        <f t="shared" si="257"/>
        <v>0</v>
      </c>
      <c r="AT602">
        <f t="shared" si="257"/>
        <v>0</v>
      </c>
      <c r="AU602">
        <f t="shared" si="257"/>
        <v>0</v>
      </c>
      <c r="AV602">
        <f t="shared" si="257"/>
        <v>0</v>
      </c>
      <c r="AW602">
        <f t="shared" si="257"/>
        <v>0</v>
      </c>
      <c r="AX602">
        <f t="shared" si="254"/>
        <v>0</v>
      </c>
      <c r="AY602">
        <f t="shared" si="254"/>
        <v>1</v>
      </c>
      <c r="AZ602">
        <f t="shared" si="254"/>
        <v>0</v>
      </c>
      <c r="BA602">
        <f t="shared" si="255"/>
        <v>0</v>
      </c>
      <c r="BB602">
        <f t="shared" si="256"/>
        <v>1</v>
      </c>
    </row>
    <row r="603" spans="1:54">
      <c r="A603">
        <v>600</v>
      </c>
      <c r="B603" t="s">
        <v>30</v>
      </c>
      <c r="C603" t="s">
        <v>28</v>
      </c>
      <c r="D603" t="s">
        <v>25</v>
      </c>
      <c r="E603" t="s">
        <v>30</v>
      </c>
      <c r="F603" t="s">
        <v>29</v>
      </c>
      <c r="G603" t="s">
        <v>25</v>
      </c>
      <c r="H603" s="3">
        <v>0.15438089115575901</v>
      </c>
      <c r="I603" s="3">
        <v>0.15326485108854701</v>
      </c>
      <c r="J603" s="3">
        <v>0.12916440838486801</v>
      </c>
      <c r="K603" s="3">
        <v>0.141040933959202</v>
      </c>
      <c r="L603" s="3">
        <v>0.108755287664845</v>
      </c>
      <c r="M603" s="3">
        <v>9.0413499775890596E-2</v>
      </c>
      <c r="N603" s="3">
        <v>0.16977059384568999</v>
      </c>
      <c r="O603" s="3">
        <v>0.106938535037534</v>
      </c>
      <c r="P603">
        <f t="shared" si="241"/>
        <v>0</v>
      </c>
      <c r="Q603">
        <f t="shared" si="242"/>
        <v>0</v>
      </c>
      <c r="R603">
        <f t="shared" si="243"/>
        <v>0</v>
      </c>
      <c r="S603">
        <f t="shared" si="244"/>
        <v>0</v>
      </c>
      <c r="T603">
        <f t="shared" si="245"/>
        <v>0</v>
      </c>
      <c r="U603">
        <f t="shared" si="246"/>
        <v>0</v>
      </c>
      <c r="V603">
        <f t="shared" si="247"/>
        <v>0</v>
      </c>
      <c r="W603">
        <f t="shared" si="248"/>
        <v>0</v>
      </c>
      <c r="X603">
        <f t="shared" si="249"/>
        <v>0</v>
      </c>
      <c r="Y603">
        <f t="shared" si="250"/>
        <v>0</v>
      </c>
      <c r="Z603">
        <f t="shared" si="251"/>
        <v>0</v>
      </c>
      <c r="AA603">
        <f t="shared" si="252"/>
        <v>0</v>
      </c>
      <c r="AB603">
        <f t="shared" si="234"/>
        <v>0</v>
      </c>
      <c r="AC603">
        <f t="shared" si="235"/>
        <v>0</v>
      </c>
      <c r="AD603">
        <f t="shared" si="236"/>
        <v>0</v>
      </c>
      <c r="AE603">
        <f t="shared" si="237"/>
        <v>1</v>
      </c>
      <c r="AF603">
        <f t="shared" si="238"/>
        <v>0</v>
      </c>
      <c r="AG603">
        <f t="shared" si="239"/>
        <v>1</v>
      </c>
      <c r="AH603">
        <f t="shared" si="253"/>
        <v>1</v>
      </c>
      <c r="AI603">
        <f t="shared" si="257"/>
        <v>0</v>
      </c>
      <c r="AJ603">
        <f t="shared" si="257"/>
        <v>0</v>
      </c>
      <c r="AK603">
        <f t="shared" si="257"/>
        <v>0</v>
      </c>
      <c r="AL603">
        <f t="shared" si="257"/>
        <v>0</v>
      </c>
      <c r="AM603">
        <f t="shared" si="257"/>
        <v>0</v>
      </c>
      <c r="AN603">
        <f t="shared" si="257"/>
        <v>0</v>
      </c>
      <c r="AO603">
        <f t="shared" si="257"/>
        <v>0</v>
      </c>
      <c r="AP603">
        <f t="shared" si="257"/>
        <v>0</v>
      </c>
      <c r="AQ603">
        <f t="shared" si="257"/>
        <v>0</v>
      </c>
      <c r="AR603">
        <f t="shared" si="257"/>
        <v>0</v>
      </c>
      <c r="AS603">
        <f t="shared" si="257"/>
        <v>0</v>
      </c>
      <c r="AT603">
        <f t="shared" si="257"/>
        <v>0</v>
      </c>
      <c r="AU603">
        <f t="shared" si="257"/>
        <v>0</v>
      </c>
      <c r="AV603">
        <f t="shared" si="257"/>
        <v>0</v>
      </c>
      <c r="AW603">
        <f t="shared" si="257"/>
        <v>0</v>
      </c>
      <c r="AX603">
        <f t="shared" si="254"/>
        <v>0</v>
      </c>
      <c r="AY603">
        <f t="shared" si="254"/>
        <v>1</v>
      </c>
      <c r="AZ603">
        <f t="shared" si="254"/>
        <v>0</v>
      </c>
      <c r="BA603">
        <f t="shared" si="255"/>
        <v>0</v>
      </c>
      <c r="BB603">
        <f t="shared" si="256"/>
        <v>1</v>
      </c>
    </row>
    <row r="604" spans="1:54">
      <c r="A604">
        <v>601</v>
      </c>
      <c r="B604" t="s">
        <v>30</v>
      </c>
      <c r="C604" t="s">
        <v>28</v>
      </c>
      <c r="D604" t="s">
        <v>25</v>
      </c>
      <c r="E604" t="s">
        <v>30</v>
      </c>
      <c r="F604" t="s">
        <v>29</v>
      </c>
      <c r="G604" t="s">
        <v>26</v>
      </c>
      <c r="H604" s="3">
        <v>0.15785685848530501</v>
      </c>
      <c r="I604" s="3">
        <v>0.15650668663009501</v>
      </c>
      <c r="J604" s="3">
        <v>0.13208006679845199</v>
      </c>
      <c r="K604" s="3">
        <v>0.14387363959553701</v>
      </c>
      <c r="L604" s="3">
        <v>0.11116755643934401</v>
      </c>
      <c r="M604" s="3">
        <v>9.2396073411207993E-2</v>
      </c>
      <c r="N604" s="3">
        <v>0.173613963039014</v>
      </c>
      <c r="O604" s="3">
        <v>0.109349661829637</v>
      </c>
      <c r="P604">
        <f t="shared" si="241"/>
        <v>0</v>
      </c>
      <c r="Q604">
        <f t="shared" si="242"/>
        <v>0</v>
      </c>
      <c r="R604">
        <f t="shared" si="243"/>
        <v>0</v>
      </c>
      <c r="S604">
        <f t="shared" si="244"/>
        <v>0</v>
      </c>
      <c r="T604">
        <f t="shared" si="245"/>
        <v>0</v>
      </c>
      <c r="U604">
        <f t="shared" si="246"/>
        <v>0</v>
      </c>
      <c r="V604">
        <f t="shared" si="247"/>
        <v>0</v>
      </c>
      <c r="W604">
        <f t="shared" si="248"/>
        <v>0</v>
      </c>
      <c r="X604">
        <f t="shared" si="249"/>
        <v>0</v>
      </c>
      <c r="Y604">
        <f t="shared" si="250"/>
        <v>0</v>
      </c>
      <c r="Z604">
        <f t="shared" si="251"/>
        <v>0</v>
      </c>
      <c r="AA604">
        <f t="shared" si="252"/>
        <v>0</v>
      </c>
      <c r="AB604">
        <f t="shared" si="234"/>
        <v>0</v>
      </c>
      <c r="AC604">
        <f t="shared" si="235"/>
        <v>0</v>
      </c>
      <c r="AD604">
        <f t="shared" si="236"/>
        <v>0</v>
      </c>
      <c r="AE604">
        <f t="shared" si="237"/>
        <v>1</v>
      </c>
      <c r="AF604">
        <f t="shared" si="238"/>
        <v>0</v>
      </c>
      <c r="AG604">
        <f t="shared" si="239"/>
        <v>1</v>
      </c>
      <c r="AH604">
        <f t="shared" si="253"/>
        <v>1</v>
      </c>
      <c r="AI604">
        <f t="shared" si="257"/>
        <v>1</v>
      </c>
      <c r="AJ604">
        <f t="shared" si="257"/>
        <v>0</v>
      </c>
      <c r="AK604">
        <f t="shared" si="257"/>
        <v>0</v>
      </c>
      <c r="AL604">
        <f t="shared" si="257"/>
        <v>0</v>
      </c>
      <c r="AM604">
        <f t="shared" si="257"/>
        <v>0</v>
      </c>
      <c r="AN604">
        <f t="shared" si="257"/>
        <v>0</v>
      </c>
      <c r="AO604">
        <f t="shared" si="257"/>
        <v>0</v>
      </c>
      <c r="AP604">
        <f t="shared" si="257"/>
        <v>0</v>
      </c>
      <c r="AQ604">
        <f t="shared" si="257"/>
        <v>0</v>
      </c>
      <c r="AR604">
        <f t="shared" si="257"/>
        <v>0</v>
      </c>
      <c r="AS604">
        <f t="shared" si="257"/>
        <v>0</v>
      </c>
      <c r="AT604">
        <f t="shared" si="257"/>
        <v>0</v>
      </c>
      <c r="AU604">
        <f t="shared" si="257"/>
        <v>0</v>
      </c>
      <c r="AV604">
        <f t="shared" si="257"/>
        <v>0</v>
      </c>
      <c r="AW604">
        <f t="shared" si="257"/>
        <v>0</v>
      </c>
      <c r="AX604">
        <f t="shared" si="254"/>
        <v>0</v>
      </c>
      <c r="AY604">
        <f t="shared" si="254"/>
        <v>1</v>
      </c>
      <c r="AZ604">
        <f t="shared" si="254"/>
        <v>0</v>
      </c>
      <c r="BA604">
        <f t="shared" si="255"/>
        <v>1</v>
      </c>
      <c r="BB604">
        <f t="shared" si="256"/>
        <v>1</v>
      </c>
    </row>
    <row r="605" spans="1:54">
      <c r="A605">
        <v>602</v>
      </c>
      <c r="B605" t="s">
        <v>30</v>
      </c>
      <c r="C605" t="s">
        <v>28</v>
      </c>
      <c r="D605" t="s">
        <v>26</v>
      </c>
      <c r="E605" t="s">
        <v>30</v>
      </c>
      <c r="F605" t="s">
        <v>28</v>
      </c>
      <c r="G605" t="s">
        <v>27</v>
      </c>
      <c r="H605" s="3">
        <v>0.30192604812527202</v>
      </c>
      <c r="I605" s="3">
        <v>0.28426831802424002</v>
      </c>
      <c r="J605" s="3">
        <v>0.249618618301473</v>
      </c>
      <c r="K605" s="3">
        <v>0.24820783966096899</v>
      </c>
      <c r="L605" s="3">
        <v>0.20901174379568899</v>
      </c>
      <c r="M605" s="3">
        <v>0.16586143766939301</v>
      </c>
      <c r="N605" s="3">
        <v>0.36415490843590498</v>
      </c>
      <c r="O605" s="3">
        <v>0.20128724999539099</v>
      </c>
      <c r="P605">
        <f t="shared" si="241"/>
        <v>0</v>
      </c>
      <c r="Q605">
        <f t="shared" si="242"/>
        <v>0</v>
      </c>
      <c r="R605">
        <f t="shared" si="243"/>
        <v>0</v>
      </c>
      <c r="S605">
        <f t="shared" si="244"/>
        <v>1</v>
      </c>
      <c r="T605">
        <f t="shared" si="245"/>
        <v>0</v>
      </c>
      <c r="U605">
        <f t="shared" si="246"/>
        <v>0</v>
      </c>
      <c r="V605">
        <f t="shared" si="247"/>
        <v>0</v>
      </c>
      <c r="W605">
        <f t="shared" si="248"/>
        <v>0</v>
      </c>
      <c r="X605">
        <f t="shared" si="249"/>
        <v>0</v>
      </c>
      <c r="Y605">
        <f t="shared" si="250"/>
        <v>0</v>
      </c>
      <c r="Z605">
        <f t="shared" si="251"/>
        <v>0</v>
      </c>
      <c r="AA605">
        <f t="shared" si="252"/>
        <v>0</v>
      </c>
      <c r="AB605">
        <f t="shared" si="234"/>
        <v>0</v>
      </c>
      <c r="AC605">
        <f t="shared" si="235"/>
        <v>0</v>
      </c>
      <c r="AD605">
        <f t="shared" si="236"/>
        <v>0</v>
      </c>
      <c r="AE605">
        <f t="shared" si="237"/>
        <v>0</v>
      </c>
      <c r="AF605">
        <f t="shared" si="238"/>
        <v>1</v>
      </c>
      <c r="AG605">
        <f t="shared" si="239"/>
        <v>1</v>
      </c>
      <c r="AH605">
        <f t="shared" si="253"/>
        <v>0</v>
      </c>
      <c r="AI605">
        <f t="shared" si="257"/>
        <v>0</v>
      </c>
      <c r="AJ605">
        <f t="shared" si="257"/>
        <v>0</v>
      </c>
      <c r="AK605">
        <f t="shared" si="257"/>
        <v>0</v>
      </c>
      <c r="AL605">
        <f t="shared" si="257"/>
        <v>0</v>
      </c>
      <c r="AM605">
        <f t="shared" si="257"/>
        <v>1</v>
      </c>
      <c r="AN605">
        <f t="shared" si="257"/>
        <v>0</v>
      </c>
      <c r="AO605">
        <f t="shared" si="257"/>
        <v>0</v>
      </c>
      <c r="AP605">
        <f t="shared" si="257"/>
        <v>0</v>
      </c>
      <c r="AQ605">
        <f t="shared" si="257"/>
        <v>0</v>
      </c>
      <c r="AR605">
        <f t="shared" si="257"/>
        <v>0</v>
      </c>
      <c r="AS605">
        <f t="shared" si="257"/>
        <v>0</v>
      </c>
      <c r="AT605">
        <f t="shared" si="257"/>
        <v>0</v>
      </c>
      <c r="AU605">
        <f t="shared" si="257"/>
        <v>0</v>
      </c>
      <c r="AV605">
        <f t="shared" si="257"/>
        <v>0</v>
      </c>
      <c r="AW605">
        <f t="shared" si="257"/>
        <v>0</v>
      </c>
      <c r="AX605">
        <f t="shared" si="254"/>
        <v>0</v>
      </c>
      <c r="AY605">
        <f t="shared" si="254"/>
        <v>0</v>
      </c>
      <c r="AZ605">
        <f t="shared" si="254"/>
        <v>0</v>
      </c>
      <c r="BA605">
        <f t="shared" si="255"/>
        <v>1</v>
      </c>
      <c r="BB605">
        <f t="shared" si="256"/>
        <v>0</v>
      </c>
    </row>
    <row r="606" spans="1:54">
      <c r="A606">
        <v>603</v>
      </c>
      <c r="B606" t="s">
        <v>30</v>
      </c>
      <c r="C606" t="s">
        <v>28</v>
      </c>
      <c r="D606" t="s">
        <v>26</v>
      </c>
      <c r="E606" t="s">
        <v>30</v>
      </c>
      <c r="F606" t="s">
        <v>29</v>
      </c>
      <c r="G606" t="s">
        <v>22</v>
      </c>
      <c r="H606" s="3">
        <v>0.68328564721038498</v>
      </c>
      <c r="I606" s="3">
        <v>0.65961803361822302</v>
      </c>
      <c r="J606" s="3">
        <v>0.55888433828490902</v>
      </c>
      <c r="K606" s="3">
        <v>0.58030509935355201</v>
      </c>
      <c r="L606" s="3">
        <v>0.43597909140770003</v>
      </c>
      <c r="M606" s="3">
        <v>0.33629540697745702</v>
      </c>
      <c r="N606" s="3">
        <v>0.77964575202641795</v>
      </c>
      <c r="O606" s="3">
        <v>0.44240883414311599</v>
      </c>
      <c r="P606">
        <f t="shared" si="241"/>
        <v>0</v>
      </c>
      <c r="Q606">
        <f t="shared" si="242"/>
        <v>0</v>
      </c>
      <c r="R606">
        <f t="shared" si="243"/>
        <v>0</v>
      </c>
      <c r="S606">
        <f t="shared" si="244"/>
        <v>0</v>
      </c>
      <c r="T606">
        <f t="shared" si="245"/>
        <v>0</v>
      </c>
      <c r="U606">
        <f t="shared" si="246"/>
        <v>0</v>
      </c>
      <c r="V606">
        <f t="shared" si="247"/>
        <v>0</v>
      </c>
      <c r="W606">
        <f t="shared" si="248"/>
        <v>0</v>
      </c>
      <c r="X606">
        <f t="shared" si="249"/>
        <v>1</v>
      </c>
      <c r="Y606">
        <f t="shared" si="250"/>
        <v>0</v>
      </c>
      <c r="Z606">
        <f t="shared" si="251"/>
        <v>0</v>
      </c>
      <c r="AA606">
        <f t="shared" si="252"/>
        <v>0</v>
      </c>
      <c r="AB606">
        <f t="shared" si="234"/>
        <v>0</v>
      </c>
      <c r="AC606">
        <f t="shared" si="235"/>
        <v>0</v>
      </c>
      <c r="AD606">
        <f t="shared" si="236"/>
        <v>0</v>
      </c>
      <c r="AE606">
        <f t="shared" si="237"/>
        <v>0</v>
      </c>
      <c r="AF606">
        <f t="shared" si="238"/>
        <v>0</v>
      </c>
      <c r="AG606">
        <f t="shared" si="239"/>
        <v>1</v>
      </c>
      <c r="AH606">
        <f t="shared" si="253"/>
        <v>0</v>
      </c>
      <c r="AI606">
        <f t="shared" si="257"/>
        <v>0</v>
      </c>
      <c r="AJ606">
        <f t="shared" si="257"/>
        <v>1</v>
      </c>
      <c r="AK606">
        <f t="shared" si="257"/>
        <v>0</v>
      </c>
      <c r="AL606">
        <f t="shared" si="257"/>
        <v>0</v>
      </c>
      <c r="AM606">
        <f t="shared" si="257"/>
        <v>0</v>
      </c>
      <c r="AN606">
        <f t="shared" si="257"/>
        <v>0</v>
      </c>
      <c r="AO606">
        <f t="shared" si="257"/>
        <v>0</v>
      </c>
      <c r="AP606">
        <f t="shared" si="257"/>
        <v>0</v>
      </c>
      <c r="AQ606">
        <f t="shared" si="257"/>
        <v>0</v>
      </c>
      <c r="AR606">
        <f t="shared" si="257"/>
        <v>0</v>
      </c>
      <c r="AS606">
        <f t="shared" si="257"/>
        <v>0</v>
      </c>
      <c r="AT606">
        <f t="shared" si="257"/>
        <v>0</v>
      </c>
      <c r="AU606">
        <f t="shared" si="257"/>
        <v>0</v>
      </c>
      <c r="AV606">
        <f t="shared" si="257"/>
        <v>0</v>
      </c>
      <c r="AW606">
        <f t="shared" si="257"/>
        <v>0</v>
      </c>
      <c r="AX606">
        <f t="shared" si="254"/>
        <v>0</v>
      </c>
      <c r="AY606">
        <f t="shared" si="254"/>
        <v>1</v>
      </c>
      <c r="AZ606">
        <f t="shared" si="254"/>
        <v>0</v>
      </c>
      <c r="BA606">
        <f t="shared" si="255"/>
        <v>1</v>
      </c>
      <c r="BB606">
        <f t="shared" si="256"/>
        <v>1</v>
      </c>
    </row>
    <row r="607" spans="1:54">
      <c r="A607">
        <v>604</v>
      </c>
      <c r="B607" t="s">
        <v>30</v>
      </c>
      <c r="C607" t="s">
        <v>28</v>
      </c>
      <c r="D607" t="s">
        <v>26</v>
      </c>
      <c r="E607" t="s">
        <v>30</v>
      </c>
      <c r="F607" t="s">
        <v>29</v>
      </c>
      <c r="G607" t="s">
        <v>23</v>
      </c>
      <c r="H607" s="3">
        <v>2.97374427673293E-2</v>
      </c>
      <c r="I607" s="3">
        <v>2.8878455569214999E-2</v>
      </c>
      <c r="J607" s="3">
        <v>2.5351711999013701E-2</v>
      </c>
      <c r="K607" s="3">
        <v>2.6433400758867201E-2</v>
      </c>
      <c r="L607" s="3">
        <v>1.9327345869754601E-2</v>
      </c>
      <c r="M607" s="3">
        <v>1.54141007820735E-2</v>
      </c>
      <c r="N607" s="3">
        <v>3.2122485740017998E-2</v>
      </c>
      <c r="O607" s="3">
        <v>2.0942866511482298E-2</v>
      </c>
      <c r="P607">
        <f t="shared" si="241"/>
        <v>0</v>
      </c>
      <c r="Q607">
        <f t="shared" si="242"/>
        <v>0</v>
      </c>
      <c r="R607">
        <f t="shared" si="243"/>
        <v>0</v>
      </c>
      <c r="S607">
        <f t="shared" si="244"/>
        <v>0</v>
      </c>
      <c r="T607">
        <f t="shared" si="245"/>
        <v>0</v>
      </c>
      <c r="U607">
        <f t="shared" si="246"/>
        <v>0</v>
      </c>
      <c r="V607">
        <f t="shared" si="247"/>
        <v>0</v>
      </c>
      <c r="W607">
        <f t="shared" si="248"/>
        <v>0</v>
      </c>
      <c r="X607">
        <f t="shared" si="249"/>
        <v>0</v>
      </c>
      <c r="Y607">
        <f t="shared" si="250"/>
        <v>1</v>
      </c>
      <c r="Z607">
        <f t="shared" si="251"/>
        <v>0</v>
      </c>
      <c r="AA607">
        <f t="shared" si="252"/>
        <v>0</v>
      </c>
      <c r="AB607">
        <f t="shared" si="234"/>
        <v>0</v>
      </c>
      <c r="AC607">
        <f t="shared" si="235"/>
        <v>0</v>
      </c>
      <c r="AD607">
        <f t="shared" si="236"/>
        <v>0</v>
      </c>
      <c r="AE607">
        <f t="shared" si="237"/>
        <v>0</v>
      </c>
      <c r="AF607">
        <f t="shared" si="238"/>
        <v>0</v>
      </c>
      <c r="AG607">
        <f t="shared" si="239"/>
        <v>1</v>
      </c>
      <c r="AH607">
        <f t="shared" si="253"/>
        <v>0</v>
      </c>
      <c r="AI607">
        <f t="shared" si="257"/>
        <v>0</v>
      </c>
      <c r="AJ607">
        <f t="shared" si="257"/>
        <v>0</v>
      </c>
      <c r="AK607">
        <f t="shared" si="257"/>
        <v>1</v>
      </c>
      <c r="AL607">
        <f t="shared" si="257"/>
        <v>0</v>
      </c>
      <c r="AM607">
        <f t="shared" si="257"/>
        <v>0</v>
      </c>
      <c r="AN607">
        <f t="shared" si="257"/>
        <v>0</v>
      </c>
      <c r="AO607">
        <f t="shared" si="257"/>
        <v>0</v>
      </c>
      <c r="AP607">
        <f t="shared" si="257"/>
        <v>0</v>
      </c>
      <c r="AQ607">
        <f t="shared" si="257"/>
        <v>0</v>
      </c>
      <c r="AR607">
        <f t="shared" si="257"/>
        <v>0</v>
      </c>
      <c r="AS607">
        <f t="shared" si="257"/>
        <v>0</v>
      </c>
      <c r="AT607">
        <f t="shared" si="257"/>
        <v>0</v>
      </c>
      <c r="AU607">
        <f t="shared" si="257"/>
        <v>0</v>
      </c>
      <c r="AV607">
        <f t="shared" si="257"/>
        <v>0</v>
      </c>
      <c r="AW607">
        <f t="shared" si="257"/>
        <v>0</v>
      </c>
      <c r="AX607">
        <f t="shared" si="254"/>
        <v>0</v>
      </c>
      <c r="AY607">
        <f t="shared" si="254"/>
        <v>1</v>
      </c>
      <c r="AZ607">
        <f t="shared" si="254"/>
        <v>0</v>
      </c>
      <c r="BA607">
        <f t="shared" si="255"/>
        <v>1</v>
      </c>
      <c r="BB607">
        <f t="shared" si="256"/>
        <v>1</v>
      </c>
    </row>
    <row r="608" spans="1:54">
      <c r="A608">
        <v>605</v>
      </c>
      <c r="B608" t="s">
        <v>30</v>
      </c>
      <c r="C608" t="s">
        <v>28</v>
      </c>
      <c r="D608" t="s">
        <v>26</v>
      </c>
      <c r="E608" t="s">
        <v>30</v>
      </c>
      <c r="F608" t="s">
        <v>29</v>
      </c>
      <c r="G608" t="s">
        <v>24</v>
      </c>
      <c r="H608" s="3">
        <v>0.46503663439225001</v>
      </c>
      <c r="I608" s="3">
        <v>0.454354003064116</v>
      </c>
      <c r="J608" s="3">
        <v>0.377650888720164</v>
      </c>
      <c r="K608" s="3">
        <v>0.405200587455678</v>
      </c>
      <c r="L608" s="3">
        <v>0.25788464223124402</v>
      </c>
      <c r="M608" s="3">
        <v>0.18984541176141501</v>
      </c>
      <c r="N608" s="3">
        <v>0.52206544581206804</v>
      </c>
      <c r="O608" s="3">
        <v>0.291021711184901</v>
      </c>
      <c r="P608">
        <f t="shared" si="241"/>
        <v>0</v>
      </c>
      <c r="Q608">
        <f t="shared" si="242"/>
        <v>0</v>
      </c>
      <c r="R608">
        <f t="shared" si="243"/>
        <v>0</v>
      </c>
      <c r="S608">
        <f t="shared" si="244"/>
        <v>0</v>
      </c>
      <c r="T608">
        <f t="shared" si="245"/>
        <v>0</v>
      </c>
      <c r="U608">
        <f t="shared" si="246"/>
        <v>0</v>
      </c>
      <c r="V608">
        <f t="shared" si="247"/>
        <v>0</v>
      </c>
      <c r="W608">
        <f t="shared" si="248"/>
        <v>0</v>
      </c>
      <c r="X608">
        <f t="shared" si="249"/>
        <v>0</v>
      </c>
      <c r="Y608">
        <f t="shared" si="250"/>
        <v>0</v>
      </c>
      <c r="Z608">
        <f t="shared" si="251"/>
        <v>0</v>
      </c>
      <c r="AA608">
        <f t="shared" si="252"/>
        <v>1</v>
      </c>
      <c r="AB608">
        <f t="shared" si="234"/>
        <v>0</v>
      </c>
      <c r="AC608">
        <f t="shared" si="235"/>
        <v>0</v>
      </c>
      <c r="AD608">
        <f t="shared" si="236"/>
        <v>0</v>
      </c>
      <c r="AE608">
        <f t="shared" si="237"/>
        <v>0</v>
      </c>
      <c r="AF608">
        <f t="shared" si="238"/>
        <v>0</v>
      </c>
      <c r="AG608">
        <f t="shared" si="239"/>
        <v>1</v>
      </c>
      <c r="AH608">
        <f t="shared" si="253"/>
        <v>0</v>
      </c>
      <c r="AI608">
        <f t="shared" si="257"/>
        <v>0</v>
      </c>
      <c r="AJ608">
        <f t="shared" si="257"/>
        <v>0</v>
      </c>
      <c r="AK608">
        <f t="shared" si="257"/>
        <v>0</v>
      </c>
      <c r="AL608">
        <f t="shared" si="257"/>
        <v>1</v>
      </c>
      <c r="AM608">
        <f t="shared" si="257"/>
        <v>0</v>
      </c>
      <c r="AN608">
        <f t="shared" si="257"/>
        <v>0</v>
      </c>
      <c r="AO608">
        <f t="shared" si="257"/>
        <v>0</v>
      </c>
      <c r="AP608">
        <f t="shared" si="257"/>
        <v>0</v>
      </c>
      <c r="AQ608">
        <f t="shared" si="257"/>
        <v>0</v>
      </c>
      <c r="AR608">
        <f t="shared" si="257"/>
        <v>0</v>
      </c>
      <c r="AS608">
        <f t="shared" si="257"/>
        <v>0</v>
      </c>
      <c r="AT608">
        <f t="shared" si="257"/>
        <v>0</v>
      </c>
      <c r="AU608">
        <f t="shared" si="257"/>
        <v>0</v>
      </c>
      <c r="AV608">
        <f t="shared" si="257"/>
        <v>0</v>
      </c>
      <c r="AW608">
        <f t="shared" si="257"/>
        <v>0</v>
      </c>
      <c r="AX608">
        <f t="shared" si="254"/>
        <v>0</v>
      </c>
      <c r="AY608">
        <f t="shared" si="254"/>
        <v>1</v>
      </c>
      <c r="AZ608">
        <f t="shared" si="254"/>
        <v>0</v>
      </c>
      <c r="BA608">
        <f t="shared" si="255"/>
        <v>1</v>
      </c>
      <c r="BB608">
        <f t="shared" si="256"/>
        <v>1</v>
      </c>
    </row>
    <row r="609" spans="1:54">
      <c r="A609">
        <v>606</v>
      </c>
      <c r="B609" t="s">
        <v>30</v>
      </c>
      <c r="C609" t="s">
        <v>28</v>
      </c>
      <c r="D609" t="s">
        <v>26</v>
      </c>
      <c r="E609" t="s">
        <v>30</v>
      </c>
      <c r="F609" t="s">
        <v>29</v>
      </c>
      <c r="G609" t="s">
        <v>31</v>
      </c>
      <c r="H609" s="3">
        <v>3.6505819496051299E-2</v>
      </c>
      <c r="I609" s="3">
        <v>3.4756312156501802E-2</v>
      </c>
      <c r="J609" s="3">
        <v>3.1578919696887302E-2</v>
      </c>
      <c r="K609" s="3">
        <v>3.1699059329488299E-2</v>
      </c>
      <c r="L609" s="3">
        <v>2.4969662399500599E-2</v>
      </c>
      <c r="M609" s="3">
        <v>2.0269419654377799E-2</v>
      </c>
      <c r="N609" s="3">
        <v>3.9027319123386299E-2</v>
      </c>
      <c r="O609" s="3">
        <v>2.6278055984643601E-2</v>
      </c>
      <c r="P609">
        <f t="shared" si="241"/>
        <v>0</v>
      </c>
      <c r="Q609">
        <f t="shared" si="242"/>
        <v>0</v>
      </c>
      <c r="R609">
        <f t="shared" si="243"/>
        <v>0</v>
      </c>
      <c r="S609">
        <f t="shared" si="244"/>
        <v>0</v>
      </c>
      <c r="T609">
        <f t="shared" si="245"/>
        <v>0</v>
      </c>
      <c r="U609">
        <f t="shared" si="246"/>
        <v>0</v>
      </c>
      <c r="V609">
        <f t="shared" si="247"/>
        <v>0</v>
      </c>
      <c r="W609">
        <f t="shared" si="248"/>
        <v>0</v>
      </c>
      <c r="X609">
        <f t="shared" si="249"/>
        <v>0</v>
      </c>
      <c r="Y609">
        <f t="shared" si="250"/>
        <v>0</v>
      </c>
      <c r="Z609">
        <f t="shared" si="251"/>
        <v>1</v>
      </c>
      <c r="AA609">
        <f t="shared" si="252"/>
        <v>0</v>
      </c>
      <c r="AB609">
        <f t="shared" si="234"/>
        <v>0</v>
      </c>
      <c r="AC609">
        <f t="shared" si="235"/>
        <v>0</v>
      </c>
      <c r="AD609">
        <f t="shared" si="236"/>
        <v>0</v>
      </c>
      <c r="AE609">
        <f t="shared" si="237"/>
        <v>0</v>
      </c>
      <c r="AF609">
        <f t="shared" si="238"/>
        <v>0</v>
      </c>
      <c r="AG609">
        <f t="shared" si="239"/>
        <v>1</v>
      </c>
      <c r="AH609">
        <f t="shared" si="253"/>
        <v>0</v>
      </c>
      <c r="AI609">
        <f t="shared" si="257"/>
        <v>0</v>
      </c>
      <c r="AJ609">
        <f t="shared" si="257"/>
        <v>0</v>
      </c>
      <c r="AK609">
        <f t="shared" si="257"/>
        <v>0</v>
      </c>
      <c r="AL609">
        <f t="shared" si="257"/>
        <v>0</v>
      </c>
      <c r="AM609">
        <f t="shared" si="257"/>
        <v>0</v>
      </c>
      <c r="AN609">
        <f t="shared" si="257"/>
        <v>0</v>
      </c>
      <c r="AO609">
        <f t="shared" si="257"/>
        <v>0</v>
      </c>
      <c r="AP609">
        <f t="shared" si="257"/>
        <v>0</v>
      </c>
      <c r="AQ609">
        <f t="shared" si="257"/>
        <v>0</v>
      </c>
      <c r="AR609">
        <f t="shared" si="257"/>
        <v>0</v>
      </c>
      <c r="AS609">
        <f t="shared" si="257"/>
        <v>0</v>
      </c>
      <c r="AT609">
        <f t="shared" si="257"/>
        <v>0</v>
      </c>
      <c r="AU609">
        <f t="shared" si="257"/>
        <v>0</v>
      </c>
      <c r="AV609">
        <f t="shared" si="257"/>
        <v>0</v>
      </c>
      <c r="AW609">
        <f t="shared" si="257"/>
        <v>0</v>
      </c>
      <c r="AX609">
        <f t="shared" si="254"/>
        <v>0</v>
      </c>
      <c r="AY609">
        <f t="shared" si="254"/>
        <v>1</v>
      </c>
      <c r="AZ609">
        <f t="shared" si="254"/>
        <v>0</v>
      </c>
      <c r="BA609">
        <f t="shared" si="255"/>
        <v>0</v>
      </c>
      <c r="BB609">
        <f t="shared" si="256"/>
        <v>1</v>
      </c>
    </row>
    <row r="610" spans="1:54">
      <c r="A610">
        <v>607</v>
      </c>
      <c r="B610" t="s">
        <v>30</v>
      </c>
      <c r="C610" t="s">
        <v>28</v>
      </c>
      <c r="D610" t="s">
        <v>26</v>
      </c>
      <c r="E610" t="s">
        <v>30</v>
      </c>
      <c r="F610" t="s">
        <v>29</v>
      </c>
      <c r="G610" t="s">
        <v>25</v>
      </c>
      <c r="H610" s="3">
        <v>0.15222475666855001</v>
      </c>
      <c r="I610" s="3">
        <v>0.15117317249714199</v>
      </c>
      <c r="J610" s="3">
        <v>0.12755403119747999</v>
      </c>
      <c r="K610" s="3">
        <v>0.13925974000423899</v>
      </c>
      <c r="L610" s="3">
        <v>0.107484468595429</v>
      </c>
      <c r="M610" s="3">
        <v>8.9443795388581201E-2</v>
      </c>
      <c r="N610" s="3">
        <v>0.16721048140153599</v>
      </c>
      <c r="O610" s="3">
        <v>0.10584670176727</v>
      </c>
      <c r="P610">
        <f t="shared" si="241"/>
        <v>0</v>
      </c>
      <c r="Q610">
        <f t="shared" si="242"/>
        <v>0</v>
      </c>
      <c r="R610">
        <f t="shared" si="243"/>
        <v>0</v>
      </c>
      <c r="S610">
        <f t="shared" si="244"/>
        <v>0</v>
      </c>
      <c r="T610">
        <f t="shared" si="245"/>
        <v>0</v>
      </c>
      <c r="U610">
        <f t="shared" si="246"/>
        <v>0</v>
      </c>
      <c r="V610">
        <f t="shared" si="247"/>
        <v>0</v>
      </c>
      <c r="W610">
        <f t="shared" si="248"/>
        <v>0</v>
      </c>
      <c r="X610">
        <f t="shared" si="249"/>
        <v>0</v>
      </c>
      <c r="Y610">
        <f t="shared" si="250"/>
        <v>0</v>
      </c>
      <c r="Z610">
        <f t="shared" si="251"/>
        <v>0</v>
      </c>
      <c r="AA610">
        <f t="shared" si="252"/>
        <v>0</v>
      </c>
      <c r="AB610">
        <f t="shared" si="234"/>
        <v>0</v>
      </c>
      <c r="AC610">
        <f t="shared" si="235"/>
        <v>0</v>
      </c>
      <c r="AD610">
        <f t="shared" si="236"/>
        <v>0</v>
      </c>
      <c r="AE610">
        <f t="shared" si="237"/>
        <v>1</v>
      </c>
      <c r="AF610">
        <f t="shared" si="238"/>
        <v>0</v>
      </c>
      <c r="AG610">
        <f t="shared" si="239"/>
        <v>1</v>
      </c>
      <c r="AH610">
        <f t="shared" si="253"/>
        <v>1</v>
      </c>
      <c r="AI610">
        <f t="shared" si="257"/>
        <v>1</v>
      </c>
      <c r="AJ610">
        <f t="shared" si="257"/>
        <v>0</v>
      </c>
      <c r="AK610">
        <f t="shared" si="257"/>
        <v>0</v>
      </c>
      <c r="AL610">
        <f t="shared" si="257"/>
        <v>0</v>
      </c>
      <c r="AM610">
        <f t="shared" si="257"/>
        <v>0</v>
      </c>
      <c r="AN610">
        <f t="shared" si="257"/>
        <v>0</v>
      </c>
      <c r="AO610">
        <f t="shared" si="257"/>
        <v>0</v>
      </c>
      <c r="AP610">
        <f t="shared" si="257"/>
        <v>0</v>
      </c>
      <c r="AQ610">
        <f t="shared" si="257"/>
        <v>0</v>
      </c>
      <c r="AR610">
        <f t="shared" si="257"/>
        <v>0</v>
      </c>
      <c r="AS610">
        <f t="shared" si="257"/>
        <v>0</v>
      </c>
      <c r="AT610">
        <f t="shared" si="257"/>
        <v>0</v>
      </c>
      <c r="AU610">
        <f t="shared" si="257"/>
        <v>0</v>
      </c>
      <c r="AV610">
        <f t="shared" si="257"/>
        <v>0</v>
      </c>
      <c r="AW610">
        <f t="shared" si="257"/>
        <v>0</v>
      </c>
      <c r="AX610">
        <f t="shared" si="254"/>
        <v>0</v>
      </c>
      <c r="AY610">
        <f t="shared" si="254"/>
        <v>1</v>
      </c>
      <c r="AZ610">
        <f t="shared" si="254"/>
        <v>0</v>
      </c>
      <c r="BA610">
        <f t="shared" si="255"/>
        <v>1</v>
      </c>
      <c r="BB610">
        <f t="shared" si="256"/>
        <v>1</v>
      </c>
    </row>
    <row r="611" spans="1:54">
      <c r="A611">
        <v>608</v>
      </c>
      <c r="B611" t="s">
        <v>30</v>
      </c>
      <c r="C611" t="s">
        <v>28</v>
      </c>
      <c r="D611" t="s">
        <v>26</v>
      </c>
      <c r="E611" t="s">
        <v>30</v>
      </c>
      <c r="F611" t="s">
        <v>29</v>
      </c>
      <c r="G611" t="s">
        <v>26</v>
      </c>
      <c r="H611" s="3">
        <v>0.15566024859967001</v>
      </c>
      <c r="I611" s="3">
        <v>0.15439662755365</v>
      </c>
      <c r="J611" s="3">
        <v>0.13044234284494999</v>
      </c>
      <c r="K611" s="3">
        <v>0.142099716594077</v>
      </c>
      <c r="L611" s="3">
        <v>0.10989258315077</v>
      </c>
      <c r="M611" s="3">
        <v>9.1431521730939797E-2</v>
      </c>
      <c r="N611" s="3">
        <v>0.170995893223819</v>
      </c>
      <c r="O611" s="3">
        <v>0.108229298773522</v>
      </c>
      <c r="P611">
        <f t="shared" si="241"/>
        <v>0</v>
      </c>
      <c r="Q611">
        <f t="shared" si="242"/>
        <v>0</v>
      </c>
      <c r="R611">
        <f t="shared" si="243"/>
        <v>0</v>
      </c>
      <c r="S611">
        <f t="shared" si="244"/>
        <v>0</v>
      </c>
      <c r="T611">
        <f t="shared" si="245"/>
        <v>0</v>
      </c>
      <c r="U611">
        <f t="shared" si="246"/>
        <v>0</v>
      </c>
      <c r="V611">
        <f t="shared" si="247"/>
        <v>0</v>
      </c>
      <c r="W611">
        <f t="shared" si="248"/>
        <v>0</v>
      </c>
      <c r="X611">
        <f t="shared" si="249"/>
        <v>0</v>
      </c>
      <c r="Y611">
        <f t="shared" si="250"/>
        <v>0</v>
      </c>
      <c r="Z611">
        <f t="shared" si="251"/>
        <v>0</v>
      </c>
      <c r="AA611">
        <f t="shared" si="252"/>
        <v>0</v>
      </c>
      <c r="AB611">
        <f t="shared" si="234"/>
        <v>0</v>
      </c>
      <c r="AC611">
        <f t="shared" si="235"/>
        <v>0</v>
      </c>
      <c r="AD611">
        <f t="shared" si="236"/>
        <v>0</v>
      </c>
      <c r="AE611">
        <f t="shared" si="237"/>
        <v>1</v>
      </c>
      <c r="AF611">
        <f t="shared" si="238"/>
        <v>0</v>
      </c>
      <c r="AG611">
        <f t="shared" si="239"/>
        <v>1</v>
      </c>
      <c r="AH611">
        <f t="shared" si="253"/>
        <v>1</v>
      </c>
      <c r="AI611">
        <f t="shared" si="257"/>
        <v>0</v>
      </c>
      <c r="AJ611">
        <f t="shared" si="257"/>
        <v>0</v>
      </c>
      <c r="AK611">
        <f t="shared" si="257"/>
        <v>0</v>
      </c>
      <c r="AL611">
        <f t="shared" si="257"/>
        <v>0</v>
      </c>
      <c r="AM611">
        <f t="shared" si="257"/>
        <v>0</v>
      </c>
      <c r="AN611">
        <f t="shared" si="257"/>
        <v>0</v>
      </c>
      <c r="AO611">
        <f t="shared" si="257"/>
        <v>0</v>
      </c>
      <c r="AP611">
        <f t="shared" si="257"/>
        <v>0</v>
      </c>
      <c r="AQ611">
        <f t="shared" si="257"/>
        <v>0</v>
      </c>
      <c r="AR611">
        <f t="shared" si="257"/>
        <v>0</v>
      </c>
      <c r="AS611">
        <f t="shared" si="257"/>
        <v>0</v>
      </c>
      <c r="AT611">
        <f t="shared" si="257"/>
        <v>0</v>
      </c>
      <c r="AU611">
        <f t="shared" si="257"/>
        <v>0</v>
      </c>
      <c r="AV611">
        <f t="shared" si="257"/>
        <v>0</v>
      </c>
      <c r="AW611">
        <f t="shared" si="257"/>
        <v>0</v>
      </c>
      <c r="AX611">
        <f t="shared" si="254"/>
        <v>0</v>
      </c>
      <c r="AY611">
        <f t="shared" si="254"/>
        <v>1</v>
      </c>
      <c r="AZ611">
        <f t="shared" si="254"/>
        <v>0</v>
      </c>
      <c r="BA611">
        <f t="shared" si="255"/>
        <v>0</v>
      </c>
      <c r="BB611">
        <f t="shared" si="256"/>
        <v>1</v>
      </c>
    </row>
    <row r="612" spans="1:54">
      <c r="A612">
        <v>609</v>
      </c>
      <c r="B612" t="s">
        <v>30</v>
      </c>
      <c r="C612" t="s">
        <v>28</v>
      </c>
      <c r="D612" t="s">
        <v>27</v>
      </c>
      <c r="E612" t="s">
        <v>30</v>
      </c>
      <c r="F612" t="s">
        <v>29</v>
      </c>
      <c r="G612" t="s">
        <v>22</v>
      </c>
      <c r="H612" s="3">
        <v>0.37090062384224798</v>
      </c>
      <c r="I612" s="3">
        <v>0.35214891311656399</v>
      </c>
      <c r="J612" s="3">
        <v>0.30939142224002902</v>
      </c>
      <c r="K612" s="3">
        <v>0.302704342881711</v>
      </c>
      <c r="L612" s="3">
        <v>0.25966954339913301</v>
      </c>
      <c r="M612" s="3">
        <v>0.201010958836839</v>
      </c>
      <c r="N612" s="3">
        <v>0.467077396996534</v>
      </c>
      <c r="O612" s="3">
        <v>0.24628467499305701</v>
      </c>
      <c r="P612">
        <f t="shared" si="241"/>
        <v>0</v>
      </c>
      <c r="Q612">
        <f t="shared" si="242"/>
        <v>0</v>
      </c>
      <c r="R612">
        <f t="shared" si="243"/>
        <v>0</v>
      </c>
      <c r="S612">
        <f t="shared" si="244"/>
        <v>1</v>
      </c>
      <c r="T612">
        <f t="shared" si="245"/>
        <v>0</v>
      </c>
      <c r="U612">
        <f t="shared" si="246"/>
        <v>0</v>
      </c>
      <c r="V612">
        <f t="shared" si="247"/>
        <v>0</v>
      </c>
      <c r="W612">
        <f t="shared" si="248"/>
        <v>0</v>
      </c>
      <c r="X612">
        <f t="shared" si="249"/>
        <v>1</v>
      </c>
      <c r="Y612">
        <f t="shared" si="250"/>
        <v>0</v>
      </c>
      <c r="Z612">
        <f t="shared" si="251"/>
        <v>0</v>
      </c>
      <c r="AA612">
        <f t="shared" si="252"/>
        <v>0</v>
      </c>
      <c r="AB612">
        <f t="shared" si="234"/>
        <v>0</v>
      </c>
      <c r="AC612">
        <f t="shared" si="235"/>
        <v>0</v>
      </c>
      <c r="AD612">
        <f t="shared" si="236"/>
        <v>0</v>
      </c>
      <c r="AE612">
        <f t="shared" si="237"/>
        <v>0</v>
      </c>
      <c r="AF612">
        <f t="shared" si="238"/>
        <v>0</v>
      </c>
      <c r="AG612">
        <f t="shared" si="239"/>
        <v>1</v>
      </c>
      <c r="AH612">
        <f t="shared" si="253"/>
        <v>0</v>
      </c>
      <c r="AI612">
        <f t="shared" si="257"/>
        <v>0</v>
      </c>
      <c r="AJ612">
        <f t="shared" si="257"/>
        <v>0</v>
      </c>
      <c r="AK612">
        <f t="shared" si="257"/>
        <v>0</v>
      </c>
      <c r="AL612">
        <f t="shared" si="257"/>
        <v>0</v>
      </c>
      <c r="AM612">
        <f t="shared" si="257"/>
        <v>0</v>
      </c>
      <c r="AN612">
        <f t="shared" si="257"/>
        <v>0</v>
      </c>
      <c r="AO612">
        <f t="shared" si="257"/>
        <v>0</v>
      </c>
      <c r="AP612">
        <f t="shared" si="257"/>
        <v>0</v>
      </c>
      <c r="AQ612">
        <f t="shared" si="257"/>
        <v>0</v>
      </c>
      <c r="AR612">
        <f t="shared" si="257"/>
        <v>0</v>
      </c>
      <c r="AS612">
        <f t="shared" si="257"/>
        <v>0</v>
      </c>
      <c r="AT612">
        <f t="shared" si="257"/>
        <v>1</v>
      </c>
      <c r="AU612">
        <f t="shared" si="257"/>
        <v>0</v>
      </c>
      <c r="AV612">
        <f t="shared" si="257"/>
        <v>0</v>
      </c>
      <c r="AW612">
        <f t="shared" si="257"/>
        <v>0</v>
      </c>
      <c r="AX612">
        <f t="shared" ref="AX612:AZ643" si="258">IF(OR(AND($C612=AX$1,$F612=AX$2),AND($C612=AX$2,$F612=AX$1)),1,0)</f>
        <v>0</v>
      </c>
      <c r="AY612">
        <f t="shared" si="258"/>
        <v>1</v>
      </c>
      <c r="AZ612">
        <f t="shared" si="258"/>
        <v>0</v>
      </c>
      <c r="BA612">
        <f t="shared" si="255"/>
        <v>0</v>
      </c>
      <c r="BB612">
        <f t="shared" si="256"/>
        <v>1</v>
      </c>
    </row>
    <row r="613" spans="1:54">
      <c r="A613">
        <v>610</v>
      </c>
      <c r="B613" t="s">
        <v>30</v>
      </c>
      <c r="C613" t="s">
        <v>28</v>
      </c>
      <c r="D613" t="s">
        <v>27</v>
      </c>
      <c r="E613" t="s">
        <v>30</v>
      </c>
      <c r="F613" t="s">
        <v>29</v>
      </c>
      <c r="G613" t="s">
        <v>23</v>
      </c>
      <c r="H613" s="3">
        <v>8.1466796744488604E-2</v>
      </c>
      <c r="I613" s="3">
        <v>7.7503333498219903E-2</v>
      </c>
      <c r="J613" s="3">
        <v>6.8223166707306507E-2</v>
      </c>
      <c r="K613" s="3">
        <v>6.9702049759063203E-2</v>
      </c>
      <c r="L613" s="3">
        <v>5.2299169576388201E-2</v>
      </c>
      <c r="M613" s="3">
        <v>4.1170710674231802E-2</v>
      </c>
      <c r="N613" s="3">
        <v>8.8211046990931505E-2</v>
      </c>
      <c r="O613" s="3">
        <v>5.4486968435802703E-2</v>
      </c>
      <c r="P613">
        <f t="shared" si="241"/>
        <v>0</v>
      </c>
      <c r="Q613">
        <f t="shared" si="242"/>
        <v>0</v>
      </c>
      <c r="R613">
        <f t="shared" si="243"/>
        <v>0</v>
      </c>
      <c r="S613">
        <f t="shared" si="244"/>
        <v>1</v>
      </c>
      <c r="T613">
        <f t="shared" si="245"/>
        <v>0</v>
      </c>
      <c r="U613">
        <f t="shared" si="246"/>
        <v>0</v>
      </c>
      <c r="V613">
        <f t="shared" si="247"/>
        <v>0</v>
      </c>
      <c r="W613">
        <f t="shared" si="248"/>
        <v>0</v>
      </c>
      <c r="X613">
        <f t="shared" si="249"/>
        <v>0</v>
      </c>
      <c r="Y613">
        <f t="shared" si="250"/>
        <v>1</v>
      </c>
      <c r="Z613">
        <f t="shared" si="251"/>
        <v>0</v>
      </c>
      <c r="AA613">
        <f t="shared" si="252"/>
        <v>0</v>
      </c>
      <c r="AB613">
        <f t="shared" si="234"/>
        <v>0</v>
      </c>
      <c r="AC613">
        <f t="shared" si="235"/>
        <v>0</v>
      </c>
      <c r="AD613">
        <f t="shared" si="236"/>
        <v>0</v>
      </c>
      <c r="AE613">
        <f t="shared" si="237"/>
        <v>0</v>
      </c>
      <c r="AF613">
        <f t="shared" si="238"/>
        <v>0</v>
      </c>
      <c r="AG613">
        <f t="shared" si="239"/>
        <v>1</v>
      </c>
      <c r="AH613">
        <f t="shared" si="253"/>
        <v>0</v>
      </c>
      <c r="AI613">
        <f t="shared" ref="AI613:AW629" si="259">IF(OR(AND($D613=AI$1,$G613=AI$2),AND($D613=AI$2,$G613=AI$1)),1,0)</f>
        <v>0</v>
      </c>
      <c r="AJ613">
        <f t="shared" si="259"/>
        <v>0</v>
      </c>
      <c r="AK613">
        <f t="shared" si="259"/>
        <v>0</v>
      </c>
      <c r="AL613">
        <f t="shared" si="259"/>
        <v>0</v>
      </c>
      <c r="AM613">
        <f t="shared" si="259"/>
        <v>0</v>
      </c>
      <c r="AN613">
        <f t="shared" si="259"/>
        <v>0</v>
      </c>
      <c r="AO613">
        <f t="shared" si="259"/>
        <v>0</v>
      </c>
      <c r="AP613">
        <f t="shared" si="259"/>
        <v>0</v>
      </c>
      <c r="AQ613">
        <f t="shared" si="259"/>
        <v>0</v>
      </c>
      <c r="AR613">
        <f t="shared" si="259"/>
        <v>0</v>
      </c>
      <c r="AS613">
        <f t="shared" si="259"/>
        <v>0</v>
      </c>
      <c r="AT613">
        <f t="shared" si="259"/>
        <v>0</v>
      </c>
      <c r="AU613">
        <f t="shared" si="259"/>
        <v>0</v>
      </c>
      <c r="AV613">
        <f t="shared" si="259"/>
        <v>1</v>
      </c>
      <c r="AW613">
        <f t="shared" si="259"/>
        <v>0</v>
      </c>
      <c r="AX613">
        <f t="shared" si="258"/>
        <v>0</v>
      </c>
      <c r="AY613">
        <f t="shared" si="258"/>
        <v>1</v>
      </c>
      <c r="AZ613">
        <f t="shared" si="258"/>
        <v>0</v>
      </c>
      <c r="BA613">
        <f t="shared" si="255"/>
        <v>0</v>
      </c>
      <c r="BB613">
        <f t="shared" si="256"/>
        <v>1</v>
      </c>
    </row>
    <row r="614" spans="1:54">
      <c r="A614">
        <v>611</v>
      </c>
      <c r="B614" t="s">
        <v>30</v>
      </c>
      <c r="C614" t="s">
        <v>28</v>
      </c>
      <c r="D614" t="s">
        <v>27</v>
      </c>
      <c r="E614" t="s">
        <v>30</v>
      </c>
      <c r="F614" t="s">
        <v>29</v>
      </c>
      <c r="G614" t="s">
        <v>24</v>
      </c>
      <c r="H614" s="3">
        <v>0.44495329013533902</v>
      </c>
      <c r="I614" s="3">
        <v>0.41511743820687202</v>
      </c>
      <c r="J614" s="3">
        <v>0.32096306257018398</v>
      </c>
      <c r="K614" s="3">
        <v>0.34680079842785599</v>
      </c>
      <c r="L614" s="3">
        <v>0.24294092038153201</v>
      </c>
      <c r="M614" s="3">
        <v>0.18084610095696901</v>
      </c>
      <c r="N614" s="3">
        <v>0.69752731454859096</v>
      </c>
      <c r="O614" s="3">
        <v>0.244992746832841</v>
      </c>
      <c r="P614">
        <f t="shared" si="241"/>
        <v>0</v>
      </c>
      <c r="Q614">
        <f t="shared" si="242"/>
        <v>0</v>
      </c>
      <c r="R614">
        <f t="shared" si="243"/>
        <v>0</v>
      </c>
      <c r="S614">
        <f t="shared" si="244"/>
        <v>1</v>
      </c>
      <c r="T614">
        <f t="shared" si="245"/>
        <v>0</v>
      </c>
      <c r="U614">
        <f t="shared" si="246"/>
        <v>0</v>
      </c>
      <c r="V614">
        <f t="shared" si="247"/>
        <v>0</v>
      </c>
      <c r="W614">
        <f t="shared" si="248"/>
        <v>0</v>
      </c>
      <c r="X614">
        <f t="shared" si="249"/>
        <v>0</v>
      </c>
      <c r="Y614">
        <f t="shared" si="250"/>
        <v>0</v>
      </c>
      <c r="Z614">
        <f t="shared" si="251"/>
        <v>0</v>
      </c>
      <c r="AA614">
        <f t="shared" si="252"/>
        <v>1</v>
      </c>
      <c r="AB614">
        <f t="shared" si="234"/>
        <v>0</v>
      </c>
      <c r="AC614">
        <f t="shared" si="235"/>
        <v>0</v>
      </c>
      <c r="AD614">
        <f t="shared" si="236"/>
        <v>1</v>
      </c>
      <c r="AE614">
        <f t="shared" si="237"/>
        <v>0</v>
      </c>
      <c r="AF614">
        <f t="shared" si="238"/>
        <v>0</v>
      </c>
      <c r="AG614">
        <f t="shared" si="239"/>
        <v>1</v>
      </c>
      <c r="AH614">
        <f t="shared" si="253"/>
        <v>1</v>
      </c>
      <c r="AI614">
        <f t="shared" si="259"/>
        <v>0</v>
      </c>
      <c r="AJ614">
        <f t="shared" si="259"/>
        <v>0</v>
      </c>
      <c r="AK614">
        <f t="shared" si="259"/>
        <v>0</v>
      </c>
      <c r="AL614">
        <f t="shared" si="259"/>
        <v>0</v>
      </c>
      <c r="AM614">
        <f t="shared" si="259"/>
        <v>0</v>
      </c>
      <c r="AN614">
        <f t="shared" si="259"/>
        <v>0</v>
      </c>
      <c r="AO614">
        <f t="shared" si="259"/>
        <v>0</v>
      </c>
      <c r="AP614">
        <f t="shared" si="259"/>
        <v>0</v>
      </c>
      <c r="AQ614">
        <f t="shared" si="259"/>
        <v>0</v>
      </c>
      <c r="AR614">
        <f t="shared" si="259"/>
        <v>0</v>
      </c>
      <c r="AS614">
        <f t="shared" si="259"/>
        <v>0</v>
      </c>
      <c r="AT614">
        <f t="shared" si="259"/>
        <v>0</v>
      </c>
      <c r="AU614">
        <f t="shared" si="259"/>
        <v>0</v>
      </c>
      <c r="AV614">
        <f t="shared" si="259"/>
        <v>0</v>
      </c>
      <c r="AW614">
        <f t="shared" si="259"/>
        <v>1</v>
      </c>
      <c r="AX614">
        <f t="shared" si="258"/>
        <v>0</v>
      </c>
      <c r="AY614">
        <f t="shared" si="258"/>
        <v>1</v>
      </c>
      <c r="AZ614">
        <f t="shared" si="258"/>
        <v>0</v>
      </c>
      <c r="BA614">
        <f t="shared" si="255"/>
        <v>0</v>
      </c>
      <c r="BB614">
        <f t="shared" si="256"/>
        <v>1</v>
      </c>
    </row>
    <row r="615" spans="1:54">
      <c r="A615">
        <v>612</v>
      </c>
      <c r="B615" t="s">
        <v>30</v>
      </c>
      <c r="C615" t="s">
        <v>28</v>
      </c>
      <c r="D615" t="s">
        <v>27</v>
      </c>
      <c r="E615" t="s">
        <v>30</v>
      </c>
      <c r="F615" t="s">
        <v>29</v>
      </c>
      <c r="G615" t="s">
        <v>31</v>
      </c>
      <c r="H615" s="3">
        <v>9.8195684324631993E-2</v>
      </c>
      <c r="I615" s="3">
        <v>9.2522609299579006E-2</v>
      </c>
      <c r="J615" s="3">
        <v>8.2465494544965004E-2</v>
      </c>
      <c r="K615" s="3">
        <v>8.2454218956839201E-2</v>
      </c>
      <c r="L615" s="3">
        <v>6.5611277813791197E-2</v>
      </c>
      <c r="M615" s="3">
        <v>5.19383758205594E-2</v>
      </c>
      <c r="N615" s="3">
        <v>0.10717230008244</v>
      </c>
      <c r="O615" s="3">
        <v>6.6835424284596004E-2</v>
      </c>
      <c r="P615">
        <f t="shared" si="241"/>
        <v>0</v>
      </c>
      <c r="Q615">
        <f t="shared" si="242"/>
        <v>0</v>
      </c>
      <c r="R615">
        <f t="shared" si="243"/>
        <v>0</v>
      </c>
      <c r="S615">
        <f t="shared" si="244"/>
        <v>1</v>
      </c>
      <c r="T615">
        <f t="shared" si="245"/>
        <v>0</v>
      </c>
      <c r="U615">
        <f t="shared" si="246"/>
        <v>0</v>
      </c>
      <c r="V615">
        <f t="shared" si="247"/>
        <v>0</v>
      </c>
      <c r="W615">
        <f t="shared" si="248"/>
        <v>0</v>
      </c>
      <c r="X615">
        <f t="shared" si="249"/>
        <v>0</v>
      </c>
      <c r="Y615">
        <f t="shared" si="250"/>
        <v>0</v>
      </c>
      <c r="Z615">
        <f t="shared" si="251"/>
        <v>1</v>
      </c>
      <c r="AA615">
        <f t="shared" si="252"/>
        <v>0</v>
      </c>
      <c r="AB615">
        <f t="shared" si="234"/>
        <v>0</v>
      </c>
      <c r="AC615">
        <f t="shared" si="235"/>
        <v>0</v>
      </c>
      <c r="AD615">
        <f t="shared" si="236"/>
        <v>0</v>
      </c>
      <c r="AE615">
        <f t="shared" si="237"/>
        <v>0</v>
      </c>
      <c r="AF615">
        <f t="shared" si="238"/>
        <v>0</v>
      </c>
      <c r="AG615">
        <f t="shared" si="239"/>
        <v>1</v>
      </c>
      <c r="AH615">
        <f t="shared" si="253"/>
        <v>0</v>
      </c>
      <c r="AI615">
        <f t="shared" si="259"/>
        <v>0</v>
      </c>
      <c r="AJ615">
        <f t="shared" si="259"/>
        <v>0</v>
      </c>
      <c r="AK615">
        <f t="shared" si="259"/>
        <v>0</v>
      </c>
      <c r="AL615">
        <f t="shared" si="259"/>
        <v>0</v>
      </c>
      <c r="AM615">
        <f t="shared" si="259"/>
        <v>0</v>
      </c>
      <c r="AN615">
        <f t="shared" si="259"/>
        <v>0</v>
      </c>
      <c r="AO615">
        <f t="shared" si="259"/>
        <v>0</v>
      </c>
      <c r="AP615">
        <f t="shared" si="259"/>
        <v>0</v>
      </c>
      <c r="AQ615">
        <f t="shared" si="259"/>
        <v>0</v>
      </c>
      <c r="AR615">
        <f t="shared" si="259"/>
        <v>0</v>
      </c>
      <c r="AS615">
        <f t="shared" si="259"/>
        <v>0</v>
      </c>
      <c r="AT615">
        <f t="shared" si="259"/>
        <v>0</v>
      </c>
      <c r="AU615">
        <f t="shared" si="259"/>
        <v>0</v>
      </c>
      <c r="AV615">
        <f t="shared" si="259"/>
        <v>0</v>
      </c>
      <c r="AW615">
        <f t="shared" si="259"/>
        <v>0</v>
      </c>
      <c r="AX615">
        <f t="shared" si="258"/>
        <v>0</v>
      </c>
      <c r="AY615">
        <f t="shared" si="258"/>
        <v>1</v>
      </c>
      <c r="AZ615">
        <f t="shared" si="258"/>
        <v>0</v>
      </c>
      <c r="BA615">
        <f t="shared" si="255"/>
        <v>0</v>
      </c>
      <c r="BB615">
        <f t="shared" si="256"/>
        <v>1</v>
      </c>
    </row>
    <row r="616" spans="1:54">
      <c r="A616">
        <v>613</v>
      </c>
      <c r="B616" t="s">
        <v>30</v>
      </c>
      <c r="C616" t="s">
        <v>28</v>
      </c>
      <c r="D616" t="s">
        <v>27</v>
      </c>
      <c r="E616" t="s">
        <v>30</v>
      </c>
      <c r="F616" t="s">
        <v>29</v>
      </c>
      <c r="G616" t="s">
        <v>25</v>
      </c>
      <c r="H616" s="3">
        <v>5.7094593023569798E-2</v>
      </c>
      <c r="I616" s="3">
        <v>5.6487609630029398E-2</v>
      </c>
      <c r="J616" s="3">
        <v>5.1422729772570903E-2</v>
      </c>
      <c r="K616" s="3">
        <v>5.3227703924610598E-2</v>
      </c>
      <c r="L616" s="3">
        <v>4.5439252351784302E-2</v>
      </c>
      <c r="M616" s="3">
        <v>4.0445349295997302E-2</v>
      </c>
      <c r="N616" s="3">
        <v>6.0890517544299902E-2</v>
      </c>
      <c r="O616" s="3">
        <v>4.6183076699593102E-2</v>
      </c>
      <c r="P616">
        <f t="shared" si="241"/>
        <v>0</v>
      </c>
      <c r="Q616">
        <f t="shared" si="242"/>
        <v>0</v>
      </c>
      <c r="R616">
        <f t="shared" si="243"/>
        <v>0</v>
      </c>
      <c r="S616">
        <f t="shared" si="244"/>
        <v>1</v>
      </c>
      <c r="T616">
        <f t="shared" si="245"/>
        <v>0</v>
      </c>
      <c r="U616">
        <f t="shared" si="246"/>
        <v>0</v>
      </c>
      <c r="V616">
        <f t="shared" si="247"/>
        <v>0</v>
      </c>
      <c r="W616">
        <f t="shared" si="248"/>
        <v>0</v>
      </c>
      <c r="X616">
        <f t="shared" si="249"/>
        <v>0</v>
      </c>
      <c r="Y616">
        <f t="shared" si="250"/>
        <v>0</v>
      </c>
      <c r="Z616">
        <f t="shared" si="251"/>
        <v>0</v>
      </c>
      <c r="AA616">
        <f t="shared" si="252"/>
        <v>0</v>
      </c>
      <c r="AB616">
        <f t="shared" si="234"/>
        <v>0</v>
      </c>
      <c r="AC616">
        <f t="shared" si="235"/>
        <v>0</v>
      </c>
      <c r="AD616">
        <f t="shared" si="236"/>
        <v>0</v>
      </c>
      <c r="AE616">
        <f t="shared" si="237"/>
        <v>0</v>
      </c>
      <c r="AF616">
        <f t="shared" si="238"/>
        <v>0</v>
      </c>
      <c r="AG616">
        <f t="shared" si="239"/>
        <v>1</v>
      </c>
      <c r="AH616">
        <f t="shared" si="253"/>
        <v>0</v>
      </c>
      <c r="AI616">
        <f t="shared" si="259"/>
        <v>0</v>
      </c>
      <c r="AJ616">
        <f t="shared" si="259"/>
        <v>0</v>
      </c>
      <c r="AK616">
        <f t="shared" si="259"/>
        <v>0</v>
      </c>
      <c r="AL616">
        <f t="shared" si="259"/>
        <v>0</v>
      </c>
      <c r="AM616">
        <f t="shared" si="259"/>
        <v>0</v>
      </c>
      <c r="AN616">
        <f t="shared" si="259"/>
        <v>0</v>
      </c>
      <c r="AO616">
        <f t="shared" si="259"/>
        <v>0</v>
      </c>
      <c r="AP616">
        <f t="shared" si="259"/>
        <v>0</v>
      </c>
      <c r="AQ616">
        <f t="shared" si="259"/>
        <v>1</v>
      </c>
      <c r="AR616">
        <f t="shared" si="259"/>
        <v>0</v>
      </c>
      <c r="AS616">
        <f t="shared" si="259"/>
        <v>0</v>
      </c>
      <c r="AT616">
        <f t="shared" si="259"/>
        <v>0</v>
      </c>
      <c r="AU616">
        <f t="shared" si="259"/>
        <v>0</v>
      </c>
      <c r="AV616">
        <f t="shared" si="259"/>
        <v>0</v>
      </c>
      <c r="AW616">
        <f t="shared" si="259"/>
        <v>0</v>
      </c>
      <c r="AX616">
        <f t="shared" si="258"/>
        <v>0</v>
      </c>
      <c r="AY616">
        <f t="shared" si="258"/>
        <v>1</v>
      </c>
      <c r="AZ616">
        <f t="shared" si="258"/>
        <v>0</v>
      </c>
      <c r="BA616">
        <f t="shared" si="255"/>
        <v>1</v>
      </c>
      <c r="BB616">
        <f t="shared" si="256"/>
        <v>1</v>
      </c>
    </row>
    <row r="617" spans="1:54">
      <c r="A617">
        <v>614</v>
      </c>
      <c r="B617" t="s">
        <v>30</v>
      </c>
      <c r="C617" t="s">
        <v>28</v>
      </c>
      <c r="D617" t="s">
        <v>27</v>
      </c>
      <c r="E617" t="s">
        <v>30</v>
      </c>
      <c r="F617" t="s">
        <v>29</v>
      </c>
      <c r="G617" t="s">
        <v>26</v>
      </c>
      <c r="H617" s="3">
        <v>5.8406484025856999E-2</v>
      </c>
      <c r="I617" s="3">
        <v>5.7804288680883401E-2</v>
      </c>
      <c r="J617" s="3">
        <v>5.2613364048344102E-2</v>
      </c>
      <c r="K617" s="3">
        <v>5.4495523317668298E-2</v>
      </c>
      <c r="L617" s="3">
        <v>4.6419500295658903E-2</v>
      </c>
      <c r="M617" s="3">
        <v>4.1293944988384498E-2</v>
      </c>
      <c r="N617" s="3">
        <v>6.2268993839835703E-2</v>
      </c>
      <c r="O617" s="3">
        <v>4.7258673486433901E-2</v>
      </c>
      <c r="P617">
        <f t="shared" si="241"/>
        <v>0</v>
      </c>
      <c r="Q617">
        <f t="shared" si="242"/>
        <v>0</v>
      </c>
      <c r="R617">
        <f t="shared" si="243"/>
        <v>0</v>
      </c>
      <c r="S617">
        <f t="shared" si="244"/>
        <v>1</v>
      </c>
      <c r="T617">
        <f t="shared" si="245"/>
        <v>0</v>
      </c>
      <c r="U617">
        <f t="shared" si="246"/>
        <v>0</v>
      </c>
      <c r="V617">
        <f t="shared" si="247"/>
        <v>0</v>
      </c>
      <c r="W617">
        <f t="shared" si="248"/>
        <v>0</v>
      </c>
      <c r="X617">
        <f t="shared" si="249"/>
        <v>0</v>
      </c>
      <c r="Y617">
        <f t="shared" si="250"/>
        <v>0</v>
      </c>
      <c r="Z617">
        <f t="shared" si="251"/>
        <v>0</v>
      </c>
      <c r="AA617">
        <f t="shared" si="252"/>
        <v>0</v>
      </c>
      <c r="AB617">
        <f t="shared" si="234"/>
        <v>0</v>
      </c>
      <c r="AC617">
        <f t="shared" si="235"/>
        <v>0</v>
      </c>
      <c r="AD617">
        <f t="shared" si="236"/>
        <v>0</v>
      </c>
      <c r="AE617">
        <f t="shared" si="237"/>
        <v>0</v>
      </c>
      <c r="AF617">
        <f t="shared" si="238"/>
        <v>0</v>
      </c>
      <c r="AG617">
        <f t="shared" si="239"/>
        <v>1</v>
      </c>
      <c r="AH617">
        <f t="shared" si="253"/>
        <v>0</v>
      </c>
      <c r="AI617">
        <f t="shared" si="259"/>
        <v>0</v>
      </c>
      <c r="AJ617">
        <f t="shared" si="259"/>
        <v>0</v>
      </c>
      <c r="AK617">
        <f t="shared" si="259"/>
        <v>0</v>
      </c>
      <c r="AL617">
        <f t="shared" si="259"/>
        <v>0</v>
      </c>
      <c r="AM617">
        <f t="shared" si="259"/>
        <v>1</v>
      </c>
      <c r="AN617">
        <f t="shared" si="259"/>
        <v>0</v>
      </c>
      <c r="AO617">
        <f t="shared" si="259"/>
        <v>0</v>
      </c>
      <c r="AP617">
        <f t="shared" si="259"/>
        <v>0</v>
      </c>
      <c r="AQ617">
        <f t="shared" si="259"/>
        <v>0</v>
      </c>
      <c r="AR617">
        <f t="shared" si="259"/>
        <v>0</v>
      </c>
      <c r="AS617">
        <f t="shared" si="259"/>
        <v>0</v>
      </c>
      <c r="AT617">
        <f t="shared" si="259"/>
        <v>0</v>
      </c>
      <c r="AU617">
        <f t="shared" si="259"/>
        <v>0</v>
      </c>
      <c r="AV617">
        <f t="shared" si="259"/>
        <v>0</v>
      </c>
      <c r="AW617">
        <f t="shared" si="259"/>
        <v>0</v>
      </c>
      <c r="AX617">
        <f t="shared" si="258"/>
        <v>0</v>
      </c>
      <c r="AY617">
        <f t="shared" si="258"/>
        <v>1</v>
      </c>
      <c r="AZ617">
        <f t="shared" si="258"/>
        <v>0</v>
      </c>
      <c r="BA617">
        <f t="shared" si="255"/>
        <v>1</v>
      </c>
      <c r="BB617">
        <f t="shared" si="256"/>
        <v>1</v>
      </c>
    </row>
    <row r="618" spans="1:54">
      <c r="A618">
        <v>615</v>
      </c>
      <c r="B618" t="s">
        <v>30</v>
      </c>
      <c r="C618" t="s">
        <v>29</v>
      </c>
      <c r="D618" t="s">
        <v>22</v>
      </c>
      <c r="E618" t="s">
        <v>30</v>
      </c>
      <c r="F618" t="s">
        <v>29</v>
      </c>
      <c r="G618" t="s">
        <v>23</v>
      </c>
      <c r="H618" s="3">
        <v>3.8493091527708703E-2</v>
      </c>
      <c r="I618" s="3">
        <v>3.8097029973006603E-2</v>
      </c>
      <c r="J618" s="3">
        <v>3.3156780594678699E-2</v>
      </c>
      <c r="K618" s="3">
        <v>3.56220554400987E-2</v>
      </c>
      <c r="L618" s="3">
        <v>2.5803245561524801E-2</v>
      </c>
      <c r="M618" s="3">
        <v>2.06838167648359E-2</v>
      </c>
      <c r="N618" s="3">
        <v>4.12013862148633E-2</v>
      </c>
      <c r="O618" s="3">
        <v>2.82084372612313E-2</v>
      </c>
      <c r="P618">
        <f t="shared" si="241"/>
        <v>0</v>
      </c>
      <c r="Q618">
        <f t="shared" si="242"/>
        <v>0</v>
      </c>
      <c r="R618">
        <f t="shared" si="243"/>
        <v>0</v>
      </c>
      <c r="S618">
        <f t="shared" si="244"/>
        <v>0</v>
      </c>
      <c r="T618">
        <f t="shared" si="245"/>
        <v>0</v>
      </c>
      <c r="U618">
        <f t="shared" si="246"/>
        <v>0</v>
      </c>
      <c r="V618">
        <f t="shared" si="247"/>
        <v>0</v>
      </c>
      <c r="W618">
        <f t="shared" si="248"/>
        <v>0</v>
      </c>
      <c r="X618">
        <f t="shared" si="249"/>
        <v>1</v>
      </c>
      <c r="Y618">
        <f t="shared" si="250"/>
        <v>1</v>
      </c>
      <c r="Z618">
        <f t="shared" si="251"/>
        <v>0</v>
      </c>
      <c r="AA618">
        <f t="shared" si="252"/>
        <v>0</v>
      </c>
      <c r="AB618">
        <f t="shared" si="234"/>
        <v>0</v>
      </c>
      <c r="AC618">
        <f t="shared" si="235"/>
        <v>1</v>
      </c>
      <c r="AD618">
        <f t="shared" si="236"/>
        <v>0</v>
      </c>
      <c r="AE618">
        <f t="shared" si="237"/>
        <v>0</v>
      </c>
      <c r="AF618">
        <f t="shared" si="238"/>
        <v>1</v>
      </c>
      <c r="AG618">
        <f t="shared" si="239"/>
        <v>1</v>
      </c>
      <c r="AH618">
        <f t="shared" si="253"/>
        <v>1</v>
      </c>
      <c r="AI618">
        <f t="shared" si="259"/>
        <v>0</v>
      </c>
      <c r="AJ618">
        <f t="shared" si="259"/>
        <v>0</v>
      </c>
      <c r="AK618">
        <f t="shared" si="259"/>
        <v>0</v>
      </c>
      <c r="AL618">
        <f t="shared" si="259"/>
        <v>0</v>
      </c>
      <c r="AM618">
        <f t="shared" si="259"/>
        <v>0</v>
      </c>
      <c r="AN618">
        <f t="shared" si="259"/>
        <v>0</v>
      </c>
      <c r="AO618">
        <f t="shared" si="259"/>
        <v>0</v>
      </c>
      <c r="AP618">
        <f t="shared" si="259"/>
        <v>0</v>
      </c>
      <c r="AQ618">
        <f t="shared" si="259"/>
        <v>0</v>
      </c>
      <c r="AR618">
        <f t="shared" si="259"/>
        <v>1</v>
      </c>
      <c r="AS618">
        <f t="shared" si="259"/>
        <v>0</v>
      </c>
      <c r="AT618">
        <f t="shared" si="259"/>
        <v>0</v>
      </c>
      <c r="AU618">
        <f t="shared" si="259"/>
        <v>0</v>
      </c>
      <c r="AV618">
        <f t="shared" si="259"/>
        <v>0</v>
      </c>
      <c r="AW618">
        <f t="shared" si="259"/>
        <v>0</v>
      </c>
      <c r="AX618">
        <f t="shared" si="258"/>
        <v>0</v>
      </c>
      <c r="AY618">
        <f t="shared" si="258"/>
        <v>0</v>
      </c>
      <c r="AZ618">
        <f t="shared" si="258"/>
        <v>0</v>
      </c>
      <c r="BA618">
        <f t="shared" si="255"/>
        <v>0</v>
      </c>
      <c r="BB618">
        <f t="shared" si="256"/>
        <v>1</v>
      </c>
    </row>
    <row r="619" spans="1:54">
      <c r="A619">
        <v>616</v>
      </c>
      <c r="B619" t="s">
        <v>30</v>
      </c>
      <c r="C619" t="s">
        <v>29</v>
      </c>
      <c r="D619" t="s">
        <v>22</v>
      </c>
      <c r="E619" t="s">
        <v>30</v>
      </c>
      <c r="F619" t="s">
        <v>29</v>
      </c>
      <c r="G619" t="s">
        <v>24</v>
      </c>
      <c r="H619" s="3">
        <v>0.60335828831312899</v>
      </c>
      <c r="I619" s="3">
        <v>0.56788003996761904</v>
      </c>
      <c r="J619" s="3">
        <v>0.437520786949394</v>
      </c>
      <c r="K619" s="3">
        <v>0.49761817539460601</v>
      </c>
      <c r="L619" s="3">
        <v>0.30990342993443298</v>
      </c>
      <c r="M619" s="3">
        <v>0.22817924584722499</v>
      </c>
      <c r="N619" s="3">
        <v>0.66961879091259102</v>
      </c>
      <c r="O619" s="3">
        <v>0.34210441567754801</v>
      </c>
      <c r="P619">
        <f t="shared" si="241"/>
        <v>0</v>
      </c>
      <c r="Q619">
        <f t="shared" si="242"/>
        <v>0</v>
      </c>
      <c r="R619">
        <f t="shared" si="243"/>
        <v>0</v>
      </c>
      <c r="S619">
        <f t="shared" si="244"/>
        <v>0</v>
      </c>
      <c r="T619">
        <f t="shared" si="245"/>
        <v>0</v>
      </c>
      <c r="U619">
        <f t="shared" si="246"/>
        <v>0</v>
      </c>
      <c r="V619">
        <f t="shared" si="247"/>
        <v>0</v>
      </c>
      <c r="W619">
        <f t="shared" si="248"/>
        <v>0</v>
      </c>
      <c r="X619">
        <f t="shared" si="249"/>
        <v>1</v>
      </c>
      <c r="Y619">
        <f t="shared" si="250"/>
        <v>0</v>
      </c>
      <c r="Z619">
        <f t="shared" si="251"/>
        <v>0</v>
      </c>
      <c r="AA619">
        <f t="shared" si="252"/>
        <v>1</v>
      </c>
      <c r="AB619">
        <f t="shared" si="234"/>
        <v>0</v>
      </c>
      <c r="AC619">
        <f t="shared" si="235"/>
        <v>0</v>
      </c>
      <c r="AD619">
        <f t="shared" si="236"/>
        <v>0</v>
      </c>
      <c r="AE619">
        <f t="shared" si="237"/>
        <v>0</v>
      </c>
      <c r="AF619">
        <f t="shared" si="238"/>
        <v>1</v>
      </c>
      <c r="AG619">
        <f t="shared" si="239"/>
        <v>1</v>
      </c>
      <c r="AH619">
        <f t="shared" si="253"/>
        <v>0</v>
      </c>
      <c r="AI619">
        <f t="shared" si="259"/>
        <v>0</v>
      </c>
      <c r="AJ619">
        <f t="shared" si="259"/>
        <v>0</v>
      </c>
      <c r="AK619">
        <f t="shared" si="259"/>
        <v>0</v>
      </c>
      <c r="AL619">
        <f t="shared" si="259"/>
        <v>0</v>
      </c>
      <c r="AM619">
        <f t="shared" si="259"/>
        <v>0</v>
      </c>
      <c r="AN619">
        <f t="shared" si="259"/>
        <v>0</v>
      </c>
      <c r="AO619">
        <f t="shared" si="259"/>
        <v>0</v>
      </c>
      <c r="AP619">
        <f t="shared" si="259"/>
        <v>0</v>
      </c>
      <c r="AQ619">
        <f t="shared" si="259"/>
        <v>0</v>
      </c>
      <c r="AR619">
        <f t="shared" si="259"/>
        <v>0</v>
      </c>
      <c r="AS619">
        <f t="shared" si="259"/>
        <v>1</v>
      </c>
      <c r="AT619">
        <f t="shared" si="259"/>
        <v>0</v>
      </c>
      <c r="AU619">
        <f t="shared" si="259"/>
        <v>0</v>
      </c>
      <c r="AV619">
        <f t="shared" si="259"/>
        <v>0</v>
      </c>
      <c r="AW619">
        <f t="shared" si="259"/>
        <v>0</v>
      </c>
      <c r="AX619">
        <f t="shared" si="258"/>
        <v>0</v>
      </c>
      <c r="AY619">
        <f t="shared" si="258"/>
        <v>0</v>
      </c>
      <c r="AZ619">
        <f t="shared" si="258"/>
        <v>0</v>
      </c>
      <c r="BA619">
        <f t="shared" si="255"/>
        <v>0</v>
      </c>
      <c r="BB619">
        <f t="shared" si="256"/>
        <v>1</v>
      </c>
    </row>
    <row r="620" spans="1:54">
      <c r="A620">
        <v>617</v>
      </c>
      <c r="B620" t="s">
        <v>30</v>
      </c>
      <c r="C620" t="s">
        <v>29</v>
      </c>
      <c r="D620" t="s">
        <v>22</v>
      </c>
      <c r="E620" t="s">
        <v>30</v>
      </c>
      <c r="F620" t="s">
        <v>29</v>
      </c>
      <c r="G620" t="s">
        <v>31</v>
      </c>
      <c r="H620" s="3">
        <v>4.85394724748777E-2</v>
      </c>
      <c r="I620" s="3">
        <v>4.7013747834840698E-2</v>
      </c>
      <c r="J620" s="3">
        <v>4.44005417944765E-2</v>
      </c>
      <c r="K620" s="3">
        <v>4.4690628162819497E-2</v>
      </c>
      <c r="L620" s="3">
        <v>3.8525050638807297E-2</v>
      </c>
      <c r="M620" s="3">
        <v>3.4307331783813802E-2</v>
      </c>
      <c r="N620" s="3">
        <v>5.0057758952637602E-2</v>
      </c>
      <c r="O620" s="3">
        <v>3.9900619730085803E-2</v>
      </c>
      <c r="P620">
        <f t="shared" si="241"/>
        <v>0</v>
      </c>
      <c r="Q620">
        <f t="shared" si="242"/>
        <v>0</v>
      </c>
      <c r="R620">
        <f t="shared" si="243"/>
        <v>0</v>
      </c>
      <c r="S620">
        <f t="shared" si="244"/>
        <v>0</v>
      </c>
      <c r="T620">
        <f t="shared" si="245"/>
        <v>0</v>
      </c>
      <c r="U620">
        <f t="shared" si="246"/>
        <v>0</v>
      </c>
      <c r="V620">
        <f t="shared" si="247"/>
        <v>0</v>
      </c>
      <c r="W620">
        <f t="shared" si="248"/>
        <v>0</v>
      </c>
      <c r="X620">
        <f t="shared" si="249"/>
        <v>1</v>
      </c>
      <c r="Y620">
        <f t="shared" si="250"/>
        <v>0</v>
      </c>
      <c r="Z620">
        <f t="shared" si="251"/>
        <v>1</v>
      </c>
      <c r="AA620">
        <f t="shared" si="252"/>
        <v>0</v>
      </c>
      <c r="AB620">
        <f t="shared" si="234"/>
        <v>0</v>
      </c>
      <c r="AC620">
        <f t="shared" si="235"/>
        <v>1</v>
      </c>
      <c r="AD620">
        <f t="shared" si="236"/>
        <v>0</v>
      </c>
      <c r="AE620">
        <f t="shared" si="237"/>
        <v>0</v>
      </c>
      <c r="AF620">
        <f t="shared" si="238"/>
        <v>1</v>
      </c>
      <c r="AG620">
        <f t="shared" si="239"/>
        <v>1</v>
      </c>
      <c r="AH620">
        <f t="shared" si="253"/>
        <v>1</v>
      </c>
      <c r="AI620">
        <f t="shared" si="259"/>
        <v>0</v>
      </c>
      <c r="AJ620">
        <f t="shared" si="259"/>
        <v>0</v>
      </c>
      <c r="AK620">
        <f t="shared" si="259"/>
        <v>0</v>
      </c>
      <c r="AL620">
        <f t="shared" si="259"/>
        <v>0</v>
      </c>
      <c r="AM620">
        <f t="shared" si="259"/>
        <v>0</v>
      </c>
      <c r="AN620">
        <f t="shared" si="259"/>
        <v>0</v>
      </c>
      <c r="AO620">
        <f t="shared" si="259"/>
        <v>0</v>
      </c>
      <c r="AP620">
        <f t="shared" si="259"/>
        <v>0</v>
      </c>
      <c r="AQ620">
        <f t="shared" si="259"/>
        <v>0</v>
      </c>
      <c r="AR620">
        <f t="shared" si="259"/>
        <v>0</v>
      </c>
      <c r="AS620">
        <f t="shared" si="259"/>
        <v>0</v>
      </c>
      <c r="AT620">
        <f t="shared" si="259"/>
        <v>0</v>
      </c>
      <c r="AU620">
        <f t="shared" si="259"/>
        <v>0</v>
      </c>
      <c r="AV620">
        <f t="shared" si="259"/>
        <v>0</v>
      </c>
      <c r="AW620">
        <f t="shared" si="259"/>
        <v>0</v>
      </c>
      <c r="AX620">
        <f t="shared" si="258"/>
        <v>0</v>
      </c>
      <c r="AY620">
        <f t="shared" si="258"/>
        <v>0</v>
      </c>
      <c r="AZ620">
        <f t="shared" si="258"/>
        <v>0</v>
      </c>
      <c r="BA620">
        <f t="shared" si="255"/>
        <v>0</v>
      </c>
      <c r="BB620">
        <f t="shared" si="256"/>
        <v>1</v>
      </c>
    </row>
    <row r="621" spans="1:54">
      <c r="A621">
        <v>618</v>
      </c>
      <c r="B621" t="s">
        <v>30</v>
      </c>
      <c r="C621" t="s">
        <v>29</v>
      </c>
      <c r="D621" t="s">
        <v>22</v>
      </c>
      <c r="E621" t="s">
        <v>30</v>
      </c>
      <c r="F621" t="s">
        <v>29</v>
      </c>
      <c r="G621" t="s">
        <v>25</v>
      </c>
      <c r="H621" s="3">
        <v>0.118817835739462</v>
      </c>
      <c r="I621" s="3">
        <v>0.116046638293299</v>
      </c>
      <c r="J621" s="3">
        <v>9.8508444693613598E-2</v>
      </c>
      <c r="K621" s="3">
        <v>0.10546154078372801</v>
      </c>
      <c r="L621" s="3">
        <v>8.1612565431535694E-2</v>
      </c>
      <c r="M621" s="3">
        <v>6.5692152793258199E-2</v>
      </c>
      <c r="N621" s="3">
        <v>0.13036494151899999</v>
      </c>
      <c r="O621" s="3">
        <v>8.1982437547702E-2</v>
      </c>
      <c r="P621">
        <f t="shared" si="241"/>
        <v>0</v>
      </c>
      <c r="Q621">
        <f t="shared" si="242"/>
        <v>0</v>
      </c>
      <c r="R621">
        <f t="shared" si="243"/>
        <v>0</v>
      </c>
      <c r="S621">
        <f t="shared" si="244"/>
        <v>0</v>
      </c>
      <c r="T621">
        <f t="shared" si="245"/>
        <v>0</v>
      </c>
      <c r="U621">
        <f t="shared" si="246"/>
        <v>0</v>
      </c>
      <c r="V621">
        <f t="shared" si="247"/>
        <v>0</v>
      </c>
      <c r="W621">
        <f t="shared" si="248"/>
        <v>0</v>
      </c>
      <c r="X621">
        <f t="shared" si="249"/>
        <v>1</v>
      </c>
      <c r="Y621">
        <f t="shared" si="250"/>
        <v>0</v>
      </c>
      <c r="Z621">
        <f t="shared" si="251"/>
        <v>0</v>
      </c>
      <c r="AA621">
        <f t="shared" si="252"/>
        <v>0</v>
      </c>
      <c r="AB621">
        <f t="shared" si="234"/>
        <v>0</v>
      </c>
      <c r="AC621">
        <f t="shared" si="235"/>
        <v>0</v>
      </c>
      <c r="AD621">
        <f t="shared" si="236"/>
        <v>0</v>
      </c>
      <c r="AE621">
        <f t="shared" si="237"/>
        <v>0</v>
      </c>
      <c r="AF621">
        <f t="shared" si="238"/>
        <v>1</v>
      </c>
      <c r="AG621">
        <f t="shared" si="239"/>
        <v>1</v>
      </c>
      <c r="AH621">
        <f t="shared" si="253"/>
        <v>0</v>
      </c>
      <c r="AI621">
        <f t="shared" si="259"/>
        <v>0</v>
      </c>
      <c r="AJ621">
        <f t="shared" si="259"/>
        <v>0</v>
      </c>
      <c r="AK621">
        <f t="shared" si="259"/>
        <v>0</v>
      </c>
      <c r="AL621">
        <f t="shared" si="259"/>
        <v>0</v>
      </c>
      <c r="AM621">
        <f t="shared" si="259"/>
        <v>0</v>
      </c>
      <c r="AN621">
        <f t="shared" si="259"/>
        <v>1</v>
      </c>
      <c r="AO621">
        <f t="shared" si="259"/>
        <v>0</v>
      </c>
      <c r="AP621">
        <f t="shared" si="259"/>
        <v>0</v>
      </c>
      <c r="AQ621">
        <f t="shared" si="259"/>
        <v>0</v>
      </c>
      <c r="AR621">
        <f t="shared" si="259"/>
        <v>0</v>
      </c>
      <c r="AS621">
        <f t="shared" si="259"/>
        <v>0</v>
      </c>
      <c r="AT621">
        <f t="shared" si="259"/>
        <v>0</v>
      </c>
      <c r="AU621">
        <f t="shared" si="259"/>
        <v>0</v>
      </c>
      <c r="AV621">
        <f t="shared" si="259"/>
        <v>0</v>
      </c>
      <c r="AW621">
        <f t="shared" si="259"/>
        <v>0</v>
      </c>
      <c r="AX621">
        <f t="shared" si="258"/>
        <v>0</v>
      </c>
      <c r="AY621">
        <f t="shared" si="258"/>
        <v>0</v>
      </c>
      <c r="AZ621">
        <f t="shared" si="258"/>
        <v>0</v>
      </c>
      <c r="BA621">
        <f t="shared" si="255"/>
        <v>1</v>
      </c>
      <c r="BB621">
        <f t="shared" si="256"/>
        <v>1</v>
      </c>
    </row>
    <row r="622" spans="1:54">
      <c r="A622">
        <v>619</v>
      </c>
      <c r="B622" t="s">
        <v>30</v>
      </c>
      <c r="C622" t="s">
        <v>29</v>
      </c>
      <c r="D622" t="s">
        <v>22</v>
      </c>
      <c r="E622" t="s">
        <v>30</v>
      </c>
      <c r="F622" t="s">
        <v>29</v>
      </c>
      <c r="G622" t="s">
        <v>26</v>
      </c>
      <c r="H622" s="3">
        <v>0.121509845860692</v>
      </c>
      <c r="I622" s="3">
        <v>0.11866508612306299</v>
      </c>
      <c r="J622" s="3">
        <v>0.10081340181189601</v>
      </c>
      <c r="K622" s="3">
        <v>0.107847281311811</v>
      </c>
      <c r="L622" s="3">
        <v>8.3494452829594307E-2</v>
      </c>
      <c r="M622" s="3">
        <v>6.7150616373203201E-2</v>
      </c>
      <c r="N622" s="3">
        <v>0.13331622176591301</v>
      </c>
      <c r="O622" s="3">
        <v>8.3901399921050099E-2</v>
      </c>
      <c r="P622">
        <f t="shared" si="241"/>
        <v>0</v>
      </c>
      <c r="Q622">
        <f t="shared" si="242"/>
        <v>0</v>
      </c>
      <c r="R622">
        <f t="shared" si="243"/>
        <v>0</v>
      </c>
      <c r="S622">
        <f t="shared" si="244"/>
        <v>0</v>
      </c>
      <c r="T622">
        <f t="shared" si="245"/>
        <v>0</v>
      </c>
      <c r="U622">
        <f t="shared" si="246"/>
        <v>0</v>
      </c>
      <c r="V622">
        <f t="shared" si="247"/>
        <v>0</v>
      </c>
      <c r="W622">
        <f t="shared" si="248"/>
        <v>0</v>
      </c>
      <c r="X622">
        <f t="shared" si="249"/>
        <v>1</v>
      </c>
      <c r="Y622">
        <f t="shared" si="250"/>
        <v>0</v>
      </c>
      <c r="Z622">
        <f t="shared" si="251"/>
        <v>0</v>
      </c>
      <c r="AA622">
        <f t="shared" si="252"/>
        <v>0</v>
      </c>
      <c r="AB622">
        <f t="shared" si="234"/>
        <v>0</v>
      </c>
      <c r="AC622">
        <f t="shared" si="235"/>
        <v>0</v>
      </c>
      <c r="AD622">
        <f t="shared" si="236"/>
        <v>0</v>
      </c>
      <c r="AE622">
        <f t="shared" si="237"/>
        <v>0</v>
      </c>
      <c r="AF622">
        <f t="shared" si="238"/>
        <v>1</v>
      </c>
      <c r="AG622">
        <f t="shared" si="239"/>
        <v>1</v>
      </c>
      <c r="AH622">
        <f t="shared" si="253"/>
        <v>0</v>
      </c>
      <c r="AI622">
        <f t="shared" si="259"/>
        <v>0</v>
      </c>
      <c r="AJ622">
        <f t="shared" si="259"/>
        <v>1</v>
      </c>
      <c r="AK622">
        <f t="shared" si="259"/>
        <v>0</v>
      </c>
      <c r="AL622">
        <f t="shared" si="259"/>
        <v>0</v>
      </c>
      <c r="AM622">
        <f t="shared" si="259"/>
        <v>0</v>
      </c>
      <c r="AN622">
        <f t="shared" si="259"/>
        <v>0</v>
      </c>
      <c r="AO622">
        <f t="shared" si="259"/>
        <v>0</v>
      </c>
      <c r="AP622">
        <f t="shared" si="259"/>
        <v>0</v>
      </c>
      <c r="AQ622">
        <f t="shared" si="259"/>
        <v>0</v>
      </c>
      <c r="AR622">
        <f t="shared" si="259"/>
        <v>0</v>
      </c>
      <c r="AS622">
        <f t="shared" si="259"/>
        <v>0</v>
      </c>
      <c r="AT622">
        <f t="shared" si="259"/>
        <v>0</v>
      </c>
      <c r="AU622">
        <f t="shared" si="259"/>
        <v>0</v>
      </c>
      <c r="AV622">
        <f t="shared" si="259"/>
        <v>0</v>
      </c>
      <c r="AW622">
        <f t="shared" si="259"/>
        <v>0</v>
      </c>
      <c r="AX622">
        <f t="shared" si="258"/>
        <v>0</v>
      </c>
      <c r="AY622">
        <f t="shared" si="258"/>
        <v>0</v>
      </c>
      <c r="AZ622">
        <f t="shared" si="258"/>
        <v>0</v>
      </c>
      <c r="BA622">
        <f t="shared" si="255"/>
        <v>1</v>
      </c>
      <c r="BB622">
        <f t="shared" si="256"/>
        <v>1</v>
      </c>
    </row>
    <row r="623" spans="1:54">
      <c r="A623">
        <v>620</v>
      </c>
      <c r="B623" t="s">
        <v>30</v>
      </c>
      <c r="C623" t="s">
        <v>29</v>
      </c>
      <c r="D623" t="s">
        <v>23</v>
      </c>
      <c r="E623" t="s">
        <v>30</v>
      </c>
      <c r="F623" t="s">
        <v>29</v>
      </c>
      <c r="G623" t="s">
        <v>24</v>
      </c>
      <c r="H623" s="3">
        <v>5.6422620991822901E-2</v>
      </c>
      <c r="I623" s="3">
        <v>5.40231766427045E-2</v>
      </c>
      <c r="J623" s="3">
        <v>4.77774786734756E-2</v>
      </c>
      <c r="K623" s="3">
        <v>4.8667383653394E-2</v>
      </c>
      <c r="L623" s="3">
        <v>3.6357638360072601E-2</v>
      </c>
      <c r="M623" s="3">
        <v>2.8383697771482499E-2</v>
      </c>
      <c r="N623" s="3">
        <v>6.1529614721103999E-2</v>
      </c>
      <c r="O623" s="3">
        <v>3.8604940552104498E-2</v>
      </c>
      <c r="P623">
        <f t="shared" si="241"/>
        <v>0</v>
      </c>
      <c r="Q623">
        <f t="shared" si="242"/>
        <v>0</v>
      </c>
      <c r="R623">
        <f t="shared" si="243"/>
        <v>0</v>
      </c>
      <c r="S623">
        <f t="shared" si="244"/>
        <v>0</v>
      </c>
      <c r="T623">
        <f t="shared" si="245"/>
        <v>0</v>
      </c>
      <c r="U623">
        <f t="shared" si="246"/>
        <v>0</v>
      </c>
      <c r="V623">
        <f t="shared" si="247"/>
        <v>0</v>
      </c>
      <c r="W623">
        <f t="shared" si="248"/>
        <v>0</v>
      </c>
      <c r="X623">
        <f t="shared" si="249"/>
        <v>0</v>
      </c>
      <c r="Y623">
        <f t="shared" si="250"/>
        <v>1</v>
      </c>
      <c r="Z623">
        <f t="shared" si="251"/>
        <v>0</v>
      </c>
      <c r="AA623">
        <f t="shared" si="252"/>
        <v>1</v>
      </c>
      <c r="AB623">
        <f t="shared" si="234"/>
        <v>0</v>
      </c>
      <c r="AC623">
        <f t="shared" si="235"/>
        <v>0</v>
      </c>
      <c r="AD623">
        <f t="shared" si="236"/>
        <v>0</v>
      </c>
      <c r="AE623">
        <f t="shared" si="237"/>
        <v>0</v>
      </c>
      <c r="AF623">
        <f t="shared" si="238"/>
        <v>1</v>
      </c>
      <c r="AG623">
        <f t="shared" si="239"/>
        <v>1</v>
      </c>
      <c r="AH623">
        <f t="shared" si="253"/>
        <v>0</v>
      </c>
      <c r="AI623">
        <f t="shared" si="259"/>
        <v>0</v>
      </c>
      <c r="AJ623">
        <f t="shared" si="259"/>
        <v>0</v>
      </c>
      <c r="AK623">
        <f t="shared" si="259"/>
        <v>0</v>
      </c>
      <c r="AL623">
        <f t="shared" si="259"/>
        <v>0</v>
      </c>
      <c r="AM623">
        <f t="shared" si="259"/>
        <v>0</v>
      </c>
      <c r="AN623">
        <f t="shared" si="259"/>
        <v>0</v>
      </c>
      <c r="AO623">
        <f t="shared" si="259"/>
        <v>0</v>
      </c>
      <c r="AP623">
        <f t="shared" si="259"/>
        <v>0</v>
      </c>
      <c r="AQ623">
        <f t="shared" si="259"/>
        <v>0</v>
      </c>
      <c r="AR623">
        <f t="shared" si="259"/>
        <v>0</v>
      </c>
      <c r="AS623">
        <f t="shared" si="259"/>
        <v>0</v>
      </c>
      <c r="AT623">
        <f t="shared" si="259"/>
        <v>0</v>
      </c>
      <c r="AU623">
        <f t="shared" si="259"/>
        <v>1</v>
      </c>
      <c r="AV623">
        <f t="shared" si="259"/>
        <v>0</v>
      </c>
      <c r="AW623">
        <f t="shared" si="259"/>
        <v>0</v>
      </c>
      <c r="AX623">
        <f t="shared" si="258"/>
        <v>0</v>
      </c>
      <c r="AY623">
        <f t="shared" si="258"/>
        <v>0</v>
      </c>
      <c r="AZ623">
        <f t="shared" si="258"/>
        <v>0</v>
      </c>
      <c r="BA623">
        <f t="shared" si="255"/>
        <v>0</v>
      </c>
      <c r="BB623">
        <f t="shared" si="256"/>
        <v>1</v>
      </c>
    </row>
    <row r="624" spans="1:54">
      <c r="A624">
        <v>621</v>
      </c>
      <c r="B624" t="s">
        <v>30</v>
      </c>
      <c r="C624" t="s">
        <v>29</v>
      </c>
      <c r="D624" t="s">
        <v>23</v>
      </c>
      <c r="E624" t="s">
        <v>30</v>
      </c>
      <c r="F624" t="s">
        <v>29</v>
      </c>
      <c r="G624" t="s">
        <v>31</v>
      </c>
      <c r="H624" s="3">
        <v>0.71460189425475595</v>
      </c>
      <c r="I624" s="3">
        <v>0.69873204356644603</v>
      </c>
      <c r="J624" s="3">
        <v>0.57608814969662903</v>
      </c>
      <c r="K624" s="3">
        <v>0.61675456751003599</v>
      </c>
      <c r="L624" s="3">
        <v>0.45816757142791098</v>
      </c>
      <c r="M624" s="3">
        <v>0.35303396155970901</v>
      </c>
      <c r="N624" s="3">
        <v>0.82307692307692304</v>
      </c>
      <c r="O624" s="3">
        <v>0.45172629223351302</v>
      </c>
      <c r="P624">
        <f t="shared" si="241"/>
        <v>0</v>
      </c>
      <c r="Q624">
        <f t="shared" si="242"/>
        <v>0</v>
      </c>
      <c r="R624">
        <f t="shared" si="243"/>
        <v>0</v>
      </c>
      <c r="S624">
        <f t="shared" si="244"/>
        <v>0</v>
      </c>
      <c r="T624">
        <f t="shared" si="245"/>
        <v>0</v>
      </c>
      <c r="U624">
        <f t="shared" si="246"/>
        <v>0</v>
      </c>
      <c r="V624">
        <f t="shared" si="247"/>
        <v>0</v>
      </c>
      <c r="W624">
        <f t="shared" si="248"/>
        <v>0</v>
      </c>
      <c r="X624">
        <f t="shared" si="249"/>
        <v>0</v>
      </c>
      <c r="Y624">
        <f t="shared" si="250"/>
        <v>1</v>
      </c>
      <c r="Z624">
        <f t="shared" si="251"/>
        <v>1</v>
      </c>
      <c r="AA624">
        <f t="shared" si="252"/>
        <v>0</v>
      </c>
      <c r="AB624">
        <f t="shared" si="234"/>
        <v>0</v>
      </c>
      <c r="AC624">
        <f t="shared" si="235"/>
        <v>1</v>
      </c>
      <c r="AD624">
        <f t="shared" si="236"/>
        <v>0</v>
      </c>
      <c r="AE624">
        <f t="shared" si="237"/>
        <v>0</v>
      </c>
      <c r="AF624">
        <f t="shared" si="238"/>
        <v>1</v>
      </c>
      <c r="AG624">
        <f t="shared" si="239"/>
        <v>1</v>
      </c>
      <c r="AH624">
        <f t="shared" si="253"/>
        <v>1</v>
      </c>
      <c r="AI624">
        <f t="shared" si="259"/>
        <v>0</v>
      </c>
      <c r="AJ624">
        <f t="shared" si="259"/>
        <v>0</v>
      </c>
      <c r="AK624">
        <f t="shared" si="259"/>
        <v>0</v>
      </c>
      <c r="AL624">
        <f t="shared" si="259"/>
        <v>0</v>
      </c>
      <c r="AM624">
        <f t="shared" si="259"/>
        <v>0</v>
      </c>
      <c r="AN624">
        <f t="shared" si="259"/>
        <v>0</v>
      </c>
      <c r="AO624">
        <f t="shared" si="259"/>
        <v>0</v>
      </c>
      <c r="AP624">
        <f t="shared" si="259"/>
        <v>0</v>
      </c>
      <c r="AQ624">
        <f t="shared" si="259"/>
        <v>0</v>
      </c>
      <c r="AR624">
        <f t="shared" si="259"/>
        <v>0</v>
      </c>
      <c r="AS624">
        <f t="shared" si="259"/>
        <v>0</v>
      </c>
      <c r="AT624">
        <f t="shared" si="259"/>
        <v>0</v>
      </c>
      <c r="AU624">
        <f t="shared" si="259"/>
        <v>0</v>
      </c>
      <c r="AV624">
        <f t="shared" si="259"/>
        <v>0</v>
      </c>
      <c r="AW624">
        <f t="shared" si="259"/>
        <v>0</v>
      </c>
      <c r="AX624">
        <f t="shared" si="258"/>
        <v>0</v>
      </c>
      <c r="AY624">
        <f t="shared" si="258"/>
        <v>0</v>
      </c>
      <c r="AZ624">
        <f t="shared" si="258"/>
        <v>0</v>
      </c>
      <c r="BA624">
        <f t="shared" si="255"/>
        <v>0</v>
      </c>
      <c r="BB624">
        <f t="shared" si="256"/>
        <v>1</v>
      </c>
    </row>
    <row r="625" spans="1:54">
      <c r="A625">
        <v>622</v>
      </c>
      <c r="B625" t="s">
        <v>30</v>
      </c>
      <c r="C625" t="s">
        <v>29</v>
      </c>
      <c r="D625" t="s">
        <v>23</v>
      </c>
      <c r="E625" t="s">
        <v>30</v>
      </c>
      <c r="F625" t="s">
        <v>29</v>
      </c>
      <c r="G625" t="s">
        <v>25</v>
      </c>
      <c r="H625" s="3">
        <v>4.9698673516819598E-3</v>
      </c>
      <c r="I625" s="3">
        <v>4.8259622328372604E-3</v>
      </c>
      <c r="J625" s="3">
        <v>4.2947677072248096E-3</v>
      </c>
      <c r="K625" s="3">
        <v>4.4146218765186603E-3</v>
      </c>
      <c r="L625" s="3">
        <v>3.3367624216494099E-3</v>
      </c>
      <c r="M625" s="3">
        <v>2.6806718699175802E-3</v>
      </c>
      <c r="N625" s="3">
        <v>5.3712163044023799E-3</v>
      </c>
      <c r="O625" s="3">
        <v>3.5549823130286598E-3</v>
      </c>
      <c r="P625">
        <f t="shared" si="241"/>
        <v>0</v>
      </c>
      <c r="Q625">
        <f t="shared" si="242"/>
        <v>0</v>
      </c>
      <c r="R625">
        <f t="shared" si="243"/>
        <v>0</v>
      </c>
      <c r="S625">
        <f t="shared" si="244"/>
        <v>0</v>
      </c>
      <c r="T625">
        <f t="shared" si="245"/>
        <v>0</v>
      </c>
      <c r="U625">
        <f t="shared" si="246"/>
        <v>0</v>
      </c>
      <c r="V625">
        <f t="shared" si="247"/>
        <v>0</v>
      </c>
      <c r="W625">
        <f t="shared" si="248"/>
        <v>0</v>
      </c>
      <c r="X625">
        <f t="shared" si="249"/>
        <v>0</v>
      </c>
      <c r="Y625">
        <f t="shared" si="250"/>
        <v>1</v>
      </c>
      <c r="Z625">
        <f t="shared" si="251"/>
        <v>0</v>
      </c>
      <c r="AA625">
        <f t="shared" si="252"/>
        <v>0</v>
      </c>
      <c r="AB625">
        <f t="shared" si="234"/>
        <v>0</v>
      </c>
      <c r="AC625">
        <f t="shared" si="235"/>
        <v>0</v>
      </c>
      <c r="AD625">
        <f t="shared" si="236"/>
        <v>0</v>
      </c>
      <c r="AE625">
        <f t="shared" si="237"/>
        <v>0</v>
      </c>
      <c r="AF625">
        <f t="shared" si="238"/>
        <v>1</v>
      </c>
      <c r="AG625">
        <f t="shared" si="239"/>
        <v>1</v>
      </c>
      <c r="AH625">
        <f t="shared" si="253"/>
        <v>0</v>
      </c>
      <c r="AI625">
        <f t="shared" si="259"/>
        <v>0</v>
      </c>
      <c r="AJ625">
        <f t="shared" si="259"/>
        <v>0</v>
      </c>
      <c r="AK625">
        <f t="shared" si="259"/>
        <v>0</v>
      </c>
      <c r="AL625">
        <f t="shared" si="259"/>
        <v>0</v>
      </c>
      <c r="AM625">
        <f t="shared" si="259"/>
        <v>0</v>
      </c>
      <c r="AN625">
        <f t="shared" si="259"/>
        <v>0</v>
      </c>
      <c r="AO625">
        <f t="shared" si="259"/>
        <v>1</v>
      </c>
      <c r="AP625">
        <f t="shared" si="259"/>
        <v>0</v>
      </c>
      <c r="AQ625">
        <f t="shared" si="259"/>
        <v>0</v>
      </c>
      <c r="AR625">
        <f t="shared" si="259"/>
        <v>0</v>
      </c>
      <c r="AS625">
        <f t="shared" si="259"/>
        <v>0</v>
      </c>
      <c r="AT625">
        <f t="shared" si="259"/>
        <v>0</v>
      </c>
      <c r="AU625">
        <f t="shared" si="259"/>
        <v>0</v>
      </c>
      <c r="AV625">
        <f t="shared" si="259"/>
        <v>0</v>
      </c>
      <c r="AW625">
        <f t="shared" si="259"/>
        <v>0</v>
      </c>
      <c r="AX625">
        <f t="shared" si="258"/>
        <v>0</v>
      </c>
      <c r="AY625">
        <f t="shared" si="258"/>
        <v>0</v>
      </c>
      <c r="AZ625">
        <f t="shared" si="258"/>
        <v>0</v>
      </c>
      <c r="BA625">
        <f t="shared" si="255"/>
        <v>1</v>
      </c>
      <c r="BB625">
        <f t="shared" si="256"/>
        <v>1</v>
      </c>
    </row>
    <row r="626" spans="1:54">
      <c r="A626">
        <v>623</v>
      </c>
      <c r="B626" t="s">
        <v>30</v>
      </c>
      <c r="C626" t="s">
        <v>29</v>
      </c>
      <c r="D626" t="s">
        <v>23</v>
      </c>
      <c r="E626" t="s">
        <v>30</v>
      </c>
      <c r="F626" t="s">
        <v>29</v>
      </c>
      <c r="G626" t="s">
        <v>26</v>
      </c>
      <c r="H626" s="3">
        <v>5.0825630068711998E-3</v>
      </c>
      <c r="I626" s="3">
        <v>4.9425088634524796E-3</v>
      </c>
      <c r="J626" s="3">
        <v>4.3893431836045504E-3</v>
      </c>
      <c r="K626" s="3">
        <v>4.5258227657258001E-3</v>
      </c>
      <c r="L626" s="3">
        <v>3.4137953332796802E-3</v>
      </c>
      <c r="M626" s="3">
        <v>2.7434861737804998E-3</v>
      </c>
      <c r="N626" s="3">
        <v>5.4928131416837698E-3</v>
      </c>
      <c r="O626" s="3">
        <v>3.6352154279944899E-3</v>
      </c>
      <c r="P626">
        <f t="shared" si="241"/>
        <v>0</v>
      </c>
      <c r="Q626">
        <f t="shared" si="242"/>
        <v>0</v>
      </c>
      <c r="R626">
        <f t="shared" si="243"/>
        <v>0</v>
      </c>
      <c r="S626">
        <f t="shared" si="244"/>
        <v>0</v>
      </c>
      <c r="T626">
        <f t="shared" si="245"/>
        <v>0</v>
      </c>
      <c r="U626">
        <f t="shared" si="246"/>
        <v>0</v>
      </c>
      <c r="V626">
        <f t="shared" si="247"/>
        <v>0</v>
      </c>
      <c r="W626">
        <f t="shared" si="248"/>
        <v>0</v>
      </c>
      <c r="X626">
        <f t="shared" si="249"/>
        <v>0</v>
      </c>
      <c r="Y626">
        <f t="shared" si="250"/>
        <v>1</v>
      </c>
      <c r="Z626">
        <f t="shared" si="251"/>
        <v>0</v>
      </c>
      <c r="AA626">
        <f t="shared" si="252"/>
        <v>0</v>
      </c>
      <c r="AB626">
        <f t="shared" si="234"/>
        <v>0</v>
      </c>
      <c r="AC626">
        <f t="shared" si="235"/>
        <v>0</v>
      </c>
      <c r="AD626">
        <f t="shared" si="236"/>
        <v>0</v>
      </c>
      <c r="AE626">
        <f t="shared" si="237"/>
        <v>0</v>
      </c>
      <c r="AF626">
        <f t="shared" si="238"/>
        <v>1</v>
      </c>
      <c r="AG626">
        <f t="shared" si="239"/>
        <v>1</v>
      </c>
      <c r="AH626">
        <f t="shared" si="253"/>
        <v>0</v>
      </c>
      <c r="AI626">
        <f t="shared" si="259"/>
        <v>0</v>
      </c>
      <c r="AJ626">
        <f t="shared" si="259"/>
        <v>0</v>
      </c>
      <c r="AK626">
        <f t="shared" si="259"/>
        <v>1</v>
      </c>
      <c r="AL626">
        <f t="shared" si="259"/>
        <v>0</v>
      </c>
      <c r="AM626">
        <f t="shared" si="259"/>
        <v>0</v>
      </c>
      <c r="AN626">
        <f t="shared" si="259"/>
        <v>0</v>
      </c>
      <c r="AO626">
        <f t="shared" si="259"/>
        <v>0</v>
      </c>
      <c r="AP626">
        <f t="shared" si="259"/>
        <v>0</v>
      </c>
      <c r="AQ626">
        <f t="shared" si="259"/>
        <v>0</v>
      </c>
      <c r="AR626">
        <f t="shared" si="259"/>
        <v>0</v>
      </c>
      <c r="AS626">
        <f t="shared" si="259"/>
        <v>0</v>
      </c>
      <c r="AT626">
        <f t="shared" si="259"/>
        <v>0</v>
      </c>
      <c r="AU626">
        <f t="shared" si="259"/>
        <v>0</v>
      </c>
      <c r="AV626">
        <f t="shared" si="259"/>
        <v>0</v>
      </c>
      <c r="AW626">
        <f t="shared" si="259"/>
        <v>0</v>
      </c>
      <c r="AX626">
        <f t="shared" si="258"/>
        <v>0</v>
      </c>
      <c r="AY626">
        <f t="shared" si="258"/>
        <v>0</v>
      </c>
      <c r="AZ626">
        <f t="shared" si="258"/>
        <v>0</v>
      </c>
      <c r="BA626">
        <f t="shared" si="255"/>
        <v>1</v>
      </c>
      <c r="BB626">
        <f t="shared" si="256"/>
        <v>1</v>
      </c>
    </row>
    <row r="627" spans="1:54">
      <c r="A627">
        <v>624</v>
      </c>
      <c r="B627" t="s">
        <v>30</v>
      </c>
      <c r="C627" t="s">
        <v>29</v>
      </c>
      <c r="D627" t="s">
        <v>24</v>
      </c>
      <c r="E627" t="s">
        <v>30</v>
      </c>
      <c r="F627" t="s">
        <v>29</v>
      </c>
      <c r="G627" t="s">
        <v>31</v>
      </c>
      <c r="H627" s="3">
        <v>6.9309672597637803E-2</v>
      </c>
      <c r="I627" s="3">
        <v>6.5197595270730602E-2</v>
      </c>
      <c r="J627" s="3">
        <v>5.98748325197365E-2</v>
      </c>
      <c r="K627" s="3">
        <v>5.8735067949740399E-2</v>
      </c>
      <c r="L627" s="3">
        <v>4.7091870352273198E-2</v>
      </c>
      <c r="M627" s="3">
        <v>3.8052126069665099E-2</v>
      </c>
      <c r="N627" s="3">
        <v>7.4755606670500199E-2</v>
      </c>
      <c r="O627" s="3">
        <v>4.89403298591264E-2</v>
      </c>
      <c r="P627">
        <f t="shared" si="241"/>
        <v>0</v>
      </c>
      <c r="Q627">
        <f t="shared" si="242"/>
        <v>0</v>
      </c>
      <c r="R627">
        <f t="shared" si="243"/>
        <v>0</v>
      </c>
      <c r="S627">
        <f t="shared" si="244"/>
        <v>0</v>
      </c>
      <c r="T627">
        <f t="shared" si="245"/>
        <v>0</v>
      </c>
      <c r="U627">
        <f t="shared" si="246"/>
        <v>0</v>
      </c>
      <c r="V627">
        <f t="shared" si="247"/>
        <v>0</v>
      </c>
      <c r="W627">
        <f t="shared" si="248"/>
        <v>0</v>
      </c>
      <c r="X627">
        <f t="shared" si="249"/>
        <v>0</v>
      </c>
      <c r="Y627">
        <f t="shared" si="250"/>
        <v>0</v>
      </c>
      <c r="Z627">
        <f t="shared" si="251"/>
        <v>1</v>
      </c>
      <c r="AA627">
        <f t="shared" si="252"/>
        <v>1</v>
      </c>
      <c r="AB627">
        <f t="shared" si="234"/>
        <v>0</v>
      </c>
      <c r="AC627">
        <f t="shared" si="235"/>
        <v>0</v>
      </c>
      <c r="AD627">
        <f t="shared" si="236"/>
        <v>0</v>
      </c>
      <c r="AE627">
        <f t="shared" si="237"/>
        <v>0</v>
      </c>
      <c r="AF627">
        <f t="shared" si="238"/>
        <v>1</v>
      </c>
      <c r="AG627">
        <f t="shared" si="239"/>
        <v>1</v>
      </c>
      <c r="AH627">
        <f t="shared" si="253"/>
        <v>0</v>
      </c>
      <c r="AI627">
        <f t="shared" si="259"/>
        <v>0</v>
      </c>
      <c r="AJ627">
        <f t="shared" si="259"/>
        <v>0</v>
      </c>
      <c r="AK627">
        <f t="shared" si="259"/>
        <v>0</v>
      </c>
      <c r="AL627">
        <f t="shared" si="259"/>
        <v>0</v>
      </c>
      <c r="AM627">
        <f t="shared" si="259"/>
        <v>0</v>
      </c>
      <c r="AN627">
        <f t="shared" si="259"/>
        <v>0</v>
      </c>
      <c r="AO627">
        <f t="shared" si="259"/>
        <v>0</v>
      </c>
      <c r="AP627">
        <f t="shared" si="259"/>
        <v>0</v>
      </c>
      <c r="AQ627">
        <f t="shared" si="259"/>
        <v>0</v>
      </c>
      <c r="AR627">
        <f t="shared" si="259"/>
        <v>0</v>
      </c>
      <c r="AS627">
        <f t="shared" si="259"/>
        <v>0</v>
      </c>
      <c r="AT627">
        <f t="shared" si="259"/>
        <v>0</v>
      </c>
      <c r="AU627">
        <f t="shared" si="259"/>
        <v>0</v>
      </c>
      <c r="AV627">
        <f t="shared" si="259"/>
        <v>0</v>
      </c>
      <c r="AW627">
        <f t="shared" si="259"/>
        <v>0</v>
      </c>
      <c r="AX627">
        <f t="shared" si="258"/>
        <v>0</v>
      </c>
      <c r="AY627">
        <f t="shared" si="258"/>
        <v>0</v>
      </c>
      <c r="AZ627">
        <f t="shared" si="258"/>
        <v>0</v>
      </c>
      <c r="BA627">
        <f t="shared" si="255"/>
        <v>0</v>
      </c>
      <c r="BB627">
        <f t="shared" si="256"/>
        <v>1</v>
      </c>
    </row>
    <row r="628" spans="1:54">
      <c r="A628">
        <v>625</v>
      </c>
      <c r="B628" t="s">
        <v>30</v>
      </c>
      <c r="C628" t="s">
        <v>29</v>
      </c>
      <c r="D628" t="s">
        <v>24</v>
      </c>
      <c r="E628" t="s">
        <v>30</v>
      </c>
      <c r="F628" t="s">
        <v>29</v>
      </c>
      <c r="G628" t="s">
        <v>25</v>
      </c>
      <c r="H628" s="3">
        <v>7.8967802584889807E-2</v>
      </c>
      <c r="I628" s="3">
        <v>7.7178208099601797E-2</v>
      </c>
      <c r="J628" s="3">
        <v>6.3495203141248999E-2</v>
      </c>
      <c r="K628" s="3">
        <v>6.9590286328227696E-2</v>
      </c>
      <c r="L628" s="3">
        <v>4.5714887352658502E-2</v>
      </c>
      <c r="M628" s="3">
        <v>3.5034927869584703E-2</v>
      </c>
      <c r="N628" s="3">
        <v>8.72948145173435E-2</v>
      </c>
      <c r="O628" s="3">
        <v>4.8936190887749802E-2</v>
      </c>
      <c r="P628">
        <f t="shared" si="241"/>
        <v>0</v>
      </c>
      <c r="Q628">
        <f t="shared" si="242"/>
        <v>0</v>
      </c>
      <c r="R628">
        <f t="shared" si="243"/>
        <v>0</v>
      </c>
      <c r="S628">
        <f t="shared" si="244"/>
        <v>0</v>
      </c>
      <c r="T628">
        <f t="shared" si="245"/>
        <v>0</v>
      </c>
      <c r="U628">
        <f t="shared" si="246"/>
        <v>0</v>
      </c>
      <c r="V628">
        <f t="shared" si="247"/>
        <v>0</v>
      </c>
      <c r="W628">
        <f t="shared" si="248"/>
        <v>0</v>
      </c>
      <c r="X628">
        <f t="shared" si="249"/>
        <v>0</v>
      </c>
      <c r="Y628">
        <f t="shared" si="250"/>
        <v>0</v>
      </c>
      <c r="Z628">
        <f t="shared" si="251"/>
        <v>0</v>
      </c>
      <c r="AA628">
        <f t="shared" si="252"/>
        <v>1</v>
      </c>
      <c r="AB628">
        <f t="shared" si="234"/>
        <v>0</v>
      </c>
      <c r="AC628">
        <f t="shared" si="235"/>
        <v>0</v>
      </c>
      <c r="AD628">
        <f t="shared" si="236"/>
        <v>0</v>
      </c>
      <c r="AE628">
        <f t="shared" si="237"/>
        <v>0</v>
      </c>
      <c r="AF628">
        <f t="shared" si="238"/>
        <v>1</v>
      </c>
      <c r="AG628">
        <f t="shared" si="239"/>
        <v>1</v>
      </c>
      <c r="AH628">
        <f t="shared" si="253"/>
        <v>0</v>
      </c>
      <c r="AI628">
        <f t="shared" si="259"/>
        <v>0</v>
      </c>
      <c r="AJ628">
        <f t="shared" si="259"/>
        <v>0</v>
      </c>
      <c r="AK628">
        <f t="shared" si="259"/>
        <v>0</v>
      </c>
      <c r="AL628">
        <f t="shared" si="259"/>
        <v>0</v>
      </c>
      <c r="AM628">
        <f t="shared" si="259"/>
        <v>0</v>
      </c>
      <c r="AN628">
        <f t="shared" si="259"/>
        <v>0</v>
      </c>
      <c r="AO628">
        <f t="shared" si="259"/>
        <v>0</v>
      </c>
      <c r="AP628">
        <f t="shared" si="259"/>
        <v>1</v>
      </c>
      <c r="AQ628">
        <f t="shared" si="259"/>
        <v>0</v>
      </c>
      <c r="AR628">
        <f t="shared" si="259"/>
        <v>0</v>
      </c>
      <c r="AS628">
        <f t="shared" si="259"/>
        <v>0</v>
      </c>
      <c r="AT628">
        <f t="shared" si="259"/>
        <v>0</v>
      </c>
      <c r="AU628">
        <f t="shared" si="259"/>
        <v>0</v>
      </c>
      <c r="AV628">
        <f t="shared" si="259"/>
        <v>0</v>
      </c>
      <c r="AW628">
        <f t="shared" si="259"/>
        <v>0</v>
      </c>
      <c r="AX628">
        <f t="shared" si="258"/>
        <v>0</v>
      </c>
      <c r="AY628">
        <f t="shared" si="258"/>
        <v>0</v>
      </c>
      <c r="AZ628">
        <f t="shared" si="258"/>
        <v>0</v>
      </c>
      <c r="BA628">
        <f t="shared" si="255"/>
        <v>1</v>
      </c>
      <c r="BB628">
        <f t="shared" si="256"/>
        <v>1</v>
      </c>
    </row>
    <row r="629" spans="1:54">
      <c r="A629">
        <v>626</v>
      </c>
      <c r="B629" t="s">
        <v>30</v>
      </c>
      <c r="C629" t="s">
        <v>29</v>
      </c>
      <c r="D629" t="s">
        <v>24</v>
      </c>
      <c r="E629" t="s">
        <v>30</v>
      </c>
      <c r="F629" t="s">
        <v>29</v>
      </c>
      <c r="G629" t="s">
        <v>26</v>
      </c>
      <c r="H629" s="3">
        <v>8.0787263905629805E-2</v>
      </c>
      <c r="I629" s="3">
        <v>7.8808340461933898E-2</v>
      </c>
      <c r="J629" s="3">
        <v>6.4973079074544707E-2</v>
      </c>
      <c r="K629" s="3">
        <v>7.0982934034589801E-2</v>
      </c>
      <c r="L629" s="3">
        <v>4.6806865484182801E-2</v>
      </c>
      <c r="M629" s="3">
        <v>3.5862116183639603E-2</v>
      </c>
      <c r="N629" s="3">
        <v>8.9271047227926004E-2</v>
      </c>
      <c r="O629" s="3">
        <v>5.0113134458541E-2</v>
      </c>
      <c r="P629">
        <f t="shared" si="241"/>
        <v>0</v>
      </c>
      <c r="Q629">
        <f t="shared" si="242"/>
        <v>0</v>
      </c>
      <c r="R629">
        <f t="shared" si="243"/>
        <v>0</v>
      </c>
      <c r="S629">
        <f t="shared" si="244"/>
        <v>0</v>
      </c>
      <c r="T629">
        <f t="shared" si="245"/>
        <v>0</v>
      </c>
      <c r="U629">
        <f t="shared" si="246"/>
        <v>0</v>
      </c>
      <c r="V629">
        <f t="shared" si="247"/>
        <v>0</v>
      </c>
      <c r="W629">
        <f t="shared" si="248"/>
        <v>0</v>
      </c>
      <c r="X629">
        <f t="shared" si="249"/>
        <v>0</v>
      </c>
      <c r="Y629">
        <f t="shared" si="250"/>
        <v>0</v>
      </c>
      <c r="Z629">
        <f t="shared" si="251"/>
        <v>0</v>
      </c>
      <c r="AA629">
        <f t="shared" si="252"/>
        <v>1</v>
      </c>
      <c r="AB629">
        <f t="shared" si="234"/>
        <v>0</v>
      </c>
      <c r="AC629">
        <f t="shared" si="235"/>
        <v>0</v>
      </c>
      <c r="AD629">
        <f t="shared" si="236"/>
        <v>0</v>
      </c>
      <c r="AE629">
        <f t="shared" si="237"/>
        <v>0</v>
      </c>
      <c r="AF629">
        <f t="shared" si="238"/>
        <v>1</v>
      </c>
      <c r="AG629">
        <f t="shared" si="239"/>
        <v>1</v>
      </c>
      <c r="AH629">
        <f t="shared" si="253"/>
        <v>0</v>
      </c>
      <c r="AI629">
        <f t="shared" si="259"/>
        <v>0</v>
      </c>
      <c r="AJ629">
        <f t="shared" si="259"/>
        <v>0</v>
      </c>
      <c r="AK629">
        <f t="shared" si="259"/>
        <v>0</v>
      </c>
      <c r="AL629">
        <f t="shared" si="259"/>
        <v>1</v>
      </c>
      <c r="AM629">
        <f t="shared" si="259"/>
        <v>0</v>
      </c>
      <c r="AN629">
        <f t="shared" si="259"/>
        <v>0</v>
      </c>
      <c r="AO629">
        <f t="shared" si="259"/>
        <v>0</v>
      </c>
      <c r="AP629">
        <f t="shared" si="259"/>
        <v>0</v>
      </c>
      <c r="AQ629">
        <f t="shared" si="259"/>
        <v>0</v>
      </c>
      <c r="AR629">
        <f t="shared" si="259"/>
        <v>0</v>
      </c>
      <c r="AS629">
        <f t="shared" si="259"/>
        <v>0</v>
      </c>
      <c r="AT629">
        <f t="shared" si="259"/>
        <v>0</v>
      </c>
      <c r="AU629">
        <f t="shared" si="259"/>
        <v>0</v>
      </c>
      <c r="AV629">
        <f t="shared" si="259"/>
        <v>0</v>
      </c>
      <c r="AW629">
        <f t="shared" si="259"/>
        <v>0</v>
      </c>
      <c r="AX629">
        <f t="shared" si="258"/>
        <v>0</v>
      </c>
      <c r="AY629">
        <f t="shared" si="258"/>
        <v>0</v>
      </c>
      <c r="AZ629">
        <f t="shared" si="258"/>
        <v>0</v>
      </c>
      <c r="BA629">
        <f t="shared" si="255"/>
        <v>1</v>
      </c>
      <c r="BB629">
        <f t="shared" si="256"/>
        <v>1</v>
      </c>
    </row>
    <row r="630" spans="1:54">
      <c r="A630">
        <v>627</v>
      </c>
      <c r="B630" t="s">
        <v>30</v>
      </c>
      <c r="C630" t="s">
        <v>29</v>
      </c>
      <c r="D630" t="s">
        <v>31</v>
      </c>
      <c r="E630" t="s">
        <v>30</v>
      </c>
      <c r="F630" t="s">
        <v>29</v>
      </c>
      <c r="G630" t="s">
        <v>25</v>
      </c>
      <c r="H630" s="3">
        <v>6.26645484662533E-3</v>
      </c>
      <c r="I630" s="3">
        <v>6.0351078240144396E-3</v>
      </c>
      <c r="J630" s="3">
        <v>5.6755497925727403E-3</v>
      </c>
      <c r="K630" s="3">
        <v>5.6728154840687299E-3</v>
      </c>
      <c r="L630" s="3">
        <v>4.7867327726366701E-3</v>
      </c>
      <c r="M630" s="3">
        <v>4.2098795530705604E-3</v>
      </c>
      <c r="N630" s="3">
        <v>6.5257768184328099E-3</v>
      </c>
      <c r="O630" s="3">
        <v>5.02496209530689E-3</v>
      </c>
      <c r="P630">
        <f t="shared" si="241"/>
        <v>0</v>
      </c>
      <c r="Q630">
        <f t="shared" si="242"/>
        <v>0</v>
      </c>
      <c r="R630">
        <f t="shared" si="243"/>
        <v>0</v>
      </c>
      <c r="S630">
        <f t="shared" si="244"/>
        <v>0</v>
      </c>
      <c r="T630">
        <f t="shared" si="245"/>
        <v>0</v>
      </c>
      <c r="U630">
        <f t="shared" si="246"/>
        <v>0</v>
      </c>
      <c r="V630">
        <f t="shared" si="247"/>
        <v>0</v>
      </c>
      <c r="W630">
        <f t="shared" si="248"/>
        <v>0</v>
      </c>
      <c r="X630">
        <f t="shared" si="249"/>
        <v>0</v>
      </c>
      <c r="Y630">
        <f t="shared" si="250"/>
        <v>0</v>
      </c>
      <c r="Z630">
        <f t="shared" si="251"/>
        <v>1</v>
      </c>
      <c r="AA630">
        <f t="shared" si="252"/>
        <v>0</v>
      </c>
      <c r="AB630">
        <f t="shared" si="234"/>
        <v>0</v>
      </c>
      <c r="AC630">
        <f t="shared" si="235"/>
        <v>0</v>
      </c>
      <c r="AD630">
        <f t="shared" si="236"/>
        <v>0</v>
      </c>
      <c r="AE630">
        <f t="shared" si="237"/>
        <v>0</v>
      </c>
      <c r="AF630">
        <f t="shared" si="238"/>
        <v>1</v>
      </c>
      <c r="AG630">
        <f t="shared" si="239"/>
        <v>1</v>
      </c>
      <c r="AH630">
        <f t="shared" si="253"/>
        <v>0</v>
      </c>
      <c r="AI630">
        <f t="shared" ref="AI630:AW646" si="260">IF(OR(AND($D630=AI$1,$G630=AI$2),AND($D630=AI$2,$G630=AI$1)),1,0)</f>
        <v>0</v>
      </c>
      <c r="AJ630">
        <f t="shared" si="260"/>
        <v>0</v>
      </c>
      <c r="AK630">
        <f t="shared" si="260"/>
        <v>0</v>
      </c>
      <c r="AL630">
        <f t="shared" si="260"/>
        <v>0</v>
      </c>
      <c r="AM630">
        <f t="shared" si="260"/>
        <v>0</v>
      </c>
      <c r="AN630">
        <f t="shared" si="260"/>
        <v>0</v>
      </c>
      <c r="AO630">
        <f t="shared" si="260"/>
        <v>0</v>
      </c>
      <c r="AP630">
        <f t="shared" si="260"/>
        <v>0</v>
      </c>
      <c r="AQ630">
        <f t="shared" si="260"/>
        <v>0</v>
      </c>
      <c r="AR630">
        <f t="shared" si="260"/>
        <v>0</v>
      </c>
      <c r="AS630">
        <f t="shared" si="260"/>
        <v>0</v>
      </c>
      <c r="AT630">
        <f t="shared" si="260"/>
        <v>0</v>
      </c>
      <c r="AU630">
        <f t="shared" si="260"/>
        <v>0</v>
      </c>
      <c r="AV630">
        <f t="shared" si="260"/>
        <v>0</v>
      </c>
      <c r="AW630">
        <f t="shared" si="260"/>
        <v>0</v>
      </c>
      <c r="AX630">
        <f t="shared" si="258"/>
        <v>0</v>
      </c>
      <c r="AY630">
        <f t="shared" si="258"/>
        <v>0</v>
      </c>
      <c r="AZ630">
        <f t="shared" si="258"/>
        <v>0</v>
      </c>
      <c r="BA630">
        <f t="shared" si="255"/>
        <v>0</v>
      </c>
      <c r="BB630">
        <f t="shared" si="256"/>
        <v>1</v>
      </c>
    </row>
    <row r="631" spans="1:54">
      <c r="A631">
        <v>628</v>
      </c>
      <c r="B631" t="s">
        <v>30</v>
      </c>
      <c r="C631" t="s">
        <v>29</v>
      </c>
      <c r="D631" t="s">
        <v>31</v>
      </c>
      <c r="E631" t="s">
        <v>30</v>
      </c>
      <c r="F631" t="s">
        <v>29</v>
      </c>
      <c r="G631" t="s">
        <v>26</v>
      </c>
      <c r="H631" s="3">
        <v>6.40973920359639E-3</v>
      </c>
      <c r="I631" s="3">
        <v>6.1880041920413199E-3</v>
      </c>
      <c r="J631" s="3">
        <v>5.81823567656889E-3</v>
      </c>
      <c r="K631" s="3">
        <v>5.8266139922922202E-3</v>
      </c>
      <c r="L631" s="3">
        <v>4.9057317255274402E-3</v>
      </c>
      <c r="M631" s="3">
        <v>4.31290171082692E-3</v>
      </c>
      <c r="N631" s="3">
        <v>6.67351129363449E-3</v>
      </c>
      <c r="O631" s="3">
        <v>5.15725811155009E-3</v>
      </c>
      <c r="P631">
        <f t="shared" si="241"/>
        <v>0</v>
      </c>
      <c r="Q631">
        <f t="shared" si="242"/>
        <v>0</v>
      </c>
      <c r="R631">
        <f t="shared" si="243"/>
        <v>0</v>
      </c>
      <c r="S631">
        <f t="shared" si="244"/>
        <v>0</v>
      </c>
      <c r="T631">
        <f t="shared" si="245"/>
        <v>0</v>
      </c>
      <c r="U631">
        <f t="shared" si="246"/>
        <v>0</v>
      </c>
      <c r="V631">
        <f t="shared" si="247"/>
        <v>0</v>
      </c>
      <c r="W631">
        <f t="shared" si="248"/>
        <v>0</v>
      </c>
      <c r="X631">
        <f t="shared" si="249"/>
        <v>0</v>
      </c>
      <c r="Y631">
        <f t="shared" si="250"/>
        <v>0</v>
      </c>
      <c r="Z631">
        <f t="shared" si="251"/>
        <v>1</v>
      </c>
      <c r="AA631">
        <f t="shared" si="252"/>
        <v>0</v>
      </c>
      <c r="AB631">
        <f t="shared" si="234"/>
        <v>0</v>
      </c>
      <c r="AC631">
        <f t="shared" si="235"/>
        <v>0</v>
      </c>
      <c r="AD631">
        <f t="shared" si="236"/>
        <v>0</v>
      </c>
      <c r="AE631">
        <f t="shared" si="237"/>
        <v>0</v>
      </c>
      <c r="AF631">
        <f t="shared" si="238"/>
        <v>1</v>
      </c>
      <c r="AG631">
        <f t="shared" si="239"/>
        <v>1</v>
      </c>
      <c r="AH631">
        <f t="shared" si="253"/>
        <v>0</v>
      </c>
      <c r="AI631">
        <f t="shared" si="260"/>
        <v>0</v>
      </c>
      <c r="AJ631">
        <f t="shared" si="260"/>
        <v>0</v>
      </c>
      <c r="AK631">
        <f t="shared" si="260"/>
        <v>0</v>
      </c>
      <c r="AL631">
        <f t="shared" si="260"/>
        <v>0</v>
      </c>
      <c r="AM631">
        <f t="shared" si="260"/>
        <v>0</v>
      </c>
      <c r="AN631">
        <f t="shared" si="260"/>
        <v>0</v>
      </c>
      <c r="AO631">
        <f t="shared" si="260"/>
        <v>0</v>
      </c>
      <c r="AP631">
        <f t="shared" si="260"/>
        <v>0</v>
      </c>
      <c r="AQ631">
        <f t="shared" si="260"/>
        <v>0</v>
      </c>
      <c r="AR631">
        <f t="shared" si="260"/>
        <v>0</v>
      </c>
      <c r="AS631">
        <f t="shared" si="260"/>
        <v>0</v>
      </c>
      <c r="AT631">
        <f t="shared" si="260"/>
        <v>0</v>
      </c>
      <c r="AU631">
        <f t="shared" si="260"/>
        <v>0</v>
      </c>
      <c r="AV631">
        <f t="shared" si="260"/>
        <v>0</v>
      </c>
      <c r="AW631">
        <f t="shared" si="260"/>
        <v>0</v>
      </c>
      <c r="AX631">
        <f t="shared" si="258"/>
        <v>0</v>
      </c>
      <c r="AY631">
        <f t="shared" si="258"/>
        <v>0</v>
      </c>
      <c r="AZ631">
        <f t="shared" si="258"/>
        <v>0</v>
      </c>
      <c r="BA631">
        <f t="shared" si="255"/>
        <v>0</v>
      </c>
      <c r="BB631">
        <f t="shared" si="256"/>
        <v>1</v>
      </c>
    </row>
    <row r="632" spans="1:54">
      <c r="A632">
        <v>629</v>
      </c>
      <c r="B632" t="s">
        <v>30</v>
      </c>
      <c r="C632" t="s">
        <v>29</v>
      </c>
      <c r="D632" t="s">
        <v>25</v>
      </c>
      <c r="E632" t="s">
        <v>30</v>
      </c>
      <c r="F632" t="s">
        <v>29</v>
      </c>
      <c r="G632" t="s">
        <v>26</v>
      </c>
      <c r="H632" s="3">
        <v>0.97604634771451804</v>
      </c>
      <c r="I632" s="3">
        <v>0.97550810040661096</v>
      </c>
      <c r="J632" s="3">
        <v>0.97298001208004803</v>
      </c>
      <c r="K632" s="3">
        <v>0.97386882950998499</v>
      </c>
      <c r="L632" s="3">
        <v>0.97158472787366301</v>
      </c>
      <c r="M632" s="3">
        <v>0.96923894956706902</v>
      </c>
      <c r="N632" s="3">
        <v>0.97786255710054704</v>
      </c>
      <c r="O632" s="3">
        <v>0.97069333023000304</v>
      </c>
      <c r="P632">
        <f t="shared" si="241"/>
        <v>0</v>
      </c>
      <c r="Q632">
        <f t="shared" si="242"/>
        <v>0</v>
      </c>
      <c r="R632">
        <f t="shared" si="243"/>
        <v>0</v>
      </c>
      <c r="S632">
        <f t="shared" si="244"/>
        <v>0</v>
      </c>
      <c r="T632">
        <f t="shared" si="245"/>
        <v>0</v>
      </c>
      <c r="U632">
        <f t="shared" si="246"/>
        <v>0</v>
      </c>
      <c r="V632">
        <f t="shared" si="247"/>
        <v>0</v>
      </c>
      <c r="W632">
        <f t="shared" si="248"/>
        <v>0</v>
      </c>
      <c r="X632">
        <f t="shared" si="249"/>
        <v>0</v>
      </c>
      <c r="Y632">
        <f t="shared" si="250"/>
        <v>0</v>
      </c>
      <c r="Z632">
        <f t="shared" si="251"/>
        <v>0</v>
      </c>
      <c r="AA632">
        <f t="shared" si="252"/>
        <v>0</v>
      </c>
      <c r="AB632">
        <f t="shared" si="234"/>
        <v>0</v>
      </c>
      <c r="AC632">
        <f t="shared" si="235"/>
        <v>0</v>
      </c>
      <c r="AD632">
        <f t="shared" si="236"/>
        <v>0</v>
      </c>
      <c r="AE632">
        <f t="shared" si="237"/>
        <v>1</v>
      </c>
      <c r="AF632">
        <f t="shared" si="238"/>
        <v>1</v>
      </c>
      <c r="AG632">
        <f t="shared" si="239"/>
        <v>1</v>
      </c>
      <c r="AH632">
        <f t="shared" si="253"/>
        <v>1</v>
      </c>
      <c r="AI632">
        <f t="shared" si="260"/>
        <v>1</v>
      </c>
      <c r="AJ632">
        <f t="shared" si="260"/>
        <v>0</v>
      </c>
      <c r="AK632">
        <f t="shared" si="260"/>
        <v>0</v>
      </c>
      <c r="AL632">
        <f t="shared" si="260"/>
        <v>0</v>
      </c>
      <c r="AM632">
        <f t="shared" si="260"/>
        <v>0</v>
      </c>
      <c r="AN632">
        <f t="shared" si="260"/>
        <v>0</v>
      </c>
      <c r="AO632">
        <f t="shared" si="260"/>
        <v>0</v>
      </c>
      <c r="AP632">
        <f t="shared" si="260"/>
        <v>0</v>
      </c>
      <c r="AQ632">
        <f t="shared" si="260"/>
        <v>0</v>
      </c>
      <c r="AR632">
        <f t="shared" si="260"/>
        <v>0</v>
      </c>
      <c r="AS632">
        <f t="shared" si="260"/>
        <v>0</v>
      </c>
      <c r="AT632">
        <f t="shared" si="260"/>
        <v>0</v>
      </c>
      <c r="AU632">
        <f t="shared" si="260"/>
        <v>0</v>
      </c>
      <c r="AV632">
        <f t="shared" si="260"/>
        <v>0</v>
      </c>
      <c r="AW632">
        <f t="shared" si="260"/>
        <v>0</v>
      </c>
      <c r="AX632">
        <f t="shared" si="258"/>
        <v>0</v>
      </c>
      <c r="AY632">
        <f t="shared" si="258"/>
        <v>0</v>
      </c>
      <c r="AZ632">
        <f t="shared" si="258"/>
        <v>0</v>
      </c>
      <c r="BA632">
        <f t="shared" si="255"/>
        <v>1</v>
      </c>
      <c r="BB632">
        <f t="shared" si="256"/>
        <v>1</v>
      </c>
    </row>
    <row r="633" spans="1:54">
      <c r="A633">
        <v>630</v>
      </c>
      <c r="B633" t="s">
        <v>20</v>
      </c>
      <c r="C633" t="s">
        <v>21</v>
      </c>
      <c r="D633" t="s">
        <v>22</v>
      </c>
      <c r="E633" t="s">
        <v>20</v>
      </c>
      <c r="F633" t="s">
        <v>21</v>
      </c>
      <c r="G633" t="s">
        <v>22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>
        <f t="shared" si="241"/>
        <v>0</v>
      </c>
      <c r="Q633">
        <f t="shared" si="242"/>
        <v>0</v>
      </c>
      <c r="R633">
        <f t="shared" si="243"/>
        <v>0</v>
      </c>
      <c r="S633">
        <f t="shared" si="244"/>
        <v>0</v>
      </c>
      <c r="T633">
        <f t="shared" si="245"/>
        <v>1</v>
      </c>
      <c r="U633">
        <f t="shared" si="246"/>
        <v>0</v>
      </c>
      <c r="V633">
        <f t="shared" si="247"/>
        <v>0</v>
      </c>
      <c r="W633">
        <f t="shared" si="248"/>
        <v>0</v>
      </c>
      <c r="X633">
        <f t="shared" si="249"/>
        <v>0</v>
      </c>
      <c r="Y633">
        <f t="shared" si="250"/>
        <v>0</v>
      </c>
      <c r="Z633">
        <f t="shared" si="251"/>
        <v>0</v>
      </c>
      <c r="AA633">
        <f t="shared" si="252"/>
        <v>0</v>
      </c>
      <c r="AB633">
        <f t="shared" si="234"/>
        <v>0</v>
      </c>
      <c r="AC633">
        <f t="shared" si="235"/>
        <v>1</v>
      </c>
      <c r="AD633">
        <f t="shared" si="236"/>
        <v>0</v>
      </c>
      <c r="AE633">
        <f t="shared" si="237"/>
        <v>0</v>
      </c>
      <c r="AF633">
        <f t="shared" si="238"/>
        <v>1</v>
      </c>
      <c r="AG633">
        <f t="shared" si="239"/>
        <v>1</v>
      </c>
      <c r="AH633">
        <f t="shared" si="253"/>
        <v>1</v>
      </c>
      <c r="AI633">
        <f t="shared" si="260"/>
        <v>0</v>
      </c>
      <c r="AJ633">
        <f t="shared" si="260"/>
        <v>0</v>
      </c>
      <c r="AK633">
        <f t="shared" si="260"/>
        <v>0</v>
      </c>
      <c r="AL633">
        <f t="shared" si="260"/>
        <v>0</v>
      </c>
      <c r="AM633">
        <f t="shared" si="260"/>
        <v>0</v>
      </c>
      <c r="AN633">
        <f t="shared" si="260"/>
        <v>0</v>
      </c>
      <c r="AO633">
        <f t="shared" si="260"/>
        <v>0</v>
      </c>
      <c r="AP633">
        <f t="shared" si="260"/>
        <v>0</v>
      </c>
      <c r="AQ633">
        <f t="shared" si="260"/>
        <v>0</v>
      </c>
      <c r="AR633">
        <f t="shared" si="260"/>
        <v>0</v>
      </c>
      <c r="AS633">
        <f t="shared" si="260"/>
        <v>0</v>
      </c>
      <c r="AT633">
        <f t="shared" si="260"/>
        <v>0</v>
      </c>
      <c r="AU633">
        <f t="shared" si="260"/>
        <v>0</v>
      </c>
      <c r="AV633">
        <f t="shared" si="260"/>
        <v>0</v>
      </c>
      <c r="AW633">
        <f t="shared" si="260"/>
        <v>0</v>
      </c>
      <c r="AX633">
        <f t="shared" si="258"/>
        <v>0</v>
      </c>
      <c r="AY633">
        <f t="shared" si="258"/>
        <v>0</v>
      </c>
      <c r="AZ633">
        <f t="shared" si="258"/>
        <v>0</v>
      </c>
      <c r="BA633">
        <f t="shared" si="255"/>
        <v>0</v>
      </c>
      <c r="BB633">
        <f t="shared" si="256"/>
        <v>0</v>
      </c>
    </row>
    <row r="634" spans="1:54">
      <c r="A634">
        <v>631</v>
      </c>
      <c r="B634" t="s">
        <v>20</v>
      </c>
      <c r="C634" t="s">
        <v>21</v>
      </c>
      <c r="D634" t="s">
        <v>23</v>
      </c>
      <c r="E634" t="s">
        <v>20</v>
      </c>
      <c r="F634" t="s">
        <v>21</v>
      </c>
      <c r="G634" t="s">
        <v>23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  <c r="M634" s="3">
        <v>1</v>
      </c>
      <c r="N634" s="3">
        <v>1</v>
      </c>
      <c r="O634" s="3">
        <v>1</v>
      </c>
      <c r="P634">
        <f t="shared" si="241"/>
        <v>0</v>
      </c>
      <c r="Q634">
        <f t="shared" si="242"/>
        <v>0</v>
      </c>
      <c r="R634">
        <f t="shared" si="243"/>
        <v>0</v>
      </c>
      <c r="S634">
        <f t="shared" si="244"/>
        <v>0</v>
      </c>
      <c r="T634">
        <f t="shared" si="245"/>
        <v>0</v>
      </c>
      <c r="U634">
        <f t="shared" si="246"/>
        <v>1</v>
      </c>
      <c r="V634">
        <f t="shared" si="247"/>
        <v>0</v>
      </c>
      <c r="W634">
        <f t="shared" si="248"/>
        <v>0</v>
      </c>
      <c r="X634">
        <f t="shared" si="249"/>
        <v>0</v>
      </c>
      <c r="Y634">
        <f t="shared" si="250"/>
        <v>0</v>
      </c>
      <c r="Z634">
        <f t="shared" si="251"/>
        <v>0</v>
      </c>
      <c r="AA634">
        <f t="shared" si="252"/>
        <v>0</v>
      </c>
      <c r="AB634">
        <f t="shared" si="234"/>
        <v>0</v>
      </c>
      <c r="AC634">
        <f t="shared" si="235"/>
        <v>1</v>
      </c>
      <c r="AD634">
        <f t="shared" si="236"/>
        <v>0</v>
      </c>
      <c r="AE634">
        <f t="shared" si="237"/>
        <v>0</v>
      </c>
      <c r="AF634">
        <f t="shared" si="238"/>
        <v>1</v>
      </c>
      <c r="AG634">
        <f t="shared" si="239"/>
        <v>1</v>
      </c>
      <c r="AH634">
        <f t="shared" si="253"/>
        <v>1</v>
      </c>
      <c r="AI634">
        <f t="shared" si="260"/>
        <v>0</v>
      </c>
      <c r="AJ634">
        <f t="shared" si="260"/>
        <v>0</v>
      </c>
      <c r="AK634">
        <f t="shared" si="260"/>
        <v>0</v>
      </c>
      <c r="AL634">
        <f t="shared" si="260"/>
        <v>0</v>
      </c>
      <c r="AM634">
        <f t="shared" si="260"/>
        <v>0</v>
      </c>
      <c r="AN634">
        <f t="shared" si="260"/>
        <v>0</v>
      </c>
      <c r="AO634">
        <f t="shared" si="260"/>
        <v>0</v>
      </c>
      <c r="AP634">
        <f t="shared" si="260"/>
        <v>0</v>
      </c>
      <c r="AQ634">
        <f t="shared" si="260"/>
        <v>0</v>
      </c>
      <c r="AR634">
        <f t="shared" si="260"/>
        <v>0</v>
      </c>
      <c r="AS634">
        <f t="shared" si="260"/>
        <v>0</v>
      </c>
      <c r="AT634">
        <f t="shared" si="260"/>
        <v>0</v>
      </c>
      <c r="AU634">
        <f t="shared" si="260"/>
        <v>0</v>
      </c>
      <c r="AV634">
        <f t="shared" si="260"/>
        <v>0</v>
      </c>
      <c r="AW634">
        <f t="shared" si="260"/>
        <v>0</v>
      </c>
      <c r="AX634">
        <f t="shared" si="258"/>
        <v>0</v>
      </c>
      <c r="AY634">
        <f t="shared" si="258"/>
        <v>0</v>
      </c>
      <c r="AZ634">
        <f t="shared" si="258"/>
        <v>0</v>
      </c>
      <c r="BA634">
        <f t="shared" si="255"/>
        <v>0</v>
      </c>
      <c r="BB634">
        <f t="shared" si="256"/>
        <v>0</v>
      </c>
    </row>
    <row r="635" spans="1:54">
      <c r="A635">
        <v>632</v>
      </c>
      <c r="B635" t="s">
        <v>20</v>
      </c>
      <c r="C635" t="s">
        <v>21</v>
      </c>
      <c r="D635" t="s">
        <v>24</v>
      </c>
      <c r="E635" t="s">
        <v>20</v>
      </c>
      <c r="F635" t="s">
        <v>21</v>
      </c>
      <c r="G635" t="s">
        <v>24</v>
      </c>
      <c r="H635" s="3">
        <v>1</v>
      </c>
      <c r="I635" s="3">
        <v>1</v>
      </c>
      <c r="J635" s="3">
        <v>1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>
        <f t="shared" si="241"/>
        <v>0</v>
      </c>
      <c r="Q635">
        <f t="shared" si="242"/>
        <v>0</v>
      </c>
      <c r="R635">
        <f t="shared" si="243"/>
        <v>0</v>
      </c>
      <c r="S635">
        <f t="shared" si="244"/>
        <v>0</v>
      </c>
      <c r="T635">
        <f t="shared" si="245"/>
        <v>0</v>
      </c>
      <c r="U635">
        <f t="shared" si="246"/>
        <v>0</v>
      </c>
      <c r="V635">
        <f t="shared" si="247"/>
        <v>1</v>
      </c>
      <c r="W635">
        <f t="shared" si="248"/>
        <v>0</v>
      </c>
      <c r="X635">
        <f t="shared" si="249"/>
        <v>0</v>
      </c>
      <c r="Y635">
        <f t="shared" si="250"/>
        <v>0</v>
      </c>
      <c r="Z635">
        <f t="shared" si="251"/>
        <v>0</v>
      </c>
      <c r="AA635">
        <f t="shared" si="252"/>
        <v>0</v>
      </c>
      <c r="AB635">
        <f t="shared" si="234"/>
        <v>0</v>
      </c>
      <c r="AC635">
        <f t="shared" si="235"/>
        <v>0</v>
      </c>
      <c r="AD635">
        <f t="shared" si="236"/>
        <v>1</v>
      </c>
      <c r="AE635">
        <f t="shared" si="237"/>
        <v>0</v>
      </c>
      <c r="AF635">
        <f t="shared" si="238"/>
        <v>1</v>
      </c>
      <c r="AG635">
        <f t="shared" si="239"/>
        <v>1</v>
      </c>
      <c r="AH635">
        <f t="shared" si="253"/>
        <v>1</v>
      </c>
      <c r="AI635">
        <f t="shared" si="260"/>
        <v>0</v>
      </c>
      <c r="AJ635">
        <f t="shared" si="260"/>
        <v>0</v>
      </c>
      <c r="AK635">
        <f t="shared" si="260"/>
        <v>0</v>
      </c>
      <c r="AL635">
        <f t="shared" si="260"/>
        <v>0</v>
      </c>
      <c r="AM635">
        <f t="shared" si="260"/>
        <v>0</v>
      </c>
      <c r="AN635">
        <f t="shared" si="260"/>
        <v>0</v>
      </c>
      <c r="AO635">
        <f t="shared" si="260"/>
        <v>0</v>
      </c>
      <c r="AP635">
        <f t="shared" si="260"/>
        <v>0</v>
      </c>
      <c r="AQ635">
        <f t="shared" si="260"/>
        <v>0</v>
      </c>
      <c r="AR635">
        <f t="shared" si="260"/>
        <v>0</v>
      </c>
      <c r="AS635">
        <f t="shared" si="260"/>
        <v>0</v>
      </c>
      <c r="AT635">
        <f t="shared" si="260"/>
        <v>0</v>
      </c>
      <c r="AU635">
        <f t="shared" si="260"/>
        <v>0</v>
      </c>
      <c r="AV635">
        <f t="shared" si="260"/>
        <v>0</v>
      </c>
      <c r="AW635">
        <f t="shared" si="260"/>
        <v>0</v>
      </c>
      <c r="AX635">
        <f t="shared" si="258"/>
        <v>0</v>
      </c>
      <c r="AY635">
        <f t="shared" si="258"/>
        <v>0</v>
      </c>
      <c r="AZ635">
        <f t="shared" si="258"/>
        <v>0</v>
      </c>
      <c r="BA635">
        <f t="shared" si="255"/>
        <v>0</v>
      </c>
      <c r="BB635">
        <f t="shared" si="256"/>
        <v>0</v>
      </c>
    </row>
    <row r="636" spans="1:54">
      <c r="A636">
        <v>633</v>
      </c>
      <c r="B636" t="s">
        <v>20</v>
      </c>
      <c r="C636" t="s">
        <v>21</v>
      </c>
      <c r="D636" t="s">
        <v>25</v>
      </c>
      <c r="E636" t="s">
        <v>20</v>
      </c>
      <c r="F636" t="s">
        <v>21</v>
      </c>
      <c r="G636" t="s">
        <v>25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1</v>
      </c>
      <c r="N636" s="3">
        <v>1</v>
      </c>
      <c r="O636" s="3">
        <v>1</v>
      </c>
      <c r="P636">
        <f t="shared" si="241"/>
        <v>0</v>
      </c>
      <c r="Q636">
        <f t="shared" si="242"/>
        <v>0</v>
      </c>
      <c r="R636">
        <f t="shared" si="243"/>
        <v>0</v>
      </c>
      <c r="S636">
        <f t="shared" si="244"/>
        <v>0</v>
      </c>
      <c r="T636">
        <f t="shared" si="245"/>
        <v>0</v>
      </c>
      <c r="U636">
        <f t="shared" si="246"/>
        <v>0</v>
      </c>
      <c r="V636">
        <f t="shared" si="247"/>
        <v>0</v>
      </c>
      <c r="W636">
        <f t="shared" si="248"/>
        <v>0</v>
      </c>
      <c r="X636">
        <f t="shared" si="249"/>
        <v>0</v>
      </c>
      <c r="Y636">
        <f t="shared" si="250"/>
        <v>0</v>
      </c>
      <c r="Z636">
        <f t="shared" si="251"/>
        <v>0</v>
      </c>
      <c r="AA636">
        <f t="shared" si="252"/>
        <v>0</v>
      </c>
      <c r="AB636">
        <f t="shared" si="234"/>
        <v>0</v>
      </c>
      <c r="AC636">
        <f t="shared" si="235"/>
        <v>0</v>
      </c>
      <c r="AD636">
        <f t="shared" si="236"/>
        <v>0</v>
      </c>
      <c r="AE636">
        <f t="shared" si="237"/>
        <v>1</v>
      </c>
      <c r="AF636">
        <f t="shared" si="238"/>
        <v>1</v>
      </c>
      <c r="AG636">
        <f t="shared" si="239"/>
        <v>1</v>
      </c>
      <c r="AH636">
        <f t="shared" si="253"/>
        <v>1</v>
      </c>
      <c r="AI636">
        <f t="shared" si="260"/>
        <v>0</v>
      </c>
      <c r="AJ636">
        <f t="shared" si="260"/>
        <v>0</v>
      </c>
      <c r="AK636">
        <f t="shared" si="260"/>
        <v>0</v>
      </c>
      <c r="AL636">
        <f t="shared" si="260"/>
        <v>0</v>
      </c>
      <c r="AM636">
        <f t="shared" si="260"/>
        <v>0</v>
      </c>
      <c r="AN636">
        <f t="shared" si="260"/>
        <v>0</v>
      </c>
      <c r="AO636">
        <f t="shared" si="260"/>
        <v>0</v>
      </c>
      <c r="AP636">
        <f t="shared" si="260"/>
        <v>0</v>
      </c>
      <c r="AQ636">
        <f t="shared" si="260"/>
        <v>0</v>
      </c>
      <c r="AR636">
        <f t="shared" si="260"/>
        <v>0</v>
      </c>
      <c r="AS636">
        <f t="shared" si="260"/>
        <v>0</v>
      </c>
      <c r="AT636">
        <f t="shared" si="260"/>
        <v>0</v>
      </c>
      <c r="AU636">
        <f t="shared" si="260"/>
        <v>0</v>
      </c>
      <c r="AV636">
        <f t="shared" si="260"/>
        <v>0</v>
      </c>
      <c r="AW636">
        <f t="shared" si="260"/>
        <v>0</v>
      </c>
      <c r="AX636">
        <f t="shared" si="258"/>
        <v>0</v>
      </c>
      <c r="AY636">
        <f t="shared" si="258"/>
        <v>0</v>
      </c>
      <c r="AZ636">
        <f t="shared" si="258"/>
        <v>0</v>
      </c>
      <c r="BA636">
        <f t="shared" si="255"/>
        <v>0</v>
      </c>
      <c r="BB636">
        <f t="shared" si="256"/>
        <v>0</v>
      </c>
    </row>
    <row r="637" spans="1:54">
      <c r="A637">
        <v>634</v>
      </c>
      <c r="B637" t="s">
        <v>20</v>
      </c>
      <c r="C637" t="s">
        <v>21</v>
      </c>
      <c r="D637" t="s">
        <v>26</v>
      </c>
      <c r="E637" t="s">
        <v>20</v>
      </c>
      <c r="F637" t="s">
        <v>21</v>
      </c>
      <c r="G637" t="s">
        <v>26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>
        <f t="shared" si="241"/>
        <v>0</v>
      </c>
      <c r="Q637">
        <f t="shared" si="242"/>
        <v>0</v>
      </c>
      <c r="R637">
        <f t="shared" si="243"/>
        <v>0</v>
      </c>
      <c r="S637">
        <f t="shared" si="244"/>
        <v>0</v>
      </c>
      <c r="T637">
        <f t="shared" si="245"/>
        <v>0</v>
      </c>
      <c r="U637">
        <f t="shared" si="246"/>
        <v>0</v>
      </c>
      <c r="V637">
        <f t="shared" si="247"/>
        <v>0</v>
      </c>
      <c r="W637">
        <f t="shared" si="248"/>
        <v>0</v>
      </c>
      <c r="X637">
        <f t="shared" si="249"/>
        <v>0</v>
      </c>
      <c r="Y637">
        <f t="shared" si="250"/>
        <v>0</v>
      </c>
      <c r="Z637">
        <f t="shared" si="251"/>
        <v>0</v>
      </c>
      <c r="AA637">
        <f t="shared" si="252"/>
        <v>0</v>
      </c>
      <c r="AB637">
        <f t="shared" si="234"/>
        <v>0</v>
      </c>
      <c r="AC637">
        <f t="shared" si="235"/>
        <v>0</v>
      </c>
      <c r="AD637">
        <f t="shared" si="236"/>
        <v>0</v>
      </c>
      <c r="AE637">
        <f t="shared" si="237"/>
        <v>1</v>
      </c>
      <c r="AF637">
        <f t="shared" si="238"/>
        <v>1</v>
      </c>
      <c r="AG637">
        <f t="shared" si="239"/>
        <v>1</v>
      </c>
      <c r="AH637">
        <f t="shared" si="253"/>
        <v>1</v>
      </c>
      <c r="AI637">
        <f t="shared" si="260"/>
        <v>0</v>
      </c>
      <c r="AJ637">
        <f t="shared" si="260"/>
        <v>0</v>
      </c>
      <c r="AK637">
        <f t="shared" si="260"/>
        <v>0</v>
      </c>
      <c r="AL637">
        <f t="shared" si="260"/>
        <v>0</v>
      </c>
      <c r="AM637">
        <f t="shared" si="260"/>
        <v>0</v>
      </c>
      <c r="AN637">
        <f t="shared" si="260"/>
        <v>0</v>
      </c>
      <c r="AO637">
        <f t="shared" si="260"/>
        <v>0</v>
      </c>
      <c r="AP637">
        <f t="shared" si="260"/>
        <v>0</v>
      </c>
      <c r="AQ637">
        <f t="shared" si="260"/>
        <v>0</v>
      </c>
      <c r="AR637">
        <f t="shared" si="260"/>
        <v>0</v>
      </c>
      <c r="AS637">
        <f t="shared" si="260"/>
        <v>0</v>
      </c>
      <c r="AT637">
        <f t="shared" si="260"/>
        <v>0</v>
      </c>
      <c r="AU637">
        <f t="shared" si="260"/>
        <v>0</v>
      </c>
      <c r="AV637">
        <f t="shared" si="260"/>
        <v>0</v>
      </c>
      <c r="AW637">
        <f t="shared" si="260"/>
        <v>0</v>
      </c>
      <c r="AX637">
        <f t="shared" si="258"/>
        <v>0</v>
      </c>
      <c r="AY637">
        <f t="shared" si="258"/>
        <v>0</v>
      </c>
      <c r="AZ637">
        <f t="shared" si="258"/>
        <v>0</v>
      </c>
      <c r="BA637">
        <f t="shared" si="255"/>
        <v>0</v>
      </c>
      <c r="BB637">
        <f t="shared" si="256"/>
        <v>0</v>
      </c>
    </row>
    <row r="638" spans="1:54">
      <c r="A638">
        <v>635</v>
      </c>
      <c r="B638" t="s">
        <v>20</v>
      </c>
      <c r="C638" t="s">
        <v>21</v>
      </c>
      <c r="D638" t="s">
        <v>27</v>
      </c>
      <c r="E638" t="s">
        <v>20</v>
      </c>
      <c r="F638" t="s">
        <v>21</v>
      </c>
      <c r="G638" t="s">
        <v>27</v>
      </c>
      <c r="H638" s="3">
        <v>1</v>
      </c>
      <c r="I638" s="3">
        <v>1</v>
      </c>
      <c r="J638" s="3">
        <v>1</v>
      </c>
      <c r="K638" s="3">
        <v>1</v>
      </c>
      <c r="L638" s="3">
        <v>1</v>
      </c>
      <c r="M638" s="3">
        <v>1</v>
      </c>
      <c r="N638" s="3">
        <v>1</v>
      </c>
      <c r="O638" s="3">
        <v>1</v>
      </c>
      <c r="P638">
        <f t="shared" si="241"/>
        <v>0</v>
      </c>
      <c r="Q638">
        <f t="shared" si="242"/>
        <v>0</v>
      </c>
      <c r="R638">
        <f t="shared" si="243"/>
        <v>0</v>
      </c>
      <c r="S638">
        <f t="shared" si="244"/>
        <v>0</v>
      </c>
      <c r="T638">
        <f t="shared" si="245"/>
        <v>0</v>
      </c>
      <c r="U638">
        <f t="shared" si="246"/>
        <v>0</v>
      </c>
      <c r="V638">
        <f t="shared" si="247"/>
        <v>0</v>
      </c>
      <c r="W638">
        <f t="shared" si="248"/>
        <v>1</v>
      </c>
      <c r="X638">
        <f t="shared" si="249"/>
        <v>0</v>
      </c>
      <c r="Y638">
        <f t="shared" si="250"/>
        <v>0</v>
      </c>
      <c r="Z638">
        <f t="shared" si="251"/>
        <v>0</v>
      </c>
      <c r="AA638">
        <f t="shared" si="252"/>
        <v>0</v>
      </c>
      <c r="AB638">
        <f t="shared" si="234"/>
        <v>0</v>
      </c>
      <c r="AC638">
        <f t="shared" si="235"/>
        <v>0</v>
      </c>
      <c r="AD638">
        <f t="shared" si="236"/>
        <v>1</v>
      </c>
      <c r="AE638">
        <f t="shared" si="237"/>
        <v>0</v>
      </c>
      <c r="AF638">
        <f t="shared" si="238"/>
        <v>1</v>
      </c>
      <c r="AG638">
        <f t="shared" si="239"/>
        <v>1</v>
      </c>
      <c r="AH638">
        <f t="shared" si="253"/>
        <v>1</v>
      </c>
      <c r="AI638">
        <f t="shared" si="260"/>
        <v>0</v>
      </c>
      <c r="AJ638">
        <f t="shared" si="260"/>
        <v>0</v>
      </c>
      <c r="AK638">
        <f t="shared" si="260"/>
        <v>0</v>
      </c>
      <c r="AL638">
        <f t="shared" si="260"/>
        <v>0</v>
      </c>
      <c r="AM638">
        <f t="shared" si="260"/>
        <v>0</v>
      </c>
      <c r="AN638">
        <f t="shared" si="260"/>
        <v>0</v>
      </c>
      <c r="AO638">
        <f t="shared" si="260"/>
        <v>0</v>
      </c>
      <c r="AP638">
        <f t="shared" si="260"/>
        <v>0</v>
      </c>
      <c r="AQ638">
        <f t="shared" si="260"/>
        <v>0</v>
      </c>
      <c r="AR638">
        <f t="shared" si="260"/>
        <v>0</v>
      </c>
      <c r="AS638">
        <f t="shared" si="260"/>
        <v>0</v>
      </c>
      <c r="AT638">
        <f t="shared" si="260"/>
        <v>0</v>
      </c>
      <c r="AU638">
        <f t="shared" si="260"/>
        <v>0</v>
      </c>
      <c r="AV638">
        <f t="shared" si="260"/>
        <v>0</v>
      </c>
      <c r="AW638">
        <f t="shared" si="260"/>
        <v>0</v>
      </c>
      <c r="AX638">
        <f t="shared" si="258"/>
        <v>0</v>
      </c>
      <c r="AY638">
        <f t="shared" si="258"/>
        <v>0</v>
      </c>
      <c r="AZ638">
        <f t="shared" si="258"/>
        <v>0</v>
      </c>
      <c r="BA638">
        <f t="shared" si="255"/>
        <v>0</v>
      </c>
      <c r="BB638">
        <f t="shared" si="256"/>
        <v>0</v>
      </c>
    </row>
    <row r="639" spans="1:54">
      <c r="A639">
        <v>636</v>
      </c>
      <c r="B639" t="s">
        <v>20</v>
      </c>
      <c r="C639" t="s">
        <v>28</v>
      </c>
      <c r="D639" t="s">
        <v>22</v>
      </c>
      <c r="E639" t="s">
        <v>20</v>
      </c>
      <c r="F639" t="s">
        <v>28</v>
      </c>
      <c r="G639" t="s">
        <v>22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  <c r="M639" s="3">
        <v>1</v>
      </c>
      <c r="N639" s="3">
        <v>1</v>
      </c>
      <c r="O639" s="3">
        <v>1</v>
      </c>
      <c r="P639">
        <f t="shared" si="241"/>
        <v>1</v>
      </c>
      <c r="Q639">
        <f t="shared" si="242"/>
        <v>0</v>
      </c>
      <c r="R639">
        <f t="shared" si="243"/>
        <v>0</v>
      </c>
      <c r="S639">
        <f t="shared" si="244"/>
        <v>0</v>
      </c>
      <c r="T639">
        <f t="shared" si="245"/>
        <v>0</v>
      </c>
      <c r="U639">
        <f t="shared" si="246"/>
        <v>0</v>
      </c>
      <c r="V639">
        <f t="shared" si="247"/>
        <v>0</v>
      </c>
      <c r="W639">
        <f t="shared" si="248"/>
        <v>0</v>
      </c>
      <c r="X639">
        <f t="shared" si="249"/>
        <v>0</v>
      </c>
      <c r="Y639">
        <f t="shared" si="250"/>
        <v>0</v>
      </c>
      <c r="Z639">
        <f t="shared" si="251"/>
        <v>0</v>
      </c>
      <c r="AA639">
        <f t="shared" si="252"/>
        <v>0</v>
      </c>
      <c r="AB639">
        <f t="shared" si="234"/>
        <v>0</v>
      </c>
      <c r="AC639">
        <f t="shared" si="235"/>
        <v>1</v>
      </c>
      <c r="AD639">
        <f t="shared" si="236"/>
        <v>0</v>
      </c>
      <c r="AE639">
        <f t="shared" si="237"/>
        <v>0</v>
      </c>
      <c r="AF639">
        <f t="shared" si="238"/>
        <v>1</v>
      </c>
      <c r="AG639">
        <f t="shared" si="239"/>
        <v>1</v>
      </c>
      <c r="AH639">
        <f t="shared" si="253"/>
        <v>1</v>
      </c>
      <c r="AI639">
        <f t="shared" si="260"/>
        <v>0</v>
      </c>
      <c r="AJ639">
        <f t="shared" si="260"/>
        <v>0</v>
      </c>
      <c r="AK639">
        <f t="shared" si="260"/>
        <v>0</v>
      </c>
      <c r="AL639">
        <f t="shared" si="260"/>
        <v>0</v>
      </c>
      <c r="AM639">
        <f t="shared" si="260"/>
        <v>0</v>
      </c>
      <c r="AN639">
        <f t="shared" si="260"/>
        <v>0</v>
      </c>
      <c r="AO639">
        <f t="shared" si="260"/>
        <v>0</v>
      </c>
      <c r="AP639">
        <f t="shared" si="260"/>
        <v>0</v>
      </c>
      <c r="AQ639">
        <f t="shared" si="260"/>
        <v>0</v>
      </c>
      <c r="AR639">
        <f t="shared" si="260"/>
        <v>0</v>
      </c>
      <c r="AS639">
        <f t="shared" si="260"/>
        <v>0</v>
      </c>
      <c r="AT639">
        <f t="shared" si="260"/>
        <v>0</v>
      </c>
      <c r="AU639">
        <f t="shared" si="260"/>
        <v>0</v>
      </c>
      <c r="AV639">
        <f t="shared" si="260"/>
        <v>0</v>
      </c>
      <c r="AW639">
        <f t="shared" si="260"/>
        <v>0</v>
      </c>
      <c r="AX639">
        <f t="shared" si="258"/>
        <v>0</v>
      </c>
      <c r="AY639">
        <f t="shared" si="258"/>
        <v>0</v>
      </c>
      <c r="AZ639">
        <f t="shared" si="258"/>
        <v>0</v>
      </c>
      <c r="BA639">
        <f t="shared" si="255"/>
        <v>0</v>
      </c>
      <c r="BB639">
        <f t="shared" si="256"/>
        <v>0</v>
      </c>
    </row>
    <row r="640" spans="1:54">
      <c r="A640">
        <v>637</v>
      </c>
      <c r="B640" t="s">
        <v>20</v>
      </c>
      <c r="C640" t="s">
        <v>28</v>
      </c>
      <c r="D640" t="s">
        <v>23</v>
      </c>
      <c r="E640" t="s">
        <v>20</v>
      </c>
      <c r="F640" t="s">
        <v>28</v>
      </c>
      <c r="G640" t="s">
        <v>23</v>
      </c>
      <c r="H640" s="3">
        <v>1</v>
      </c>
      <c r="I640" s="3">
        <v>1</v>
      </c>
      <c r="J640" s="3">
        <v>1</v>
      </c>
      <c r="K640" s="3">
        <v>1</v>
      </c>
      <c r="L640" s="3">
        <v>1</v>
      </c>
      <c r="M640" s="3">
        <v>1</v>
      </c>
      <c r="N640" s="3">
        <v>1</v>
      </c>
      <c r="O640" s="3">
        <v>1</v>
      </c>
      <c r="P640">
        <f t="shared" si="241"/>
        <v>0</v>
      </c>
      <c r="Q640">
        <f t="shared" si="242"/>
        <v>1</v>
      </c>
      <c r="R640">
        <f t="shared" si="243"/>
        <v>0</v>
      </c>
      <c r="S640">
        <f t="shared" si="244"/>
        <v>0</v>
      </c>
      <c r="T640">
        <f t="shared" si="245"/>
        <v>0</v>
      </c>
      <c r="U640">
        <f t="shared" si="246"/>
        <v>0</v>
      </c>
      <c r="V640">
        <f t="shared" si="247"/>
        <v>0</v>
      </c>
      <c r="W640">
        <f t="shared" si="248"/>
        <v>0</v>
      </c>
      <c r="X640">
        <f t="shared" si="249"/>
        <v>0</v>
      </c>
      <c r="Y640">
        <f t="shared" si="250"/>
        <v>0</v>
      </c>
      <c r="Z640">
        <f t="shared" si="251"/>
        <v>0</v>
      </c>
      <c r="AA640">
        <f t="shared" si="252"/>
        <v>0</v>
      </c>
      <c r="AB640">
        <f t="shared" si="234"/>
        <v>0</v>
      </c>
      <c r="AC640">
        <f t="shared" si="235"/>
        <v>1</v>
      </c>
      <c r="AD640">
        <f t="shared" si="236"/>
        <v>0</v>
      </c>
      <c r="AE640">
        <f t="shared" si="237"/>
        <v>0</v>
      </c>
      <c r="AF640">
        <f t="shared" si="238"/>
        <v>1</v>
      </c>
      <c r="AG640">
        <f t="shared" si="239"/>
        <v>1</v>
      </c>
      <c r="AH640">
        <f t="shared" si="253"/>
        <v>1</v>
      </c>
      <c r="AI640">
        <f t="shared" si="260"/>
        <v>0</v>
      </c>
      <c r="AJ640">
        <f t="shared" si="260"/>
        <v>0</v>
      </c>
      <c r="AK640">
        <f t="shared" si="260"/>
        <v>0</v>
      </c>
      <c r="AL640">
        <f t="shared" si="260"/>
        <v>0</v>
      </c>
      <c r="AM640">
        <f t="shared" si="260"/>
        <v>0</v>
      </c>
      <c r="AN640">
        <f t="shared" si="260"/>
        <v>0</v>
      </c>
      <c r="AO640">
        <f t="shared" si="260"/>
        <v>0</v>
      </c>
      <c r="AP640">
        <f t="shared" si="260"/>
        <v>0</v>
      </c>
      <c r="AQ640">
        <f t="shared" si="260"/>
        <v>0</v>
      </c>
      <c r="AR640">
        <f t="shared" si="260"/>
        <v>0</v>
      </c>
      <c r="AS640">
        <f t="shared" si="260"/>
        <v>0</v>
      </c>
      <c r="AT640">
        <f t="shared" si="260"/>
        <v>0</v>
      </c>
      <c r="AU640">
        <f t="shared" si="260"/>
        <v>0</v>
      </c>
      <c r="AV640">
        <f t="shared" si="260"/>
        <v>0</v>
      </c>
      <c r="AW640">
        <f t="shared" si="260"/>
        <v>0</v>
      </c>
      <c r="AX640">
        <f t="shared" si="258"/>
        <v>0</v>
      </c>
      <c r="AY640">
        <f t="shared" si="258"/>
        <v>0</v>
      </c>
      <c r="AZ640">
        <f t="shared" si="258"/>
        <v>0</v>
      </c>
      <c r="BA640">
        <f t="shared" si="255"/>
        <v>0</v>
      </c>
      <c r="BB640">
        <f t="shared" si="256"/>
        <v>0</v>
      </c>
    </row>
    <row r="641" spans="1:54">
      <c r="A641">
        <v>638</v>
      </c>
      <c r="B641" t="s">
        <v>20</v>
      </c>
      <c r="C641" t="s">
        <v>28</v>
      </c>
      <c r="D641" t="s">
        <v>24</v>
      </c>
      <c r="E641" t="s">
        <v>20</v>
      </c>
      <c r="F641" t="s">
        <v>28</v>
      </c>
      <c r="G641" t="s">
        <v>24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  <c r="M641" s="3">
        <v>1</v>
      </c>
      <c r="N641" s="3">
        <v>1</v>
      </c>
      <c r="O641" s="3">
        <v>1</v>
      </c>
      <c r="P641">
        <f t="shared" si="241"/>
        <v>0</v>
      </c>
      <c r="Q641">
        <f t="shared" si="242"/>
        <v>0</v>
      </c>
      <c r="R641">
        <f t="shared" si="243"/>
        <v>1</v>
      </c>
      <c r="S641">
        <f t="shared" si="244"/>
        <v>0</v>
      </c>
      <c r="T641">
        <f t="shared" si="245"/>
        <v>0</v>
      </c>
      <c r="U641">
        <f t="shared" si="246"/>
        <v>0</v>
      </c>
      <c r="V641">
        <f t="shared" si="247"/>
        <v>0</v>
      </c>
      <c r="W641">
        <f t="shared" si="248"/>
        <v>0</v>
      </c>
      <c r="X641">
        <f t="shared" si="249"/>
        <v>0</v>
      </c>
      <c r="Y641">
        <f t="shared" si="250"/>
        <v>0</v>
      </c>
      <c r="Z641">
        <f t="shared" si="251"/>
        <v>0</v>
      </c>
      <c r="AA641">
        <f t="shared" si="252"/>
        <v>0</v>
      </c>
      <c r="AB641">
        <f t="shared" si="234"/>
        <v>0</v>
      </c>
      <c r="AC641">
        <f t="shared" si="235"/>
        <v>0</v>
      </c>
      <c r="AD641">
        <f t="shared" si="236"/>
        <v>1</v>
      </c>
      <c r="AE641">
        <f t="shared" si="237"/>
        <v>0</v>
      </c>
      <c r="AF641">
        <f t="shared" si="238"/>
        <v>1</v>
      </c>
      <c r="AG641">
        <f t="shared" si="239"/>
        <v>1</v>
      </c>
      <c r="AH641">
        <f t="shared" si="253"/>
        <v>1</v>
      </c>
      <c r="AI641">
        <f t="shared" si="260"/>
        <v>0</v>
      </c>
      <c r="AJ641">
        <f t="shared" si="260"/>
        <v>0</v>
      </c>
      <c r="AK641">
        <f t="shared" si="260"/>
        <v>0</v>
      </c>
      <c r="AL641">
        <f t="shared" si="260"/>
        <v>0</v>
      </c>
      <c r="AM641">
        <f t="shared" si="260"/>
        <v>0</v>
      </c>
      <c r="AN641">
        <f t="shared" si="260"/>
        <v>0</v>
      </c>
      <c r="AO641">
        <f t="shared" si="260"/>
        <v>0</v>
      </c>
      <c r="AP641">
        <f t="shared" si="260"/>
        <v>0</v>
      </c>
      <c r="AQ641">
        <f t="shared" si="260"/>
        <v>0</v>
      </c>
      <c r="AR641">
        <f t="shared" si="260"/>
        <v>0</v>
      </c>
      <c r="AS641">
        <f t="shared" si="260"/>
        <v>0</v>
      </c>
      <c r="AT641">
        <f t="shared" si="260"/>
        <v>0</v>
      </c>
      <c r="AU641">
        <f t="shared" si="260"/>
        <v>0</v>
      </c>
      <c r="AV641">
        <f t="shared" si="260"/>
        <v>0</v>
      </c>
      <c r="AW641">
        <f t="shared" si="260"/>
        <v>0</v>
      </c>
      <c r="AX641">
        <f t="shared" si="258"/>
        <v>0</v>
      </c>
      <c r="AY641">
        <f t="shared" si="258"/>
        <v>0</v>
      </c>
      <c r="AZ641">
        <f t="shared" si="258"/>
        <v>0</v>
      </c>
      <c r="BA641">
        <f t="shared" si="255"/>
        <v>0</v>
      </c>
      <c r="BB641">
        <f t="shared" si="256"/>
        <v>0</v>
      </c>
    </row>
    <row r="642" spans="1:54">
      <c r="A642">
        <v>639</v>
      </c>
      <c r="B642" t="s">
        <v>20</v>
      </c>
      <c r="C642" t="s">
        <v>28</v>
      </c>
      <c r="D642" t="s">
        <v>25</v>
      </c>
      <c r="E642" t="s">
        <v>20</v>
      </c>
      <c r="F642" t="s">
        <v>28</v>
      </c>
      <c r="G642" t="s">
        <v>25</v>
      </c>
      <c r="H642" s="3">
        <v>1</v>
      </c>
      <c r="I642" s="3">
        <v>1</v>
      </c>
      <c r="J642" s="3">
        <v>1</v>
      </c>
      <c r="K642" s="3">
        <v>1</v>
      </c>
      <c r="L642" s="3">
        <v>1</v>
      </c>
      <c r="M642" s="3">
        <v>1</v>
      </c>
      <c r="N642" s="3">
        <v>1</v>
      </c>
      <c r="O642" s="3">
        <v>1</v>
      </c>
      <c r="P642">
        <f t="shared" si="241"/>
        <v>0</v>
      </c>
      <c r="Q642">
        <f t="shared" si="242"/>
        <v>0</v>
      </c>
      <c r="R642">
        <f t="shared" si="243"/>
        <v>0</v>
      </c>
      <c r="S642">
        <f t="shared" si="244"/>
        <v>0</v>
      </c>
      <c r="T642">
        <f t="shared" si="245"/>
        <v>0</v>
      </c>
      <c r="U642">
        <f t="shared" si="246"/>
        <v>0</v>
      </c>
      <c r="V642">
        <f t="shared" si="247"/>
        <v>0</v>
      </c>
      <c r="W642">
        <f t="shared" si="248"/>
        <v>0</v>
      </c>
      <c r="X642">
        <f t="shared" si="249"/>
        <v>0</v>
      </c>
      <c r="Y642">
        <f t="shared" si="250"/>
        <v>0</v>
      </c>
      <c r="Z642">
        <f t="shared" si="251"/>
        <v>0</v>
      </c>
      <c r="AA642">
        <f t="shared" si="252"/>
        <v>0</v>
      </c>
      <c r="AB642">
        <f t="shared" si="234"/>
        <v>0</v>
      </c>
      <c r="AC642">
        <f t="shared" si="235"/>
        <v>0</v>
      </c>
      <c r="AD642">
        <f t="shared" si="236"/>
        <v>0</v>
      </c>
      <c r="AE642">
        <f t="shared" si="237"/>
        <v>1</v>
      </c>
      <c r="AF642">
        <f t="shared" si="238"/>
        <v>1</v>
      </c>
      <c r="AG642">
        <f t="shared" si="239"/>
        <v>1</v>
      </c>
      <c r="AH642">
        <f t="shared" si="253"/>
        <v>1</v>
      </c>
      <c r="AI642">
        <f t="shared" si="260"/>
        <v>0</v>
      </c>
      <c r="AJ642">
        <f t="shared" si="260"/>
        <v>0</v>
      </c>
      <c r="AK642">
        <f t="shared" si="260"/>
        <v>0</v>
      </c>
      <c r="AL642">
        <f t="shared" si="260"/>
        <v>0</v>
      </c>
      <c r="AM642">
        <f t="shared" si="260"/>
        <v>0</v>
      </c>
      <c r="AN642">
        <f t="shared" si="260"/>
        <v>0</v>
      </c>
      <c r="AO642">
        <f t="shared" si="260"/>
        <v>0</v>
      </c>
      <c r="AP642">
        <f t="shared" si="260"/>
        <v>0</v>
      </c>
      <c r="AQ642">
        <f t="shared" si="260"/>
        <v>0</v>
      </c>
      <c r="AR642">
        <f t="shared" si="260"/>
        <v>0</v>
      </c>
      <c r="AS642">
        <f t="shared" si="260"/>
        <v>0</v>
      </c>
      <c r="AT642">
        <f t="shared" si="260"/>
        <v>0</v>
      </c>
      <c r="AU642">
        <f t="shared" si="260"/>
        <v>0</v>
      </c>
      <c r="AV642">
        <f t="shared" si="260"/>
        <v>0</v>
      </c>
      <c r="AW642">
        <f t="shared" si="260"/>
        <v>0</v>
      </c>
      <c r="AX642">
        <f t="shared" si="258"/>
        <v>0</v>
      </c>
      <c r="AY642">
        <f t="shared" si="258"/>
        <v>0</v>
      </c>
      <c r="AZ642">
        <f t="shared" si="258"/>
        <v>0</v>
      </c>
      <c r="BA642">
        <f t="shared" si="255"/>
        <v>0</v>
      </c>
      <c r="BB642">
        <f t="shared" si="256"/>
        <v>0</v>
      </c>
    </row>
    <row r="643" spans="1:54">
      <c r="A643">
        <v>640</v>
      </c>
      <c r="B643" t="s">
        <v>20</v>
      </c>
      <c r="C643" t="s">
        <v>28</v>
      </c>
      <c r="D643" t="s">
        <v>26</v>
      </c>
      <c r="E643" t="s">
        <v>20</v>
      </c>
      <c r="F643" t="s">
        <v>28</v>
      </c>
      <c r="G643" t="s">
        <v>26</v>
      </c>
      <c r="H643" s="3">
        <v>1</v>
      </c>
      <c r="I643" s="3">
        <v>1</v>
      </c>
      <c r="J643" s="3">
        <v>1</v>
      </c>
      <c r="K643" s="3">
        <v>1</v>
      </c>
      <c r="L643" s="3">
        <v>1</v>
      </c>
      <c r="M643" s="3">
        <v>1</v>
      </c>
      <c r="N643" s="3">
        <v>1</v>
      </c>
      <c r="O643" s="3">
        <v>1</v>
      </c>
      <c r="P643">
        <f t="shared" si="241"/>
        <v>0</v>
      </c>
      <c r="Q643">
        <f t="shared" si="242"/>
        <v>0</v>
      </c>
      <c r="R643">
        <f t="shared" si="243"/>
        <v>0</v>
      </c>
      <c r="S643">
        <f t="shared" si="244"/>
        <v>0</v>
      </c>
      <c r="T643">
        <f t="shared" si="245"/>
        <v>0</v>
      </c>
      <c r="U643">
        <f t="shared" si="246"/>
        <v>0</v>
      </c>
      <c r="V643">
        <f t="shared" si="247"/>
        <v>0</v>
      </c>
      <c r="W643">
        <f t="shared" si="248"/>
        <v>0</v>
      </c>
      <c r="X643">
        <f t="shared" si="249"/>
        <v>0</v>
      </c>
      <c r="Y643">
        <f t="shared" si="250"/>
        <v>0</v>
      </c>
      <c r="Z643">
        <f t="shared" si="251"/>
        <v>0</v>
      </c>
      <c r="AA643">
        <f t="shared" si="252"/>
        <v>0</v>
      </c>
      <c r="AB643">
        <f t="shared" ref="AB643:AB668" si="261">IF(AND(AND(C643="windows",D643="clang"),AND(F643="windows",G643="clang")),1,0)</f>
        <v>0</v>
      </c>
      <c r="AC643">
        <f t="shared" ref="AC643:AC668" si="262">IF(AND(OR(D643="clang",D643="gcc",D643="msvc"),OR(G643="gcc",G643="clang",G643="msvc")),1,0)</f>
        <v>0</v>
      </c>
      <c r="AD643">
        <f t="shared" ref="AD643:AD668" si="263">IF(AND(OR(D643="go",D643="tgo"),OR(G643="go",G643="tgo")),1,0)</f>
        <v>0</v>
      </c>
      <c r="AE643">
        <f t="shared" ref="AE643:AE668" si="264">IF(AND(OR(D643="rs-pure",D643="rs-sys"),OR(G643="rs-pure",G643="rs-sys")),1,0)</f>
        <v>1</v>
      </c>
      <c r="AF643">
        <f t="shared" ref="AF643:AF668" si="265">IF(C643=F643,1,0)</f>
        <v>1</v>
      </c>
      <c r="AG643">
        <f t="shared" ref="AG643:AG668" si="266">IF(B643=E643,1,0)</f>
        <v>1</v>
      </c>
      <c r="AH643">
        <f t="shared" si="253"/>
        <v>1</v>
      </c>
      <c r="AI643">
        <f t="shared" si="260"/>
        <v>0</v>
      </c>
      <c r="AJ643">
        <f t="shared" si="260"/>
        <v>0</v>
      </c>
      <c r="AK643">
        <f t="shared" si="260"/>
        <v>0</v>
      </c>
      <c r="AL643">
        <f t="shared" si="260"/>
        <v>0</v>
      </c>
      <c r="AM643">
        <f t="shared" si="260"/>
        <v>0</v>
      </c>
      <c r="AN643">
        <f t="shared" si="260"/>
        <v>0</v>
      </c>
      <c r="AO643">
        <f t="shared" si="260"/>
        <v>0</v>
      </c>
      <c r="AP643">
        <f t="shared" si="260"/>
        <v>0</v>
      </c>
      <c r="AQ643">
        <f t="shared" si="260"/>
        <v>0</v>
      </c>
      <c r="AR643">
        <f t="shared" si="260"/>
        <v>0</v>
      </c>
      <c r="AS643">
        <f t="shared" si="260"/>
        <v>0</v>
      </c>
      <c r="AT643">
        <f t="shared" si="260"/>
        <v>0</v>
      </c>
      <c r="AU643">
        <f t="shared" si="260"/>
        <v>0</v>
      </c>
      <c r="AV643">
        <f t="shared" si="260"/>
        <v>0</v>
      </c>
      <c r="AW643">
        <f t="shared" si="260"/>
        <v>0</v>
      </c>
      <c r="AX643">
        <f t="shared" si="258"/>
        <v>0</v>
      </c>
      <c r="AY643">
        <f t="shared" si="258"/>
        <v>0</v>
      </c>
      <c r="AZ643">
        <f t="shared" si="258"/>
        <v>0</v>
      </c>
      <c r="BA643">
        <f t="shared" si="255"/>
        <v>0</v>
      </c>
      <c r="BB643">
        <f t="shared" si="256"/>
        <v>0</v>
      </c>
    </row>
    <row r="644" spans="1:54">
      <c r="A644">
        <v>641</v>
      </c>
      <c r="B644" t="s">
        <v>20</v>
      </c>
      <c r="C644" t="s">
        <v>28</v>
      </c>
      <c r="D644" t="s">
        <v>27</v>
      </c>
      <c r="E644" t="s">
        <v>20</v>
      </c>
      <c r="F644" t="s">
        <v>28</v>
      </c>
      <c r="G644" t="s">
        <v>27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1</v>
      </c>
      <c r="N644" s="3">
        <v>1</v>
      </c>
      <c r="O644" s="3">
        <v>1</v>
      </c>
      <c r="P644">
        <f t="shared" ref="P644:P668" si="267">IF(OR(AND($C644="linux",$D644="clang"),AND($F644="linux",$G644="clang")),1,0)</f>
        <v>0</v>
      </c>
      <c r="Q644">
        <f t="shared" ref="Q644:Q668" si="268">IF(OR(AND($C644="linux",$D644="gcc"),AND($F644="linux",$G644="gcc")),1,0)</f>
        <v>0</v>
      </c>
      <c r="R644">
        <f t="shared" ref="R644:R668" si="269">IF(OR(AND($C644="linux",$D644="go"),AND($F644="linux",$G644="go")),1,0)</f>
        <v>0</v>
      </c>
      <c r="S644">
        <f t="shared" ref="S644:S668" si="270">IF(OR(AND($C644="linux",$D644="tgo"),AND($F644="linux",$G644="tgo")),1,0)</f>
        <v>1</v>
      </c>
      <c r="T644">
        <f t="shared" ref="T644:T668" si="271">IF(OR(AND($C644="darwin",$D644="clang"),AND($F644="darwin",$G644="clang")),1,0)</f>
        <v>0</v>
      </c>
      <c r="U644">
        <f t="shared" ref="U644:U668" si="272">IF(OR(AND($C644="darwin",$D644="gcc"),AND($F644="darwin",$G644="gcc")),1,0)</f>
        <v>0</v>
      </c>
      <c r="V644">
        <f t="shared" ref="V644:V668" si="273">IF(OR(AND($C644="darwin",$D644="go"),AND($F644="darwin",$G644="go")),1,0)</f>
        <v>0</v>
      </c>
      <c r="W644">
        <f t="shared" ref="W644:W668" si="274">IF(OR(AND($C644="darwin",$D644="tgo"),AND($F644="darwin",$G644="tgo")),1,0)</f>
        <v>0</v>
      </c>
      <c r="X644">
        <f t="shared" ref="X644:X668" si="275">IF(OR(AND($C644="windows",$D644="clang"),AND($F644="windows",$G644="clang")),1,0)</f>
        <v>0</v>
      </c>
      <c r="Y644">
        <f t="shared" ref="Y644:Y668" si="276">IF(OR(AND($C644="windows",$D644="gcc"),AND($F644="windows",$G644="gcc")),1,0)</f>
        <v>0</v>
      </c>
      <c r="Z644">
        <f t="shared" ref="Z644:Z668" si="277">IF(OR(AND($C644="windows",$D644="msvc"),AND($F644="windows",$G644="msvc")),1,0)</f>
        <v>0</v>
      </c>
      <c r="AA644">
        <f t="shared" ref="AA644:AA668" si="278">IF(OR(AND($C644="windows",$D644="go"),AND($F644="windows",$G644="go")),1,0)</f>
        <v>0</v>
      </c>
      <c r="AB644">
        <f t="shared" si="261"/>
        <v>0</v>
      </c>
      <c r="AC644">
        <f t="shared" si="262"/>
        <v>0</v>
      </c>
      <c r="AD644">
        <f t="shared" si="263"/>
        <v>1</v>
      </c>
      <c r="AE644">
        <f t="shared" si="264"/>
        <v>0</v>
      </c>
      <c r="AF644">
        <f t="shared" si="265"/>
        <v>1</v>
      </c>
      <c r="AG644">
        <f t="shared" si="266"/>
        <v>1</v>
      </c>
      <c r="AH644">
        <f t="shared" ref="AH644:AH668" si="279">IF(SUM(AC644:AE644)=1,1,0)</f>
        <v>1</v>
      </c>
      <c r="AI644">
        <f t="shared" si="260"/>
        <v>0</v>
      </c>
      <c r="AJ644">
        <f t="shared" si="260"/>
        <v>0</v>
      </c>
      <c r="AK644">
        <f t="shared" si="260"/>
        <v>0</v>
      </c>
      <c r="AL644">
        <f t="shared" si="260"/>
        <v>0</v>
      </c>
      <c r="AM644">
        <f t="shared" si="260"/>
        <v>0</v>
      </c>
      <c r="AN644">
        <f t="shared" si="260"/>
        <v>0</v>
      </c>
      <c r="AO644">
        <f t="shared" si="260"/>
        <v>0</v>
      </c>
      <c r="AP644">
        <f t="shared" si="260"/>
        <v>0</v>
      </c>
      <c r="AQ644">
        <f t="shared" si="260"/>
        <v>0</v>
      </c>
      <c r="AR644">
        <f t="shared" si="260"/>
        <v>0</v>
      </c>
      <c r="AS644">
        <f t="shared" si="260"/>
        <v>0</v>
      </c>
      <c r="AT644">
        <f t="shared" si="260"/>
        <v>0</v>
      </c>
      <c r="AU644">
        <f t="shared" si="260"/>
        <v>0</v>
      </c>
      <c r="AV644">
        <f t="shared" si="260"/>
        <v>0</v>
      </c>
      <c r="AW644">
        <f t="shared" si="260"/>
        <v>0</v>
      </c>
      <c r="AX644">
        <f t="shared" ref="AX644:AZ668" si="280">IF(OR(AND($C644=AX$1,$F644=AX$2),AND($C644=AX$2,$F644=AX$1)),1,0)</f>
        <v>0</v>
      </c>
      <c r="AY644">
        <f t="shared" si="280"/>
        <v>0</v>
      </c>
      <c r="AZ644">
        <f t="shared" si="280"/>
        <v>0</v>
      </c>
      <c r="BA644">
        <f t="shared" ref="BA644:BA668" si="281">IF(SUM(AI644:AQ644)=1,1,0)</f>
        <v>0</v>
      </c>
      <c r="BB644">
        <f t="shared" ref="BB644:BB668" si="282">IF(OR(C644="windows",F644="windows"),1,0)</f>
        <v>0</v>
      </c>
    </row>
    <row r="645" spans="1:54">
      <c r="A645">
        <v>642</v>
      </c>
      <c r="B645" t="s">
        <v>20</v>
      </c>
      <c r="C645" t="s">
        <v>29</v>
      </c>
      <c r="D645" t="s">
        <v>22</v>
      </c>
      <c r="E645" t="s">
        <v>20</v>
      </c>
      <c r="F645" t="s">
        <v>29</v>
      </c>
      <c r="G645" t="s">
        <v>22</v>
      </c>
      <c r="H645" s="3">
        <v>1</v>
      </c>
      <c r="I645" s="3">
        <v>1</v>
      </c>
      <c r="J645" s="3">
        <v>1</v>
      </c>
      <c r="K645" s="3">
        <v>1</v>
      </c>
      <c r="L645" s="3">
        <v>1</v>
      </c>
      <c r="M645" s="3">
        <v>1</v>
      </c>
      <c r="N645" s="3">
        <v>1</v>
      </c>
      <c r="O645" s="3">
        <v>1</v>
      </c>
      <c r="P645">
        <f t="shared" si="267"/>
        <v>0</v>
      </c>
      <c r="Q645">
        <f t="shared" si="268"/>
        <v>0</v>
      </c>
      <c r="R645">
        <f t="shared" si="269"/>
        <v>0</v>
      </c>
      <c r="S645">
        <f t="shared" si="270"/>
        <v>0</v>
      </c>
      <c r="T645">
        <f t="shared" si="271"/>
        <v>0</v>
      </c>
      <c r="U645">
        <f t="shared" si="272"/>
        <v>0</v>
      </c>
      <c r="V645">
        <f t="shared" si="273"/>
        <v>0</v>
      </c>
      <c r="W645">
        <f t="shared" si="274"/>
        <v>0</v>
      </c>
      <c r="X645">
        <f t="shared" si="275"/>
        <v>1</v>
      </c>
      <c r="Y645">
        <f t="shared" si="276"/>
        <v>0</v>
      </c>
      <c r="Z645">
        <f t="shared" si="277"/>
        <v>0</v>
      </c>
      <c r="AA645">
        <f t="shared" si="278"/>
        <v>0</v>
      </c>
      <c r="AB645">
        <f t="shared" si="261"/>
        <v>1</v>
      </c>
      <c r="AC645">
        <f t="shared" si="262"/>
        <v>1</v>
      </c>
      <c r="AD645">
        <f t="shared" si="263"/>
        <v>0</v>
      </c>
      <c r="AE645">
        <f t="shared" si="264"/>
        <v>0</v>
      </c>
      <c r="AF645">
        <f t="shared" si="265"/>
        <v>1</v>
      </c>
      <c r="AG645">
        <f t="shared" si="266"/>
        <v>1</v>
      </c>
      <c r="AH645">
        <f t="shared" si="279"/>
        <v>1</v>
      </c>
      <c r="AI645">
        <f t="shared" si="260"/>
        <v>0</v>
      </c>
      <c r="AJ645">
        <f t="shared" si="260"/>
        <v>0</v>
      </c>
      <c r="AK645">
        <f t="shared" si="260"/>
        <v>0</v>
      </c>
      <c r="AL645">
        <f t="shared" si="260"/>
        <v>0</v>
      </c>
      <c r="AM645">
        <f t="shared" si="260"/>
        <v>0</v>
      </c>
      <c r="AN645">
        <f t="shared" si="260"/>
        <v>0</v>
      </c>
      <c r="AO645">
        <f t="shared" si="260"/>
        <v>0</v>
      </c>
      <c r="AP645">
        <f t="shared" si="260"/>
        <v>0</v>
      </c>
      <c r="AQ645">
        <f t="shared" si="260"/>
        <v>0</v>
      </c>
      <c r="AR645">
        <f t="shared" si="260"/>
        <v>0</v>
      </c>
      <c r="AS645">
        <f t="shared" si="260"/>
        <v>0</v>
      </c>
      <c r="AT645">
        <f t="shared" si="260"/>
        <v>0</v>
      </c>
      <c r="AU645">
        <f t="shared" si="260"/>
        <v>0</v>
      </c>
      <c r="AV645">
        <f t="shared" si="260"/>
        <v>0</v>
      </c>
      <c r="AW645">
        <f t="shared" si="260"/>
        <v>0</v>
      </c>
      <c r="AX645">
        <f t="shared" si="280"/>
        <v>0</v>
      </c>
      <c r="AY645">
        <f t="shared" si="280"/>
        <v>0</v>
      </c>
      <c r="AZ645">
        <f t="shared" si="280"/>
        <v>0</v>
      </c>
      <c r="BA645">
        <f t="shared" si="281"/>
        <v>0</v>
      </c>
      <c r="BB645">
        <f t="shared" si="282"/>
        <v>1</v>
      </c>
    </row>
    <row r="646" spans="1:54">
      <c r="A646">
        <v>643</v>
      </c>
      <c r="B646" t="s">
        <v>20</v>
      </c>
      <c r="C646" t="s">
        <v>29</v>
      </c>
      <c r="D646" t="s">
        <v>23</v>
      </c>
      <c r="E646" t="s">
        <v>20</v>
      </c>
      <c r="F646" t="s">
        <v>29</v>
      </c>
      <c r="G646" t="s">
        <v>23</v>
      </c>
      <c r="H646" s="3">
        <v>1</v>
      </c>
      <c r="I646" s="3">
        <v>1</v>
      </c>
      <c r="J646" s="3">
        <v>1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>
        <f t="shared" si="267"/>
        <v>0</v>
      </c>
      <c r="Q646">
        <f t="shared" si="268"/>
        <v>0</v>
      </c>
      <c r="R646">
        <f t="shared" si="269"/>
        <v>0</v>
      </c>
      <c r="S646">
        <f t="shared" si="270"/>
        <v>0</v>
      </c>
      <c r="T646">
        <f t="shared" si="271"/>
        <v>0</v>
      </c>
      <c r="U646">
        <f t="shared" si="272"/>
        <v>0</v>
      </c>
      <c r="V646">
        <f t="shared" si="273"/>
        <v>0</v>
      </c>
      <c r="W646">
        <f t="shared" si="274"/>
        <v>0</v>
      </c>
      <c r="X646">
        <f t="shared" si="275"/>
        <v>0</v>
      </c>
      <c r="Y646">
        <f t="shared" si="276"/>
        <v>1</v>
      </c>
      <c r="Z646">
        <f t="shared" si="277"/>
        <v>0</v>
      </c>
      <c r="AA646">
        <f t="shared" si="278"/>
        <v>0</v>
      </c>
      <c r="AB646">
        <f t="shared" si="261"/>
        <v>0</v>
      </c>
      <c r="AC646">
        <f t="shared" si="262"/>
        <v>1</v>
      </c>
      <c r="AD646">
        <f t="shared" si="263"/>
        <v>0</v>
      </c>
      <c r="AE646">
        <f t="shared" si="264"/>
        <v>0</v>
      </c>
      <c r="AF646">
        <f t="shared" si="265"/>
        <v>1</v>
      </c>
      <c r="AG646">
        <f t="shared" si="266"/>
        <v>1</v>
      </c>
      <c r="AH646">
        <f t="shared" si="279"/>
        <v>1</v>
      </c>
      <c r="AI646">
        <f t="shared" si="260"/>
        <v>0</v>
      </c>
      <c r="AJ646">
        <f t="shared" si="260"/>
        <v>0</v>
      </c>
      <c r="AK646">
        <f t="shared" si="260"/>
        <v>0</v>
      </c>
      <c r="AL646">
        <f t="shared" si="260"/>
        <v>0</v>
      </c>
      <c r="AM646">
        <f t="shared" si="260"/>
        <v>0</v>
      </c>
      <c r="AN646">
        <f t="shared" si="260"/>
        <v>0</v>
      </c>
      <c r="AO646">
        <f t="shared" si="260"/>
        <v>0</v>
      </c>
      <c r="AP646">
        <f t="shared" si="260"/>
        <v>0</v>
      </c>
      <c r="AQ646">
        <f t="shared" si="260"/>
        <v>0</v>
      </c>
      <c r="AR646">
        <f t="shared" si="260"/>
        <v>0</v>
      </c>
      <c r="AS646">
        <f t="shared" si="260"/>
        <v>0</v>
      </c>
      <c r="AT646">
        <f t="shared" si="260"/>
        <v>0</v>
      </c>
      <c r="AU646">
        <f t="shared" si="260"/>
        <v>0</v>
      </c>
      <c r="AV646">
        <f t="shared" si="260"/>
        <v>0</v>
      </c>
      <c r="AW646">
        <f t="shared" si="260"/>
        <v>0</v>
      </c>
      <c r="AX646">
        <f t="shared" si="280"/>
        <v>0</v>
      </c>
      <c r="AY646">
        <f t="shared" si="280"/>
        <v>0</v>
      </c>
      <c r="AZ646">
        <f t="shared" si="280"/>
        <v>0</v>
      </c>
      <c r="BA646">
        <f t="shared" si="281"/>
        <v>0</v>
      </c>
      <c r="BB646">
        <f t="shared" si="282"/>
        <v>1</v>
      </c>
    </row>
    <row r="647" spans="1:54">
      <c r="A647">
        <v>644</v>
      </c>
      <c r="B647" t="s">
        <v>20</v>
      </c>
      <c r="C647" t="s">
        <v>29</v>
      </c>
      <c r="D647" t="s">
        <v>24</v>
      </c>
      <c r="E647" t="s">
        <v>20</v>
      </c>
      <c r="F647" t="s">
        <v>29</v>
      </c>
      <c r="G647" t="s">
        <v>24</v>
      </c>
      <c r="H647" s="3">
        <v>1</v>
      </c>
      <c r="I647" s="3">
        <v>1</v>
      </c>
      <c r="J647" s="3">
        <v>1</v>
      </c>
      <c r="K647" s="3">
        <v>1</v>
      </c>
      <c r="L647" s="3">
        <v>1</v>
      </c>
      <c r="M647" s="3">
        <v>1</v>
      </c>
      <c r="N647" s="3">
        <v>1</v>
      </c>
      <c r="O647" s="3">
        <v>1</v>
      </c>
      <c r="P647">
        <f t="shared" si="267"/>
        <v>0</v>
      </c>
      <c r="Q647">
        <f t="shared" si="268"/>
        <v>0</v>
      </c>
      <c r="R647">
        <f t="shared" si="269"/>
        <v>0</v>
      </c>
      <c r="S647">
        <f t="shared" si="270"/>
        <v>0</v>
      </c>
      <c r="T647">
        <f t="shared" si="271"/>
        <v>0</v>
      </c>
      <c r="U647">
        <f t="shared" si="272"/>
        <v>0</v>
      </c>
      <c r="V647">
        <f t="shared" si="273"/>
        <v>0</v>
      </c>
      <c r="W647">
        <f t="shared" si="274"/>
        <v>0</v>
      </c>
      <c r="X647">
        <f t="shared" si="275"/>
        <v>0</v>
      </c>
      <c r="Y647">
        <f t="shared" si="276"/>
        <v>0</v>
      </c>
      <c r="Z647">
        <f t="shared" si="277"/>
        <v>0</v>
      </c>
      <c r="AA647">
        <f t="shared" si="278"/>
        <v>1</v>
      </c>
      <c r="AB647">
        <f t="shared" si="261"/>
        <v>0</v>
      </c>
      <c r="AC647">
        <f t="shared" si="262"/>
        <v>0</v>
      </c>
      <c r="AD647">
        <f t="shared" si="263"/>
        <v>1</v>
      </c>
      <c r="AE647">
        <f t="shared" si="264"/>
        <v>0</v>
      </c>
      <c r="AF647">
        <f t="shared" si="265"/>
        <v>1</v>
      </c>
      <c r="AG647">
        <f t="shared" si="266"/>
        <v>1</v>
      </c>
      <c r="AH647">
        <f t="shared" si="279"/>
        <v>1</v>
      </c>
      <c r="AI647">
        <f t="shared" ref="AI647:AW663" si="283">IF(OR(AND($D647=AI$1,$G647=AI$2),AND($D647=AI$2,$G647=AI$1)),1,0)</f>
        <v>0</v>
      </c>
      <c r="AJ647">
        <f t="shared" si="283"/>
        <v>0</v>
      </c>
      <c r="AK647">
        <f t="shared" si="283"/>
        <v>0</v>
      </c>
      <c r="AL647">
        <f t="shared" si="283"/>
        <v>0</v>
      </c>
      <c r="AM647">
        <f t="shared" si="283"/>
        <v>0</v>
      </c>
      <c r="AN647">
        <f t="shared" si="283"/>
        <v>0</v>
      </c>
      <c r="AO647">
        <f t="shared" si="283"/>
        <v>0</v>
      </c>
      <c r="AP647">
        <f t="shared" si="283"/>
        <v>0</v>
      </c>
      <c r="AQ647">
        <f t="shared" si="283"/>
        <v>0</v>
      </c>
      <c r="AR647">
        <f t="shared" si="283"/>
        <v>0</v>
      </c>
      <c r="AS647">
        <f t="shared" si="283"/>
        <v>0</v>
      </c>
      <c r="AT647">
        <f t="shared" si="283"/>
        <v>0</v>
      </c>
      <c r="AU647">
        <f t="shared" si="283"/>
        <v>0</v>
      </c>
      <c r="AV647">
        <f t="shared" si="283"/>
        <v>0</v>
      </c>
      <c r="AW647">
        <f t="shared" si="283"/>
        <v>0</v>
      </c>
      <c r="AX647">
        <f t="shared" si="280"/>
        <v>0</v>
      </c>
      <c r="AY647">
        <f t="shared" si="280"/>
        <v>0</v>
      </c>
      <c r="AZ647">
        <f t="shared" si="280"/>
        <v>0</v>
      </c>
      <c r="BA647">
        <f t="shared" si="281"/>
        <v>0</v>
      </c>
      <c r="BB647">
        <f t="shared" si="282"/>
        <v>1</v>
      </c>
    </row>
    <row r="648" spans="1:54">
      <c r="A648">
        <v>645</v>
      </c>
      <c r="B648" t="s">
        <v>20</v>
      </c>
      <c r="C648" t="s">
        <v>29</v>
      </c>
      <c r="D648" t="s">
        <v>31</v>
      </c>
      <c r="E648" t="s">
        <v>20</v>
      </c>
      <c r="F648" t="s">
        <v>29</v>
      </c>
      <c r="G648" t="s">
        <v>31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  <c r="M648" s="3">
        <v>1</v>
      </c>
      <c r="N648" s="3">
        <v>1</v>
      </c>
      <c r="O648" s="3">
        <v>1</v>
      </c>
      <c r="P648">
        <f t="shared" si="267"/>
        <v>0</v>
      </c>
      <c r="Q648">
        <f t="shared" si="268"/>
        <v>0</v>
      </c>
      <c r="R648">
        <f t="shared" si="269"/>
        <v>0</v>
      </c>
      <c r="S648">
        <f t="shared" si="270"/>
        <v>0</v>
      </c>
      <c r="T648">
        <f t="shared" si="271"/>
        <v>0</v>
      </c>
      <c r="U648">
        <f t="shared" si="272"/>
        <v>0</v>
      </c>
      <c r="V648">
        <f t="shared" si="273"/>
        <v>0</v>
      </c>
      <c r="W648">
        <f t="shared" si="274"/>
        <v>0</v>
      </c>
      <c r="X648">
        <f t="shared" si="275"/>
        <v>0</v>
      </c>
      <c r="Y648">
        <f t="shared" si="276"/>
        <v>0</v>
      </c>
      <c r="Z648">
        <f t="shared" si="277"/>
        <v>1</v>
      </c>
      <c r="AA648">
        <f t="shared" si="278"/>
        <v>0</v>
      </c>
      <c r="AB648">
        <f t="shared" si="261"/>
        <v>0</v>
      </c>
      <c r="AC648">
        <f t="shared" si="262"/>
        <v>1</v>
      </c>
      <c r="AD648">
        <f t="shared" si="263"/>
        <v>0</v>
      </c>
      <c r="AE648">
        <f t="shared" si="264"/>
        <v>0</v>
      </c>
      <c r="AF648">
        <f t="shared" si="265"/>
        <v>1</v>
      </c>
      <c r="AG648">
        <f t="shared" si="266"/>
        <v>1</v>
      </c>
      <c r="AH648">
        <f t="shared" si="279"/>
        <v>1</v>
      </c>
      <c r="AI648">
        <f t="shared" si="283"/>
        <v>0</v>
      </c>
      <c r="AJ648">
        <f t="shared" si="283"/>
        <v>0</v>
      </c>
      <c r="AK648">
        <f t="shared" si="283"/>
        <v>0</v>
      </c>
      <c r="AL648">
        <f t="shared" si="283"/>
        <v>0</v>
      </c>
      <c r="AM648">
        <f t="shared" si="283"/>
        <v>0</v>
      </c>
      <c r="AN648">
        <f t="shared" si="283"/>
        <v>0</v>
      </c>
      <c r="AO648">
        <f t="shared" si="283"/>
        <v>0</v>
      </c>
      <c r="AP648">
        <f t="shared" si="283"/>
        <v>0</v>
      </c>
      <c r="AQ648">
        <f t="shared" si="283"/>
        <v>0</v>
      </c>
      <c r="AR648">
        <f t="shared" si="283"/>
        <v>0</v>
      </c>
      <c r="AS648">
        <f t="shared" si="283"/>
        <v>0</v>
      </c>
      <c r="AT648">
        <f t="shared" si="283"/>
        <v>0</v>
      </c>
      <c r="AU648">
        <f t="shared" si="283"/>
        <v>0</v>
      </c>
      <c r="AV648">
        <f t="shared" si="283"/>
        <v>0</v>
      </c>
      <c r="AW648">
        <f t="shared" si="283"/>
        <v>0</v>
      </c>
      <c r="AX648">
        <f t="shared" si="280"/>
        <v>0</v>
      </c>
      <c r="AY648">
        <f t="shared" si="280"/>
        <v>0</v>
      </c>
      <c r="AZ648">
        <f t="shared" si="280"/>
        <v>0</v>
      </c>
      <c r="BA648">
        <f t="shared" si="281"/>
        <v>0</v>
      </c>
      <c r="BB648">
        <f t="shared" si="282"/>
        <v>1</v>
      </c>
    </row>
    <row r="649" spans="1:54">
      <c r="A649">
        <v>646</v>
      </c>
      <c r="B649" t="s">
        <v>20</v>
      </c>
      <c r="C649" t="s">
        <v>29</v>
      </c>
      <c r="D649" t="s">
        <v>25</v>
      </c>
      <c r="E649" t="s">
        <v>20</v>
      </c>
      <c r="F649" t="s">
        <v>29</v>
      </c>
      <c r="G649" t="s">
        <v>25</v>
      </c>
      <c r="H649" s="3">
        <v>1</v>
      </c>
      <c r="I649" s="3">
        <v>1</v>
      </c>
      <c r="J649" s="3">
        <v>1</v>
      </c>
      <c r="K649" s="3">
        <v>1</v>
      </c>
      <c r="L649" s="3">
        <v>1</v>
      </c>
      <c r="M649" s="3">
        <v>1</v>
      </c>
      <c r="N649" s="3">
        <v>1</v>
      </c>
      <c r="O649" s="3">
        <v>1</v>
      </c>
      <c r="P649">
        <f t="shared" si="267"/>
        <v>0</v>
      </c>
      <c r="Q649">
        <f t="shared" si="268"/>
        <v>0</v>
      </c>
      <c r="R649">
        <f t="shared" si="269"/>
        <v>0</v>
      </c>
      <c r="S649">
        <f t="shared" si="270"/>
        <v>0</v>
      </c>
      <c r="T649">
        <f t="shared" si="271"/>
        <v>0</v>
      </c>
      <c r="U649">
        <f t="shared" si="272"/>
        <v>0</v>
      </c>
      <c r="V649">
        <f t="shared" si="273"/>
        <v>0</v>
      </c>
      <c r="W649">
        <f t="shared" si="274"/>
        <v>0</v>
      </c>
      <c r="X649">
        <f t="shared" si="275"/>
        <v>0</v>
      </c>
      <c r="Y649">
        <f t="shared" si="276"/>
        <v>0</v>
      </c>
      <c r="Z649">
        <f t="shared" si="277"/>
        <v>0</v>
      </c>
      <c r="AA649">
        <f t="shared" si="278"/>
        <v>0</v>
      </c>
      <c r="AB649">
        <f t="shared" si="261"/>
        <v>0</v>
      </c>
      <c r="AC649">
        <f t="shared" si="262"/>
        <v>0</v>
      </c>
      <c r="AD649">
        <f t="shared" si="263"/>
        <v>0</v>
      </c>
      <c r="AE649">
        <f t="shared" si="264"/>
        <v>1</v>
      </c>
      <c r="AF649">
        <f t="shared" si="265"/>
        <v>1</v>
      </c>
      <c r="AG649">
        <f t="shared" si="266"/>
        <v>1</v>
      </c>
      <c r="AH649">
        <f t="shared" si="279"/>
        <v>1</v>
      </c>
      <c r="AI649">
        <f t="shared" si="283"/>
        <v>0</v>
      </c>
      <c r="AJ649">
        <f t="shared" si="283"/>
        <v>0</v>
      </c>
      <c r="AK649">
        <f t="shared" si="283"/>
        <v>0</v>
      </c>
      <c r="AL649">
        <f t="shared" si="283"/>
        <v>0</v>
      </c>
      <c r="AM649">
        <f t="shared" si="283"/>
        <v>0</v>
      </c>
      <c r="AN649">
        <f t="shared" si="283"/>
        <v>0</v>
      </c>
      <c r="AO649">
        <f t="shared" si="283"/>
        <v>0</v>
      </c>
      <c r="AP649">
        <f t="shared" si="283"/>
        <v>0</v>
      </c>
      <c r="AQ649">
        <f t="shared" si="283"/>
        <v>0</v>
      </c>
      <c r="AR649">
        <f t="shared" si="283"/>
        <v>0</v>
      </c>
      <c r="AS649">
        <f t="shared" si="283"/>
        <v>0</v>
      </c>
      <c r="AT649">
        <f t="shared" si="283"/>
        <v>0</v>
      </c>
      <c r="AU649">
        <f t="shared" si="283"/>
        <v>0</v>
      </c>
      <c r="AV649">
        <f t="shared" si="283"/>
        <v>0</v>
      </c>
      <c r="AW649">
        <f t="shared" si="283"/>
        <v>0</v>
      </c>
      <c r="AX649">
        <f t="shared" si="280"/>
        <v>0</v>
      </c>
      <c r="AY649">
        <f t="shared" si="280"/>
        <v>0</v>
      </c>
      <c r="AZ649">
        <f t="shared" si="280"/>
        <v>0</v>
      </c>
      <c r="BA649">
        <f t="shared" si="281"/>
        <v>0</v>
      </c>
      <c r="BB649">
        <f t="shared" si="282"/>
        <v>1</v>
      </c>
    </row>
    <row r="650" spans="1:54">
      <c r="A650">
        <v>647</v>
      </c>
      <c r="B650" t="s">
        <v>20</v>
      </c>
      <c r="C650" t="s">
        <v>29</v>
      </c>
      <c r="D650" t="s">
        <v>26</v>
      </c>
      <c r="E650" t="s">
        <v>20</v>
      </c>
      <c r="F650" t="s">
        <v>29</v>
      </c>
      <c r="G650" t="s">
        <v>26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1</v>
      </c>
      <c r="N650" s="3">
        <v>1</v>
      </c>
      <c r="O650" s="3">
        <v>1</v>
      </c>
      <c r="P650">
        <f t="shared" si="267"/>
        <v>0</v>
      </c>
      <c r="Q650">
        <f t="shared" si="268"/>
        <v>0</v>
      </c>
      <c r="R650">
        <f t="shared" si="269"/>
        <v>0</v>
      </c>
      <c r="S650">
        <f t="shared" si="270"/>
        <v>0</v>
      </c>
      <c r="T650">
        <f t="shared" si="271"/>
        <v>0</v>
      </c>
      <c r="U650">
        <f t="shared" si="272"/>
        <v>0</v>
      </c>
      <c r="V650">
        <f t="shared" si="273"/>
        <v>0</v>
      </c>
      <c r="W650">
        <f t="shared" si="274"/>
        <v>0</v>
      </c>
      <c r="X650">
        <f t="shared" si="275"/>
        <v>0</v>
      </c>
      <c r="Y650">
        <f t="shared" si="276"/>
        <v>0</v>
      </c>
      <c r="Z650">
        <f t="shared" si="277"/>
        <v>0</v>
      </c>
      <c r="AA650">
        <f t="shared" si="278"/>
        <v>0</v>
      </c>
      <c r="AB650">
        <f t="shared" si="261"/>
        <v>0</v>
      </c>
      <c r="AC650">
        <f t="shared" si="262"/>
        <v>0</v>
      </c>
      <c r="AD650">
        <f t="shared" si="263"/>
        <v>0</v>
      </c>
      <c r="AE650">
        <f t="shared" si="264"/>
        <v>1</v>
      </c>
      <c r="AF650">
        <f t="shared" si="265"/>
        <v>1</v>
      </c>
      <c r="AG650">
        <f t="shared" si="266"/>
        <v>1</v>
      </c>
      <c r="AH650">
        <f t="shared" si="279"/>
        <v>1</v>
      </c>
      <c r="AI650">
        <f t="shared" si="283"/>
        <v>0</v>
      </c>
      <c r="AJ650">
        <f t="shared" si="283"/>
        <v>0</v>
      </c>
      <c r="AK650">
        <f t="shared" si="283"/>
        <v>0</v>
      </c>
      <c r="AL650">
        <f t="shared" si="283"/>
        <v>0</v>
      </c>
      <c r="AM650">
        <f t="shared" si="283"/>
        <v>0</v>
      </c>
      <c r="AN650">
        <f t="shared" si="283"/>
        <v>0</v>
      </c>
      <c r="AO650">
        <f t="shared" si="283"/>
        <v>0</v>
      </c>
      <c r="AP650">
        <f t="shared" si="283"/>
        <v>0</v>
      </c>
      <c r="AQ650">
        <f t="shared" si="283"/>
        <v>0</v>
      </c>
      <c r="AR650">
        <f t="shared" si="283"/>
        <v>0</v>
      </c>
      <c r="AS650">
        <f t="shared" si="283"/>
        <v>0</v>
      </c>
      <c r="AT650">
        <f t="shared" si="283"/>
        <v>0</v>
      </c>
      <c r="AU650">
        <f t="shared" si="283"/>
        <v>0</v>
      </c>
      <c r="AV650">
        <f t="shared" si="283"/>
        <v>0</v>
      </c>
      <c r="AW650">
        <f t="shared" si="283"/>
        <v>0</v>
      </c>
      <c r="AX650">
        <f t="shared" si="280"/>
        <v>0</v>
      </c>
      <c r="AY650">
        <f t="shared" si="280"/>
        <v>0</v>
      </c>
      <c r="AZ650">
        <f t="shared" si="280"/>
        <v>0</v>
      </c>
      <c r="BA650">
        <f t="shared" si="281"/>
        <v>0</v>
      </c>
      <c r="BB650">
        <f t="shared" si="282"/>
        <v>1</v>
      </c>
    </row>
    <row r="651" spans="1:54">
      <c r="A651">
        <v>648</v>
      </c>
      <c r="B651" t="s">
        <v>30</v>
      </c>
      <c r="C651" t="s">
        <v>21</v>
      </c>
      <c r="D651" t="s">
        <v>22</v>
      </c>
      <c r="E651" t="s">
        <v>30</v>
      </c>
      <c r="F651" t="s">
        <v>21</v>
      </c>
      <c r="G651" t="s">
        <v>22</v>
      </c>
      <c r="H651" s="3">
        <v>1</v>
      </c>
      <c r="I651" s="3">
        <v>1</v>
      </c>
      <c r="J651" s="3">
        <v>1</v>
      </c>
      <c r="K651" s="3">
        <v>1</v>
      </c>
      <c r="L651" s="3">
        <v>1</v>
      </c>
      <c r="M651" s="3">
        <v>1</v>
      </c>
      <c r="N651" s="3">
        <v>1</v>
      </c>
      <c r="O651" s="3">
        <v>1</v>
      </c>
      <c r="P651">
        <f t="shared" si="267"/>
        <v>0</v>
      </c>
      <c r="Q651">
        <f t="shared" si="268"/>
        <v>0</v>
      </c>
      <c r="R651">
        <f t="shared" si="269"/>
        <v>0</v>
      </c>
      <c r="S651">
        <f t="shared" si="270"/>
        <v>0</v>
      </c>
      <c r="T651">
        <f t="shared" si="271"/>
        <v>1</v>
      </c>
      <c r="U651">
        <f t="shared" si="272"/>
        <v>0</v>
      </c>
      <c r="V651">
        <f t="shared" si="273"/>
        <v>0</v>
      </c>
      <c r="W651">
        <f t="shared" si="274"/>
        <v>0</v>
      </c>
      <c r="X651">
        <f t="shared" si="275"/>
        <v>0</v>
      </c>
      <c r="Y651">
        <f t="shared" si="276"/>
        <v>0</v>
      </c>
      <c r="Z651">
        <f t="shared" si="277"/>
        <v>0</v>
      </c>
      <c r="AA651">
        <f t="shared" si="278"/>
        <v>0</v>
      </c>
      <c r="AB651">
        <f t="shared" si="261"/>
        <v>0</v>
      </c>
      <c r="AC651">
        <f t="shared" si="262"/>
        <v>1</v>
      </c>
      <c r="AD651">
        <f t="shared" si="263"/>
        <v>0</v>
      </c>
      <c r="AE651">
        <f t="shared" si="264"/>
        <v>0</v>
      </c>
      <c r="AF651">
        <f t="shared" si="265"/>
        <v>1</v>
      </c>
      <c r="AG651">
        <f t="shared" si="266"/>
        <v>1</v>
      </c>
      <c r="AH651">
        <f t="shared" si="279"/>
        <v>1</v>
      </c>
      <c r="AI651">
        <f t="shared" si="283"/>
        <v>0</v>
      </c>
      <c r="AJ651">
        <f t="shared" si="283"/>
        <v>0</v>
      </c>
      <c r="AK651">
        <f t="shared" si="283"/>
        <v>0</v>
      </c>
      <c r="AL651">
        <f t="shared" si="283"/>
        <v>0</v>
      </c>
      <c r="AM651">
        <f t="shared" si="283"/>
        <v>0</v>
      </c>
      <c r="AN651">
        <f t="shared" si="283"/>
        <v>0</v>
      </c>
      <c r="AO651">
        <f t="shared" si="283"/>
        <v>0</v>
      </c>
      <c r="AP651">
        <f t="shared" si="283"/>
        <v>0</v>
      </c>
      <c r="AQ651">
        <f t="shared" si="283"/>
        <v>0</v>
      </c>
      <c r="AR651">
        <f t="shared" si="283"/>
        <v>0</v>
      </c>
      <c r="AS651">
        <f t="shared" si="283"/>
        <v>0</v>
      </c>
      <c r="AT651">
        <f t="shared" si="283"/>
        <v>0</v>
      </c>
      <c r="AU651">
        <f t="shared" si="283"/>
        <v>0</v>
      </c>
      <c r="AV651">
        <f t="shared" si="283"/>
        <v>0</v>
      </c>
      <c r="AW651">
        <f t="shared" si="283"/>
        <v>0</v>
      </c>
      <c r="AX651">
        <f t="shared" si="280"/>
        <v>0</v>
      </c>
      <c r="AY651">
        <f t="shared" si="280"/>
        <v>0</v>
      </c>
      <c r="AZ651">
        <f t="shared" si="280"/>
        <v>0</v>
      </c>
      <c r="BA651">
        <f t="shared" si="281"/>
        <v>0</v>
      </c>
      <c r="BB651">
        <f t="shared" si="282"/>
        <v>0</v>
      </c>
    </row>
    <row r="652" spans="1:54">
      <c r="A652">
        <v>649</v>
      </c>
      <c r="B652" t="s">
        <v>30</v>
      </c>
      <c r="C652" t="s">
        <v>21</v>
      </c>
      <c r="D652" t="s">
        <v>23</v>
      </c>
      <c r="E652" t="s">
        <v>30</v>
      </c>
      <c r="F652" t="s">
        <v>21</v>
      </c>
      <c r="G652" t="s">
        <v>23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  <c r="M652" s="3">
        <v>1</v>
      </c>
      <c r="N652" s="3">
        <v>1</v>
      </c>
      <c r="O652" s="3">
        <v>1</v>
      </c>
      <c r="P652">
        <f t="shared" si="267"/>
        <v>0</v>
      </c>
      <c r="Q652">
        <f t="shared" si="268"/>
        <v>0</v>
      </c>
      <c r="R652">
        <f t="shared" si="269"/>
        <v>0</v>
      </c>
      <c r="S652">
        <f t="shared" si="270"/>
        <v>0</v>
      </c>
      <c r="T652">
        <f t="shared" si="271"/>
        <v>0</v>
      </c>
      <c r="U652">
        <f t="shared" si="272"/>
        <v>1</v>
      </c>
      <c r="V652">
        <f t="shared" si="273"/>
        <v>0</v>
      </c>
      <c r="W652">
        <f t="shared" si="274"/>
        <v>0</v>
      </c>
      <c r="X652">
        <f t="shared" si="275"/>
        <v>0</v>
      </c>
      <c r="Y652">
        <f t="shared" si="276"/>
        <v>0</v>
      </c>
      <c r="Z652">
        <f t="shared" si="277"/>
        <v>0</v>
      </c>
      <c r="AA652">
        <f t="shared" si="278"/>
        <v>0</v>
      </c>
      <c r="AB652">
        <f t="shared" si="261"/>
        <v>0</v>
      </c>
      <c r="AC652">
        <f t="shared" si="262"/>
        <v>1</v>
      </c>
      <c r="AD652">
        <f t="shared" si="263"/>
        <v>0</v>
      </c>
      <c r="AE652">
        <f t="shared" si="264"/>
        <v>0</v>
      </c>
      <c r="AF652">
        <f t="shared" si="265"/>
        <v>1</v>
      </c>
      <c r="AG652">
        <f t="shared" si="266"/>
        <v>1</v>
      </c>
      <c r="AH652">
        <f t="shared" si="279"/>
        <v>1</v>
      </c>
      <c r="AI652">
        <f t="shared" si="283"/>
        <v>0</v>
      </c>
      <c r="AJ652">
        <f t="shared" si="283"/>
        <v>0</v>
      </c>
      <c r="AK652">
        <f t="shared" si="283"/>
        <v>0</v>
      </c>
      <c r="AL652">
        <f t="shared" si="283"/>
        <v>0</v>
      </c>
      <c r="AM652">
        <f t="shared" si="283"/>
        <v>0</v>
      </c>
      <c r="AN652">
        <f t="shared" si="283"/>
        <v>0</v>
      </c>
      <c r="AO652">
        <f t="shared" si="283"/>
        <v>0</v>
      </c>
      <c r="AP652">
        <f t="shared" si="283"/>
        <v>0</v>
      </c>
      <c r="AQ652">
        <f t="shared" si="283"/>
        <v>0</v>
      </c>
      <c r="AR652">
        <f t="shared" si="283"/>
        <v>0</v>
      </c>
      <c r="AS652">
        <f t="shared" si="283"/>
        <v>0</v>
      </c>
      <c r="AT652">
        <f t="shared" si="283"/>
        <v>0</v>
      </c>
      <c r="AU652">
        <f t="shared" si="283"/>
        <v>0</v>
      </c>
      <c r="AV652">
        <f t="shared" si="283"/>
        <v>0</v>
      </c>
      <c r="AW652">
        <f t="shared" si="283"/>
        <v>0</v>
      </c>
      <c r="AX652">
        <f t="shared" si="280"/>
        <v>0</v>
      </c>
      <c r="AY652">
        <f t="shared" si="280"/>
        <v>0</v>
      </c>
      <c r="AZ652">
        <f t="shared" si="280"/>
        <v>0</v>
      </c>
      <c r="BA652">
        <f t="shared" si="281"/>
        <v>0</v>
      </c>
      <c r="BB652">
        <f t="shared" si="282"/>
        <v>0</v>
      </c>
    </row>
    <row r="653" spans="1:54">
      <c r="A653">
        <v>650</v>
      </c>
      <c r="B653" t="s">
        <v>30</v>
      </c>
      <c r="C653" t="s">
        <v>21</v>
      </c>
      <c r="D653" t="s">
        <v>24</v>
      </c>
      <c r="E653" t="s">
        <v>30</v>
      </c>
      <c r="F653" t="s">
        <v>21</v>
      </c>
      <c r="G653" t="s">
        <v>24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  <c r="M653" s="3">
        <v>1</v>
      </c>
      <c r="N653" s="3">
        <v>1</v>
      </c>
      <c r="O653" s="3">
        <v>1</v>
      </c>
      <c r="P653">
        <f t="shared" si="267"/>
        <v>0</v>
      </c>
      <c r="Q653">
        <f t="shared" si="268"/>
        <v>0</v>
      </c>
      <c r="R653">
        <f t="shared" si="269"/>
        <v>0</v>
      </c>
      <c r="S653">
        <f t="shared" si="270"/>
        <v>0</v>
      </c>
      <c r="T653">
        <f t="shared" si="271"/>
        <v>0</v>
      </c>
      <c r="U653">
        <f t="shared" si="272"/>
        <v>0</v>
      </c>
      <c r="V653">
        <f t="shared" si="273"/>
        <v>1</v>
      </c>
      <c r="W653">
        <f t="shared" si="274"/>
        <v>0</v>
      </c>
      <c r="X653">
        <f t="shared" si="275"/>
        <v>0</v>
      </c>
      <c r="Y653">
        <f t="shared" si="276"/>
        <v>0</v>
      </c>
      <c r="Z653">
        <f t="shared" si="277"/>
        <v>0</v>
      </c>
      <c r="AA653">
        <f t="shared" si="278"/>
        <v>0</v>
      </c>
      <c r="AB653">
        <f t="shared" si="261"/>
        <v>0</v>
      </c>
      <c r="AC653">
        <f t="shared" si="262"/>
        <v>0</v>
      </c>
      <c r="AD653">
        <f t="shared" si="263"/>
        <v>1</v>
      </c>
      <c r="AE653">
        <f t="shared" si="264"/>
        <v>0</v>
      </c>
      <c r="AF653">
        <f t="shared" si="265"/>
        <v>1</v>
      </c>
      <c r="AG653">
        <f t="shared" si="266"/>
        <v>1</v>
      </c>
      <c r="AH653">
        <f t="shared" si="279"/>
        <v>1</v>
      </c>
      <c r="AI653">
        <f t="shared" si="283"/>
        <v>0</v>
      </c>
      <c r="AJ653">
        <f t="shared" si="283"/>
        <v>0</v>
      </c>
      <c r="AK653">
        <f t="shared" si="283"/>
        <v>0</v>
      </c>
      <c r="AL653">
        <f t="shared" si="283"/>
        <v>0</v>
      </c>
      <c r="AM653">
        <f t="shared" si="283"/>
        <v>0</v>
      </c>
      <c r="AN653">
        <f t="shared" si="283"/>
        <v>0</v>
      </c>
      <c r="AO653">
        <f t="shared" si="283"/>
        <v>0</v>
      </c>
      <c r="AP653">
        <f t="shared" si="283"/>
        <v>0</v>
      </c>
      <c r="AQ653">
        <f t="shared" si="283"/>
        <v>0</v>
      </c>
      <c r="AR653">
        <f t="shared" si="283"/>
        <v>0</v>
      </c>
      <c r="AS653">
        <f t="shared" si="283"/>
        <v>0</v>
      </c>
      <c r="AT653">
        <f t="shared" si="283"/>
        <v>0</v>
      </c>
      <c r="AU653">
        <f t="shared" si="283"/>
        <v>0</v>
      </c>
      <c r="AV653">
        <f t="shared" si="283"/>
        <v>0</v>
      </c>
      <c r="AW653">
        <f t="shared" si="283"/>
        <v>0</v>
      </c>
      <c r="AX653">
        <f t="shared" si="280"/>
        <v>0</v>
      </c>
      <c r="AY653">
        <f t="shared" si="280"/>
        <v>0</v>
      </c>
      <c r="AZ653">
        <f t="shared" si="280"/>
        <v>0</v>
      </c>
      <c r="BA653">
        <f t="shared" si="281"/>
        <v>0</v>
      </c>
      <c r="BB653">
        <f t="shared" si="282"/>
        <v>0</v>
      </c>
    </row>
    <row r="654" spans="1:54">
      <c r="A654">
        <v>651</v>
      </c>
      <c r="B654" t="s">
        <v>30</v>
      </c>
      <c r="C654" t="s">
        <v>21</v>
      </c>
      <c r="D654" t="s">
        <v>25</v>
      </c>
      <c r="E654" t="s">
        <v>30</v>
      </c>
      <c r="F654" t="s">
        <v>21</v>
      </c>
      <c r="G654" t="s">
        <v>25</v>
      </c>
      <c r="H654" s="3">
        <v>1</v>
      </c>
      <c r="I654" s="3">
        <v>1</v>
      </c>
      <c r="J654" s="3">
        <v>1</v>
      </c>
      <c r="K654" s="3">
        <v>1</v>
      </c>
      <c r="L654" s="3">
        <v>1</v>
      </c>
      <c r="M654" s="3">
        <v>1</v>
      </c>
      <c r="N654" s="3">
        <v>1</v>
      </c>
      <c r="O654" s="3">
        <v>1</v>
      </c>
      <c r="P654">
        <f t="shared" si="267"/>
        <v>0</v>
      </c>
      <c r="Q654">
        <f t="shared" si="268"/>
        <v>0</v>
      </c>
      <c r="R654">
        <f t="shared" si="269"/>
        <v>0</v>
      </c>
      <c r="S654">
        <f t="shared" si="270"/>
        <v>0</v>
      </c>
      <c r="T654">
        <f t="shared" si="271"/>
        <v>0</v>
      </c>
      <c r="U654">
        <f t="shared" si="272"/>
        <v>0</v>
      </c>
      <c r="V654">
        <f t="shared" si="273"/>
        <v>0</v>
      </c>
      <c r="W654">
        <f t="shared" si="274"/>
        <v>0</v>
      </c>
      <c r="X654">
        <f t="shared" si="275"/>
        <v>0</v>
      </c>
      <c r="Y654">
        <f t="shared" si="276"/>
        <v>0</v>
      </c>
      <c r="Z654">
        <f t="shared" si="277"/>
        <v>0</v>
      </c>
      <c r="AA654">
        <f t="shared" si="278"/>
        <v>0</v>
      </c>
      <c r="AB654">
        <f t="shared" si="261"/>
        <v>0</v>
      </c>
      <c r="AC654">
        <f t="shared" si="262"/>
        <v>0</v>
      </c>
      <c r="AD654">
        <f t="shared" si="263"/>
        <v>0</v>
      </c>
      <c r="AE654">
        <f t="shared" si="264"/>
        <v>1</v>
      </c>
      <c r="AF654">
        <f t="shared" si="265"/>
        <v>1</v>
      </c>
      <c r="AG654">
        <f t="shared" si="266"/>
        <v>1</v>
      </c>
      <c r="AH654">
        <f t="shared" si="279"/>
        <v>1</v>
      </c>
      <c r="AI654">
        <f t="shared" si="283"/>
        <v>0</v>
      </c>
      <c r="AJ654">
        <f t="shared" si="283"/>
        <v>0</v>
      </c>
      <c r="AK654">
        <f t="shared" si="283"/>
        <v>0</v>
      </c>
      <c r="AL654">
        <f t="shared" si="283"/>
        <v>0</v>
      </c>
      <c r="AM654">
        <f t="shared" si="283"/>
        <v>0</v>
      </c>
      <c r="AN654">
        <f t="shared" si="283"/>
        <v>0</v>
      </c>
      <c r="AO654">
        <f t="shared" si="283"/>
        <v>0</v>
      </c>
      <c r="AP654">
        <f t="shared" si="283"/>
        <v>0</v>
      </c>
      <c r="AQ654">
        <f t="shared" si="283"/>
        <v>0</v>
      </c>
      <c r="AR654">
        <f t="shared" si="283"/>
        <v>0</v>
      </c>
      <c r="AS654">
        <f t="shared" si="283"/>
        <v>0</v>
      </c>
      <c r="AT654">
        <f t="shared" si="283"/>
        <v>0</v>
      </c>
      <c r="AU654">
        <f t="shared" si="283"/>
        <v>0</v>
      </c>
      <c r="AV654">
        <f t="shared" si="283"/>
        <v>0</v>
      </c>
      <c r="AW654">
        <f t="shared" si="283"/>
        <v>0</v>
      </c>
      <c r="AX654">
        <f t="shared" si="280"/>
        <v>0</v>
      </c>
      <c r="AY654">
        <f t="shared" si="280"/>
        <v>0</v>
      </c>
      <c r="AZ654">
        <f t="shared" si="280"/>
        <v>0</v>
      </c>
      <c r="BA654">
        <f t="shared" si="281"/>
        <v>0</v>
      </c>
      <c r="BB654">
        <f t="shared" si="282"/>
        <v>0</v>
      </c>
    </row>
    <row r="655" spans="1:54">
      <c r="A655">
        <v>652</v>
      </c>
      <c r="B655" t="s">
        <v>30</v>
      </c>
      <c r="C655" t="s">
        <v>21</v>
      </c>
      <c r="D655" t="s">
        <v>26</v>
      </c>
      <c r="E655" t="s">
        <v>30</v>
      </c>
      <c r="F655" t="s">
        <v>21</v>
      </c>
      <c r="G655" t="s">
        <v>26</v>
      </c>
      <c r="H655" s="3">
        <v>1</v>
      </c>
      <c r="I655" s="3">
        <v>1</v>
      </c>
      <c r="J655" s="3">
        <v>1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>
        <f t="shared" si="267"/>
        <v>0</v>
      </c>
      <c r="Q655">
        <f t="shared" si="268"/>
        <v>0</v>
      </c>
      <c r="R655">
        <f t="shared" si="269"/>
        <v>0</v>
      </c>
      <c r="S655">
        <f t="shared" si="270"/>
        <v>0</v>
      </c>
      <c r="T655">
        <f t="shared" si="271"/>
        <v>0</v>
      </c>
      <c r="U655">
        <f t="shared" si="272"/>
        <v>0</v>
      </c>
      <c r="V655">
        <f t="shared" si="273"/>
        <v>0</v>
      </c>
      <c r="W655">
        <f t="shared" si="274"/>
        <v>0</v>
      </c>
      <c r="X655">
        <f t="shared" si="275"/>
        <v>0</v>
      </c>
      <c r="Y655">
        <f t="shared" si="276"/>
        <v>0</v>
      </c>
      <c r="Z655">
        <f t="shared" si="277"/>
        <v>0</v>
      </c>
      <c r="AA655">
        <f t="shared" si="278"/>
        <v>0</v>
      </c>
      <c r="AB655">
        <f t="shared" si="261"/>
        <v>0</v>
      </c>
      <c r="AC655">
        <f t="shared" si="262"/>
        <v>0</v>
      </c>
      <c r="AD655">
        <f t="shared" si="263"/>
        <v>0</v>
      </c>
      <c r="AE655">
        <f t="shared" si="264"/>
        <v>1</v>
      </c>
      <c r="AF655">
        <f t="shared" si="265"/>
        <v>1</v>
      </c>
      <c r="AG655">
        <f t="shared" si="266"/>
        <v>1</v>
      </c>
      <c r="AH655">
        <f t="shared" si="279"/>
        <v>1</v>
      </c>
      <c r="AI655">
        <f t="shared" si="283"/>
        <v>0</v>
      </c>
      <c r="AJ655">
        <f t="shared" si="283"/>
        <v>0</v>
      </c>
      <c r="AK655">
        <f t="shared" si="283"/>
        <v>0</v>
      </c>
      <c r="AL655">
        <f t="shared" si="283"/>
        <v>0</v>
      </c>
      <c r="AM655">
        <f t="shared" si="283"/>
        <v>0</v>
      </c>
      <c r="AN655">
        <f t="shared" si="283"/>
        <v>0</v>
      </c>
      <c r="AO655">
        <f t="shared" si="283"/>
        <v>0</v>
      </c>
      <c r="AP655">
        <f t="shared" si="283"/>
        <v>0</v>
      </c>
      <c r="AQ655">
        <f t="shared" si="283"/>
        <v>0</v>
      </c>
      <c r="AR655">
        <f t="shared" si="283"/>
        <v>0</v>
      </c>
      <c r="AS655">
        <f t="shared" si="283"/>
        <v>0</v>
      </c>
      <c r="AT655">
        <f t="shared" si="283"/>
        <v>0</v>
      </c>
      <c r="AU655">
        <f t="shared" si="283"/>
        <v>0</v>
      </c>
      <c r="AV655">
        <f t="shared" si="283"/>
        <v>0</v>
      </c>
      <c r="AW655">
        <f t="shared" si="283"/>
        <v>0</v>
      </c>
      <c r="AX655">
        <f t="shared" si="280"/>
        <v>0</v>
      </c>
      <c r="AY655">
        <f t="shared" si="280"/>
        <v>0</v>
      </c>
      <c r="AZ655">
        <f t="shared" si="280"/>
        <v>0</v>
      </c>
      <c r="BA655">
        <f t="shared" si="281"/>
        <v>0</v>
      </c>
      <c r="BB655">
        <f t="shared" si="282"/>
        <v>0</v>
      </c>
    </row>
    <row r="656" spans="1:54">
      <c r="A656">
        <v>653</v>
      </c>
      <c r="B656" t="s">
        <v>30</v>
      </c>
      <c r="C656" t="s">
        <v>21</v>
      </c>
      <c r="D656" t="s">
        <v>27</v>
      </c>
      <c r="E656" t="s">
        <v>30</v>
      </c>
      <c r="F656" t="s">
        <v>21</v>
      </c>
      <c r="G656" t="s">
        <v>27</v>
      </c>
      <c r="H656" s="3">
        <v>1</v>
      </c>
      <c r="I656" s="3">
        <v>1</v>
      </c>
      <c r="J656" s="3">
        <v>1</v>
      </c>
      <c r="K656" s="3">
        <v>1</v>
      </c>
      <c r="L656" s="3">
        <v>1</v>
      </c>
      <c r="M656" s="3">
        <v>1</v>
      </c>
      <c r="N656" s="3">
        <v>1</v>
      </c>
      <c r="O656" s="3">
        <v>1</v>
      </c>
      <c r="P656">
        <f t="shared" si="267"/>
        <v>0</v>
      </c>
      <c r="Q656">
        <f t="shared" si="268"/>
        <v>0</v>
      </c>
      <c r="R656">
        <f t="shared" si="269"/>
        <v>0</v>
      </c>
      <c r="S656">
        <f t="shared" si="270"/>
        <v>0</v>
      </c>
      <c r="T656">
        <f t="shared" si="271"/>
        <v>0</v>
      </c>
      <c r="U656">
        <f t="shared" si="272"/>
        <v>0</v>
      </c>
      <c r="V656">
        <f t="shared" si="273"/>
        <v>0</v>
      </c>
      <c r="W656">
        <f t="shared" si="274"/>
        <v>1</v>
      </c>
      <c r="X656">
        <f t="shared" si="275"/>
        <v>0</v>
      </c>
      <c r="Y656">
        <f t="shared" si="276"/>
        <v>0</v>
      </c>
      <c r="Z656">
        <f t="shared" si="277"/>
        <v>0</v>
      </c>
      <c r="AA656">
        <f t="shared" si="278"/>
        <v>0</v>
      </c>
      <c r="AB656">
        <f t="shared" si="261"/>
        <v>0</v>
      </c>
      <c r="AC656">
        <f t="shared" si="262"/>
        <v>0</v>
      </c>
      <c r="AD656">
        <f t="shared" si="263"/>
        <v>1</v>
      </c>
      <c r="AE656">
        <f t="shared" si="264"/>
        <v>0</v>
      </c>
      <c r="AF656">
        <f t="shared" si="265"/>
        <v>1</v>
      </c>
      <c r="AG656">
        <f t="shared" si="266"/>
        <v>1</v>
      </c>
      <c r="AH656">
        <f t="shared" si="279"/>
        <v>1</v>
      </c>
      <c r="AI656">
        <f t="shared" si="283"/>
        <v>0</v>
      </c>
      <c r="AJ656">
        <f t="shared" si="283"/>
        <v>0</v>
      </c>
      <c r="AK656">
        <f t="shared" si="283"/>
        <v>0</v>
      </c>
      <c r="AL656">
        <f t="shared" si="283"/>
        <v>0</v>
      </c>
      <c r="AM656">
        <f t="shared" si="283"/>
        <v>0</v>
      </c>
      <c r="AN656">
        <f t="shared" si="283"/>
        <v>0</v>
      </c>
      <c r="AO656">
        <f t="shared" si="283"/>
        <v>0</v>
      </c>
      <c r="AP656">
        <f t="shared" si="283"/>
        <v>0</v>
      </c>
      <c r="AQ656">
        <f t="shared" si="283"/>
        <v>0</v>
      </c>
      <c r="AR656">
        <f t="shared" si="283"/>
        <v>0</v>
      </c>
      <c r="AS656">
        <f t="shared" si="283"/>
        <v>0</v>
      </c>
      <c r="AT656">
        <f t="shared" si="283"/>
        <v>0</v>
      </c>
      <c r="AU656">
        <f t="shared" si="283"/>
        <v>0</v>
      </c>
      <c r="AV656">
        <f t="shared" si="283"/>
        <v>0</v>
      </c>
      <c r="AW656">
        <f t="shared" si="283"/>
        <v>0</v>
      </c>
      <c r="AX656">
        <f t="shared" si="280"/>
        <v>0</v>
      </c>
      <c r="AY656">
        <f t="shared" si="280"/>
        <v>0</v>
      </c>
      <c r="AZ656">
        <f t="shared" si="280"/>
        <v>0</v>
      </c>
      <c r="BA656">
        <f t="shared" si="281"/>
        <v>0</v>
      </c>
      <c r="BB656">
        <f t="shared" si="282"/>
        <v>0</v>
      </c>
    </row>
    <row r="657" spans="1:54">
      <c r="A657">
        <v>654</v>
      </c>
      <c r="B657" t="s">
        <v>30</v>
      </c>
      <c r="C657" t="s">
        <v>28</v>
      </c>
      <c r="D657" t="s">
        <v>22</v>
      </c>
      <c r="E657" t="s">
        <v>30</v>
      </c>
      <c r="F657" t="s">
        <v>28</v>
      </c>
      <c r="G657" t="s">
        <v>22</v>
      </c>
      <c r="H657" s="3">
        <v>1</v>
      </c>
      <c r="I657" s="3">
        <v>1</v>
      </c>
      <c r="J657" s="3">
        <v>1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>
        <f t="shared" si="267"/>
        <v>1</v>
      </c>
      <c r="Q657">
        <f t="shared" si="268"/>
        <v>0</v>
      </c>
      <c r="R657">
        <f t="shared" si="269"/>
        <v>0</v>
      </c>
      <c r="S657">
        <f t="shared" si="270"/>
        <v>0</v>
      </c>
      <c r="T657">
        <f t="shared" si="271"/>
        <v>0</v>
      </c>
      <c r="U657">
        <f t="shared" si="272"/>
        <v>0</v>
      </c>
      <c r="V657">
        <f t="shared" si="273"/>
        <v>0</v>
      </c>
      <c r="W657">
        <f t="shared" si="274"/>
        <v>0</v>
      </c>
      <c r="X657">
        <f t="shared" si="275"/>
        <v>0</v>
      </c>
      <c r="Y657">
        <f t="shared" si="276"/>
        <v>0</v>
      </c>
      <c r="Z657">
        <f t="shared" si="277"/>
        <v>0</v>
      </c>
      <c r="AA657">
        <f t="shared" si="278"/>
        <v>0</v>
      </c>
      <c r="AB657">
        <f t="shared" si="261"/>
        <v>0</v>
      </c>
      <c r="AC657">
        <f t="shared" si="262"/>
        <v>1</v>
      </c>
      <c r="AD657">
        <f t="shared" si="263"/>
        <v>0</v>
      </c>
      <c r="AE657">
        <f t="shared" si="264"/>
        <v>0</v>
      </c>
      <c r="AF657">
        <f t="shared" si="265"/>
        <v>1</v>
      </c>
      <c r="AG657">
        <f t="shared" si="266"/>
        <v>1</v>
      </c>
      <c r="AH657">
        <f t="shared" si="279"/>
        <v>1</v>
      </c>
      <c r="AI657">
        <f t="shared" si="283"/>
        <v>0</v>
      </c>
      <c r="AJ657">
        <f t="shared" si="283"/>
        <v>0</v>
      </c>
      <c r="AK657">
        <f t="shared" si="283"/>
        <v>0</v>
      </c>
      <c r="AL657">
        <f t="shared" si="283"/>
        <v>0</v>
      </c>
      <c r="AM657">
        <f t="shared" si="283"/>
        <v>0</v>
      </c>
      <c r="AN657">
        <f t="shared" si="283"/>
        <v>0</v>
      </c>
      <c r="AO657">
        <f t="shared" si="283"/>
        <v>0</v>
      </c>
      <c r="AP657">
        <f t="shared" si="283"/>
        <v>0</v>
      </c>
      <c r="AQ657">
        <f t="shared" si="283"/>
        <v>0</v>
      </c>
      <c r="AR657">
        <f t="shared" si="283"/>
        <v>0</v>
      </c>
      <c r="AS657">
        <f t="shared" si="283"/>
        <v>0</v>
      </c>
      <c r="AT657">
        <f t="shared" si="283"/>
        <v>0</v>
      </c>
      <c r="AU657">
        <f t="shared" si="283"/>
        <v>0</v>
      </c>
      <c r="AV657">
        <f t="shared" si="283"/>
        <v>0</v>
      </c>
      <c r="AW657">
        <f t="shared" si="283"/>
        <v>0</v>
      </c>
      <c r="AX657">
        <f t="shared" si="280"/>
        <v>0</v>
      </c>
      <c r="AY657">
        <f t="shared" si="280"/>
        <v>0</v>
      </c>
      <c r="AZ657">
        <f t="shared" si="280"/>
        <v>0</v>
      </c>
      <c r="BA657">
        <f t="shared" si="281"/>
        <v>0</v>
      </c>
      <c r="BB657">
        <f t="shared" si="282"/>
        <v>0</v>
      </c>
    </row>
    <row r="658" spans="1:54">
      <c r="A658">
        <v>655</v>
      </c>
      <c r="B658" t="s">
        <v>30</v>
      </c>
      <c r="C658" t="s">
        <v>28</v>
      </c>
      <c r="D658" t="s">
        <v>23</v>
      </c>
      <c r="E658" t="s">
        <v>30</v>
      </c>
      <c r="F658" t="s">
        <v>28</v>
      </c>
      <c r="G658" t="s">
        <v>23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  <c r="M658" s="3">
        <v>1</v>
      </c>
      <c r="N658" s="3">
        <v>1</v>
      </c>
      <c r="O658" s="3">
        <v>1</v>
      </c>
      <c r="P658">
        <f t="shared" si="267"/>
        <v>0</v>
      </c>
      <c r="Q658">
        <f t="shared" si="268"/>
        <v>1</v>
      </c>
      <c r="R658">
        <f t="shared" si="269"/>
        <v>0</v>
      </c>
      <c r="S658">
        <f t="shared" si="270"/>
        <v>0</v>
      </c>
      <c r="T658">
        <f t="shared" si="271"/>
        <v>0</v>
      </c>
      <c r="U658">
        <f t="shared" si="272"/>
        <v>0</v>
      </c>
      <c r="V658">
        <f t="shared" si="273"/>
        <v>0</v>
      </c>
      <c r="W658">
        <f t="shared" si="274"/>
        <v>0</v>
      </c>
      <c r="X658">
        <f t="shared" si="275"/>
        <v>0</v>
      </c>
      <c r="Y658">
        <f t="shared" si="276"/>
        <v>0</v>
      </c>
      <c r="Z658">
        <f t="shared" si="277"/>
        <v>0</v>
      </c>
      <c r="AA658">
        <f t="shared" si="278"/>
        <v>0</v>
      </c>
      <c r="AB658">
        <f t="shared" si="261"/>
        <v>0</v>
      </c>
      <c r="AC658">
        <f t="shared" si="262"/>
        <v>1</v>
      </c>
      <c r="AD658">
        <f t="shared" si="263"/>
        <v>0</v>
      </c>
      <c r="AE658">
        <f t="shared" si="264"/>
        <v>0</v>
      </c>
      <c r="AF658">
        <f t="shared" si="265"/>
        <v>1</v>
      </c>
      <c r="AG658">
        <f t="shared" si="266"/>
        <v>1</v>
      </c>
      <c r="AH658">
        <f t="shared" si="279"/>
        <v>1</v>
      </c>
      <c r="AI658">
        <f t="shared" si="283"/>
        <v>0</v>
      </c>
      <c r="AJ658">
        <f t="shared" si="283"/>
        <v>0</v>
      </c>
      <c r="AK658">
        <f t="shared" si="283"/>
        <v>0</v>
      </c>
      <c r="AL658">
        <f t="shared" si="283"/>
        <v>0</v>
      </c>
      <c r="AM658">
        <f t="shared" si="283"/>
        <v>0</v>
      </c>
      <c r="AN658">
        <f t="shared" si="283"/>
        <v>0</v>
      </c>
      <c r="AO658">
        <f t="shared" si="283"/>
        <v>0</v>
      </c>
      <c r="AP658">
        <f t="shared" si="283"/>
        <v>0</v>
      </c>
      <c r="AQ658">
        <f t="shared" si="283"/>
        <v>0</v>
      </c>
      <c r="AR658">
        <f t="shared" si="283"/>
        <v>0</v>
      </c>
      <c r="AS658">
        <f t="shared" si="283"/>
        <v>0</v>
      </c>
      <c r="AT658">
        <f t="shared" si="283"/>
        <v>0</v>
      </c>
      <c r="AU658">
        <f t="shared" si="283"/>
        <v>0</v>
      </c>
      <c r="AV658">
        <f t="shared" si="283"/>
        <v>0</v>
      </c>
      <c r="AW658">
        <f t="shared" si="283"/>
        <v>0</v>
      </c>
      <c r="AX658">
        <f t="shared" si="280"/>
        <v>0</v>
      </c>
      <c r="AY658">
        <f t="shared" si="280"/>
        <v>0</v>
      </c>
      <c r="AZ658">
        <f t="shared" si="280"/>
        <v>0</v>
      </c>
      <c r="BA658">
        <f t="shared" si="281"/>
        <v>0</v>
      </c>
      <c r="BB658">
        <f t="shared" si="282"/>
        <v>0</v>
      </c>
    </row>
    <row r="659" spans="1:54">
      <c r="A659">
        <v>656</v>
      </c>
      <c r="B659" t="s">
        <v>30</v>
      </c>
      <c r="C659" t="s">
        <v>28</v>
      </c>
      <c r="D659" t="s">
        <v>24</v>
      </c>
      <c r="E659" t="s">
        <v>30</v>
      </c>
      <c r="F659" t="s">
        <v>28</v>
      </c>
      <c r="G659" t="s">
        <v>24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  <c r="M659" s="3">
        <v>1</v>
      </c>
      <c r="N659" s="3">
        <v>1</v>
      </c>
      <c r="O659" s="3">
        <v>1</v>
      </c>
      <c r="P659">
        <f t="shared" si="267"/>
        <v>0</v>
      </c>
      <c r="Q659">
        <f t="shared" si="268"/>
        <v>0</v>
      </c>
      <c r="R659">
        <f t="shared" si="269"/>
        <v>1</v>
      </c>
      <c r="S659">
        <f t="shared" si="270"/>
        <v>0</v>
      </c>
      <c r="T659">
        <f t="shared" si="271"/>
        <v>0</v>
      </c>
      <c r="U659">
        <f t="shared" si="272"/>
        <v>0</v>
      </c>
      <c r="V659">
        <f t="shared" si="273"/>
        <v>0</v>
      </c>
      <c r="W659">
        <f t="shared" si="274"/>
        <v>0</v>
      </c>
      <c r="X659">
        <f t="shared" si="275"/>
        <v>0</v>
      </c>
      <c r="Y659">
        <f t="shared" si="276"/>
        <v>0</v>
      </c>
      <c r="Z659">
        <f t="shared" si="277"/>
        <v>0</v>
      </c>
      <c r="AA659">
        <f t="shared" si="278"/>
        <v>0</v>
      </c>
      <c r="AB659">
        <f t="shared" si="261"/>
        <v>0</v>
      </c>
      <c r="AC659">
        <f t="shared" si="262"/>
        <v>0</v>
      </c>
      <c r="AD659">
        <f t="shared" si="263"/>
        <v>1</v>
      </c>
      <c r="AE659">
        <f t="shared" si="264"/>
        <v>0</v>
      </c>
      <c r="AF659">
        <f t="shared" si="265"/>
        <v>1</v>
      </c>
      <c r="AG659">
        <f t="shared" si="266"/>
        <v>1</v>
      </c>
      <c r="AH659">
        <f t="shared" si="279"/>
        <v>1</v>
      </c>
      <c r="AI659">
        <f t="shared" si="283"/>
        <v>0</v>
      </c>
      <c r="AJ659">
        <f t="shared" si="283"/>
        <v>0</v>
      </c>
      <c r="AK659">
        <f t="shared" si="283"/>
        <v>0</v>
      </c>
      <c r="AL659">
        <f t="shared" si="283"/>
        <v>0</v>
      </c>
      <c r="AM659">
        <f t="shared" si="283"/>
        <v>0</v>
      </c>
      <c r="AN659">
        <f t="shared" si="283"/>
        <v>0</v>
      </c>
      <c r="AO659">
        <f t="shared" si="283"/>
        <v>0</v>
      </c>
      <c r="AP659">
        <f t="shared" si="283"/>
        <v>0</v>
      </c>
      <c r="AQ659">
        <f t="shared" si="283"/>
        <v>0</v>
      </c>
      <c r="AR659">
        <f t="shared" si="283"/>
        <v>0</v>
      </c>
      <c r="AS659">
        <f t="shared" si="283"/>
        <v>0</v>
      </c>
      <c r="AT659">
        <f t="shared" si="283"/>
        <v>0</v>
      </c>
      <c r="AU659">
        <f t="shared" si="283"/>
        <v>0</v>
      </c>
      <c r="AV659">
        <f t="shared" si="283"/>
        <v>0</v>
      </c>
      <c r="AW659">
        <f t="shared" si="283"/>
        <v>0</v>
      </c>
      <c r="AX659">
        <f t="shared" si="280"/>
        <v>0</v>
      </c>
      <c r="AY659">
        <f t="shared" si="280"/>
        <v>0</v>
      </c>
      <c r="AZ659">
        <f t="shared" si="280"/>
        <v>0</v>
      </c>
      <c r="BA659">
        <f t="shared" si="281"/>
        <v>0</v>
      </c>
      <c r="BB659">
        <f t="shared" si="282"/>
        <v>0</v>
      </c>
    </row>
    <row r="660" spans="1:54">
      <c r="A660">
        <v>657</v>
      </c>
      <c r="B660" t="s">
        <v>30</v>
      </c>
      <c r="C660" t="s">
        <v>28</v>
      </c>
      <c r="D660" t="s">
        <v>25</v>
      </c>
      <c r="E660" t="s">
        <v>30</v>
      </c>
      <c r="F660" t="s">
        <v>28</v>
      </c>
      <c r="G660" t="s">
        <v>25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>
        <f t="shared" si="267"/>
        <v>0</v>
      </c>
      <c r="Q660">
        <f t="shared" si="268"/>
        <v>0</v>
      </c>
      <c r="R660">
        <f t="shared" si="269"/>
        <v>0</v>
      </c>
      <c r="S660">
        <f t="shared" si="270"/>
        <v>0</v>
      </c>
      <c r="T660">
        <f t="shared" si="271"/>
        <v>0</v>
      </c>
      <c r="U660">
        <f t="shared" si="272"/>
        <v>0</v>
      </c>
      <c r="V660">
        <f t="shared" si="273"/>
        <v>0</v>
      </c>
      <c r="W660">
        <f t="shared" si="274"/>
        <v>0</v>
      </c>
      <c r="X660">
        <f t="shared" si="275"/>
        <v>0</v>
      </c>
      <c r="Y660">
        <f t="shared" si="276"/>
        <v>0</v>
      </c>
      <c r="Z660">
        <f t="shared" si="277"/>
        <v>0</v>
      </c>
      <c r="AA660">
        <f t="shared" si="278"/>
        <v>0</v>
      </c>
      <c r="AB660">
        <f t="shared" si="261"/>
        <v>0</v>
      </c>
      <c r="AC660">
        <f t="shared" si="262"/>
        <v>0</v>
      </c>
      <c r="AD660">
        <f t="shared" si="263"/>
        <v>0</v>
      </c>
      <c r="AE660">
        <f t="shared" si="264"/>
        <v>1</v>
      </c>
      <c r="AF660">
        <f t="shared" si="265"/>
        <v>1</v>
      </c>
      <c r="AG660">
        <f t="shared" si="266"/>
        <v>1</v>
      </c>
      <c r="AH660">
        <f t="shared" si="279"/>
        <v>1</v>
      </c>
      <c r="AI660">
        <f t="shared" si="283"/>
        <v>0</v>
      </c>
      <c r="AJ660">
        <f t="shared" si="283"/>
        <v>0</v>
      </c>
      <c r="AK660">
        <f t="shared" si="283"/>
        <v>0</v>
      </c>
      <c r="AL660">
        <f t="shared" si="283"/>
        <v>0</v>
      </c>
      <c r="AM660">
        <f t="shared" si="283"/>
        <v>0</v>
      </c>
      <c r="AN660">
        <f t="shared" si="283"/>
        <v>0</v>
      </c>
      <c r="AO660">
        <f t="shared" si="283"/>
        <v>0</v>
      </c>
      <c r="AP660">
        <f t="shared" si="283"/>
        <v>0</v>
      </c>
      <c r="AQ660">
        <f t="shared" si="283"/>
        <v>0</v>
      </c>
      <c r="AR660">
        <f t="shared" si="283"/>
        <v>0</v>
      </c>
      <c r="AS660">
        <f t="shared" si="283"/>
        <v>0</v>
      </c>
      <c r="AT660">
        <f t="shared" si="283"/>
        <v>0</v>
      </c>
      <c r="AU660">
        <f t="shared" si="283"/>
        <v>0</v>
      </c>
      <c r="AV660">
        <f t="shared" si="283"/>
        <v>0</v>
      </c>
      <c r="AW660">
        <f t="shared" si="283"/>
        <v>0</v>
      </c>
      <c r="AX660">
        <f t="shared" si="280"/>
        <v>0</v>
      </c>
      <c r="AY660">
        <f t="shared" si="280"/>
        <v>0</v>
      </c>
      <c r="AZ660">
        <f t="shared" si="280"/>
        <v>0</v>
      </c>
      <c r="BA660">
        <f t="shared" si="281"/>
        <v>0</v>
      </c>
      <c r="BB660">
        <f t="shared" si="282"/>
        <v>0</v>
      </c>
    </row>
    <row r="661" spans="1:54">
      <c r="A661">
        <v>658</v>
      </c>
      <c r="B661" t="s">
        <v>30</v>
      </c>
      <c r="C661" t="s">
        <v>28</v>
      </c>
      <c r="D661" t="s">
        <v>26</v>
      </c>
      <c r="E661" t="s">
        <v>30</v>
      </c>
      <c r="F661" t="s">
        <v>28</v>
      </c>
      <c r="G661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1</v>
      </c>
      <c r="M661" s="3">
        <v>1</v>
      </c>
      <c r="N661" s="3">
        <v>1</v>
      </c>
      <c r="O661" s="3">
        <v>1</v>
      </c>
      <c r="P661">
        <f t="shared" si="267"/>
        <v>0</v>
      </c>
      <c r="Q661">
        <f t="shared" si="268"/>
        <v>0</v>
      </c>
      <c r="R661">
        <f t="shared" si="269"/>
        <v>0</v>
      </c>
      <c r="S661">
        <f t="shared" si="270"/>
        <v>0</v>
      </c>
      <c r="T661">
        <f t="shared" si="271"/>
        <v>0</v>
      </c>
      <c r="U661">
        <f t="shared" si="272"/>
        <v>0</v>
      </c>
      <c r="V661">
        <f t="shared" si="273"/>
        <v>0</v>
      </c>
      <c r="W661">
        <f t="shared" si="274"/>
        <v>0</v>
      </c>
      <c r="X661">
        <f t="shared" si="275"/>
        <v>0</v>
      </c>
      <c r="Y661">
        <f t="shared" si="276"/>
        <v>0</v>
      </c>
      <c r="Z661">
        <f t="shared" si="277"/>
        <v>0</v>
      </c>
      <c r="AA661">
        <f t="shared" si="278"/>
        <v>0</v>
      </c>
      <c r="AB661">
        <f t="shared" si="261"/>
        <v>0</v>
      </c>
      <c r="AC661">
        <f t="shared" si="262"/>
        <v>0</v>
      </c>
      <c r="AD661">
        <f t="shared" si="263"/>
        <v>0</v>
      </c>
      <c r="AE661">
        <f t="shared" si="264"/>
        <v>1</v>
      </c>
      <c r="AF661">
        <f t="shared" si="265"/>
        <v>1</v>
      </c>
      <c r="AG661">
        <f t="shared" si="266"/>
        <v>1</v>
      </c>
      <c r="AH661">
        <f t="shared" si="279"/>
        <v>1</v>
      </c>
      <c r="AI661">
        <f t="shared" si="283"/>
        <v>0</v>
      </c>
      <c r="AJ661">
        <f t="shared" si="283"/>
        <v>0</v>
      </c>
      <c r="AK661">
        <f t="shared" si="283"/>
        <v>0</v>
      </c>
      <c r="AL661">
        <f t="shared" si="283"/>
        <v>0</v>
      </c>
      <c r="AM661">
        <f t="shared" si="283"/>
        <v>0</v>
      </c>
      <c r="AN661">
        <f t="shared" si="283"/>
        <v>0</v>
      </c>
      <c r="AO661">
        <f t="shared" si="283"/>
        <v>0</v>
      </c>
      <c r="AP661">
        <f t="shared" si="283"/>
        <v>0</v>
      </c>
      <c r="AQ661">
        <f t="shared" si="283"/>
        <v>0</v>
      </c>
      <c r="AR661">
        <f t="shared" si="283"/>
        <v>0</v>
      </c>
      <c r="AS661">
        <f t="shared" si="283"/>
        <v>0</v>
      </c>
      <c r="AT661">
        <f t="shared" si="283"/>
        <v>0</v>
      </c>
      <c r="AU661">
        <f t="shared" si="283"/>
        <v>0</v>
      </c>
      <c r="AV661">
        <f t="shared" si="283"/>
        <v>0</v>
      </c>
      <c r="AW661">
        <f t="shared" si="283"/>
        <v>0</v>
      </c>
      <c r="AX661">
        <f t="shared" si="280"/>
        <v>0</v>
      </c>
      <c r="AY661">
        <f t="shared" si="280"/>
        <v>0</v>
      </c>
      <c r="AZ661">
        <f t="shared" si="280"/>
        <v>0</v>
      </c>
      <c r="BA661">
        <f t="shared" si="281"/>
        <v>0</v>
      </c>
      <c r="BB661">
        <f t="shared" si="282"/>
        <v>0</v>
      </c>
    </row>
    <row r="662" spans="1:54">
      <c r="A662">
        <v>659</v>
      </c>
      <c r="B662" t="s">
        <v>30</v>
      </c>
      <c r="C662" t="s">
        <v>28</v>
      </c>
      <c r="D662" t="s">
        <v>27</v>
      </c>
      <c r="E662" t="s">
        <v>30</v>
      </c>
      <c r="F662" t="s">
        <v>28</v>
      </c>
      <c r="G662" t="s">
        <v>27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  <c r="M662" s="3">
        <v>1</v>
      </c>
      <c r="N662" s="3">
        <v>1</v>
      </c>
      <c r="O662" s="3">
        <v>1</v>
      </c>
      <c r="P662">
        <f t="shared" si="267"/>
        <v>0</v>
      </c>
      <c r="Q662">
        <f t="shared" si="268"/>
        <v>0</v>
      </c>
      <c r="R662">
        <f t="shared" si="269"/>
        <v>0</v>
      </c>
      <c r="S662">
        <f t="shared" si="270"/>
        <v>1</v>
      </c>
      <c r="T662">
        <f t="shared" si="271"/>
        <v>0</v>
      </c>
      <c r="U662">
        <f t="shared" si="272"/>
        <v>0</v>
      </c>
      <c r="V662">
        <f t="shared" si="273"/>
        <v>0</v>
      </c>
      <c r="W662">
        <f t="shared" si="274"/>
        <v>0</v>
      </c>
      <c r="X662">
        <f t="shared" si="275"/>
        <v>0</v>
      </c>
      <c r="Y662">
        <f t="shared" si="276"/>
        <v>0</v>
      </c>
      <c r="Z662">
        <f t="shared" si="277"/>
        <v>0</v>
      </c>
      <c r="AA662">
        <f t="shared" si="278"/>
        <v>0</v>
      </c>
      <c r="AB662">
        <f t="shared" si="261"/>
        <v>0</v>
      </c>
      <c r="AC662">
        <f t="shared" si="262"/>
        <v>0</v>
      </c>
      <c r="AD662">
        <f t="shared" si="263"/>
        <v>1</v>
      </c>
      <c r="AE662">
        <f t="shared" si="264"/>
        <v>0</v>
      </c>
      <c r="AF662">
        <f t="shared" si="265"/>
        <v>1</v>
      </c>
      <c r="AG662">
        <f t="shared" si="266"/>
        <v>1</v>
      </c>
      <c r="AH662">
        <f t="shared" si="279"/>
        <v>1</v>
      </c>
      <c r="AI662">
        <f t="shared" si="283"/>
        <v>0</v>
      </c>
      <c r="AJ662">
        <f t="shared" si="283"/>
        <v>0</v>
      </c>
      <c r="AK662">
        <f t="shared" si="283"/>
        <v>0</v>
      </c>
      <c r="AL662">
        <f t="shared" si="283"/>
        <v>0</v>
      </c>
      <c r="AM662">
        <f t="shared" si="283"/>
        <v>0</v>
      </c>
      <c r="AN662">
        <f t="shared" si="283"/>
        <v>0</v>
      </c>
      <c r="AO662">
        <f t="shared" si="283"/>
        <v>0</v>
      </c>
      <c r="AP662">
        <f t="shared" si="283"/>
        <v>0</v>
      </c>
      <c r="AQ662">
        <f t="shared" si="283"/>
        <v>0</v>
      </c>
      <c r="AR662">
        <f t="shared" si="283"/>
        <v>0</v>
      </c>
      <c r="AS662">
        <f t="shared" si="283"/>
        <v>0</v>
      </c>
      <c r="AT662">
        <f t="shared" si="283"/>
        <v>0</v>
      </c>
      <c r="AU662">
        <f t="shared" si="283"/>
        <v>0</v>
      </c>
      <c r="AV662">
        <f t="shared" si="283"/>
        <v>0</v>
      </c>
      <c r="AW662">
        <f t="shared" si="283"/>
        <v>0</v>
      </c>
      <c r="AX662">
        <f t="shared" si="280"/>
        <v>0</v>
      </c>
      <c r="AY662">
        <f t="shared" si="280"/>
        <v>0</v>
      </c>
      <c r="AZ662">
        <f t="shared" si="280"/>
        <v>0</v>
      </c>
      <c r="BA662">
        <f t="shared" si="281"/>
        <v>0</v>
      </c>
      <c r="BB662">
        <f t="shared" si="282"/>
        <v>0</v>
      </c>
    </row>
    <row r="663" spans="1:54">
      <c r="A663">
        <v>660</v>
      </c>
      <c r="B663" t="s">
        <v>30</v>
      </c>
      <c r="C663" t="s">
        <v>29</v>
      </c>
      <c r="D663" t="s">
        <v>22</v>
      </c>
      <c r="E663" t="s">
        <v>30</v>
      </c>
      <c r="F663" t="s">
        <v>29</v>
      </c>
      <c r="G663" t="s">
        <v>22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1</v>
      </c>
      <c r="N663" s="3">
        <v>1</v>
      </c>
      <c r="O663" s="3">
        <v>1</v>
      </c>
      <c r="P663">
        <f t="shared" si="267"/>
        <v>0</v>
      </c>
      <c r="Q663">
        <f t="shared" si="268"/>
        <v>0</v>
      </c>
      <c r="R663">
        <f t="shared" si="269"/>
        <v>0</v>
      </c>
      <c r="S663">
        <f t="shared" si="270"/>
        <v>0</v>
      </c>
      <c r="T663">
        <f t="shared" si="271"/>
        <v>0</v>
      </c>
      <c r="U663">
        <f t="shared" si="272"/>
        <v>0</v>
      </c>
      <c r="V663">
        <f t="shared" si="273"/>
        <v>0</v>
      </c>
      <c r="W663">
        <f t="shared" si="274"/>
        <v>0</v>
      </c>
      <c r="X663">
        <f t="shared" si="275"/>
        <v>1</v>
      </c>
      <c r="Y663">
        <f t="shared" si="276"/>
        <v>0</v>
      </c>
      <c r="Z663">
        <f t="shared" si="277"/>
        <v>0</v>
      </c>
      <c r="AA663">
        <f t="shared" si="278"/>
        <v>0</v>
      </c>
      <c r="AB663">
        <f t="shared" si="261"/>
        <v>1</v>
      </c>
      <c r="AC663">
        <f t="shared" si="262"/>
        <v>1</v>
      </c>
      <c r="AD663">
        <f t="shared" si="263"/>
        <v>0</v>
      </c>
      <c r="AE663">
        <f t="shared" si="264"/>
        <v>0</v>
      </c>
      <c r="AF663">
        <f t="shared" si="265"/>
        <v>1</v>
      </c>
      <c r="AG663">
        <f t="shared" si="266"/>
        <v>1</v>
      </c>
      <c r="AH663">
        <f t="shared" si="279"/>
        <v>1</v>
      </c>
      <c r="AI663">
        <f t="shared" si="283"/>
        <v>0</v>
      </c>
      <c r="AJ663">
        <f t="shared" si="283"/>
        <v>0</v>
      </c>
      <c r="AK663">
        <f t="shared" si="283"/>
        <v>0</v>
      </c>
      <c r="AL663">
        <f t="shared" si="283"/>
        <v>0</v>
      </c>
      <c r="AM663">
        <f t="shared" si="283"/>
        <v>0</v>
      </c>
      <c r="AN663">
        <f t="shared" si="283"/>
        <v>0</v>
      </c>
      <c r="AO663">
        <f t="shared" si="283"/>
        <v>0</v>
      </c>
      <c r="AP663">
        <f t="shared" si="283"/>
        <v>0</v>
      </c>
      <c r="AQ663">
        <f t="shared" si="283"/>
        <v>0</v>
      </c>
      <c r="AR663">
        <f t="shared" si="283"/>
        <v>0</v>
      </c>
      <c r="AS663">
        <f t="shared" si="283"/>
        <v>0</v>
      </c>
      <c r="AT663">
        <f t="shared" si="283"/>
        <v>0</v>
      </c>
      <c r="AU663">
        <f t="shared" si="283"/>
        <v>0</v>
      </c>
      <c r="AV663">
        <f t="shared" si="283"/>
        <v>0</v>
      </c>
      <c r="AW663">
        <f t="shared" si="283"/>
        <v>0</v>
      </c>
      <c r="AX663">
        <f t="shared" si="280"/>
        <v>0</v>
      </c>
      <c r="AY663">
        <f t="shared" si="280"/>
        <v>0</v>
      </c>
      <c r="AZ663">
        <f t="shared" si="280"/>
        <v>0</v>
      </c>
      <c r="BA663">
        <f t="shared" si="281"/>
        <v>0</v>
      </c>
      <c r="BB663">
        <f t="shared" si="282"/>
        <v>1</v>
      </c>
    </row>
    <row r="664" spans="1:54">
      <c r="A664">
        <v>661</v>
      </c>
      <c r="B664" t="s">
        <v>30</v>
      </c>
      <c r="C664" t="s">
        <v>29</v>
      </c>
      <c r="D664" t="s">
        <v>23</v>
      </c>
      <c r="E664" t="s">
        <v>30</v>
      </c>
      <c r="F664" t="s">
        <v>29</v>
      </c>
      <c r="G664" t="s">
        <v>23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  <c r="M664" s="3">
        <v>1</v>
      </c>
      <c r="N664" s="3">
        <v>1</v>
      </c>
      <c r="O664" s="3">
        <v>1</v>
      </c>
      <c r="P664">
        <f t="shared" si="267"/>
        <v>0</v>
      </c>
      <c r="Q664">
        <f t="shared" si="268"/>
        <v>0</v>
      </c>
      <c r="R664">
        <f t="shared" si="269"/>
        <v>0</v>
      </c>
      <c r="S664">
        <f t="shared" si="270"/>
        <v>0</v>
      </c>
      <c r="T664">
        <f t="shared" si="271"/>
        <v>0</v>
      </c>
      <c r="U664">
        <f t="shared" si="272"/>
        <v>0</v>
      </c>
      <c r="V664">
        <f t="shared" si="273"/>
        <v>0</v>
      </c>
      <c r="W664">
        <f t="shared" si="274"/>
        <v>0</v>
      </c>
      <c r="X664">
        <f t="shared" si="275"/>
        <v>0</v>
      </c>
      <c r="Y664">
        <f t="shared" si="276"/>
        <v>1</v>
      </c>
      <c r="Z664">
        <f t="shared" si="277"/>
        <v>0</v>
      </c>
      <c r="AA664">
        <f t="shared" si="278"/>
        <v>0</v>
      </c>
      <c r="AB664">
        <f t="shared" si="261"/>
        <v>0</v>
      </c>
      <c r="AC664">
        <f t="shared" si="262"/>
        <v>1</v>
      </c>
      <c r="AD664">
        <f t="shared" si="263"/>
        <v>0</v>
      </c>
      <c r="AE664">
        <f t="shared" si="264"/>
        <v>0</v>
      </c>
      <c r="AF664">
        <f t="shared" si="265"/>
        <v>1</v>
      </c>
      <c r="AG664">
        <f t="shared" si="266"/>
        <v>1</v>
      </c>
      <c r="AH664">
        <f t="shared" si="279"/>
        <v>1</v>
      </c>
      <c r="AI664">
        <f t="shared" ref="AI664:AW668" si="284">IF(OR(AND($D664=AI$1,$G664=AI$2),AND($D664=AI$2,$G664=AI$1)),1,0)</f>
        <v>0</v>
      </c>
      <c r="AJ664">
        <f t="shared" si="284"/>
        <v>0</v>
      </c>
      <c r="AK664">
        <f t="shared" si="284"/>
        <v>0</v>
      </c>
      <c r="AL664">
        <f t="shared" si="284"/>
        <v>0</v>
      </c>
      <c r="AM664">
        <f t="shared" si="284"/>
        <v>0</v>
      </c>
      <c r="AN664">
        <f t="shared" si="284"/>
        <v>0</v>
      </c>
      <c r="AO664">
        <f t="shared" si="284"/>
        <v>0</v>
      </c>
      <c r="AP664">
        <f t="shared" si="284"/>
        <v>0</v>
      </c>
      <c r="AQ664">
        <f t="shared" si="284"/>
        <v>0</v>
      </c>
      <c r="AR664">
        <f t="shared" si="284"/>
        <v>0</v>
      </c>
      <c r="AS664">
        <f t="shared" si="284"/>
        <v>0</v>
      </c>
      <c r="AT664">
        <f t="shared" si="284"/>
        <v>0</v>
      </c>
      <c r="AU664">
        <f t="shared" si="284"/>
        <v>0</v>
      </c>
      <c r="AV664">
        <f t="shared" si="284"/>
        <v>0</v>
      </c>
      <c r="AW664">
        <f t="shared" si="284"/>
        <v>0</v>
      </c>
      <c r="AX664">
        <f t="shared" si="280"/>
        <v>0</v>
      </c>
      <c r="AY664">
        <f t="shared" si="280"/>
        <v>0</v>
      </c>
      <c r="AZ664">
        <f t="shared" si="280"/>
        <v>0</v>
      </c>
      <c r="BA664">
        <f t="shared" si="281"/>
        <v>0</v>
      </c>
      <c r="BB664">
        <f t="shared" si="282"/>
        <v>1</v>
      </c>
    </row>
    <row r="665" spans="1:54">
      <c r="A665">
        <v>662</v>
      </c>
      <c r="B665" t="s">
        <v>30</v>
      </c>
      <c r="C665" t="s">
        <v>29</v>
      </c>
      <c r="D665" t="s">
        <v>24</v>
      </c>
      <c r="E665" t="s">
        <v>30</v>
      </c>
      <c r="F665" t="s">
        <v>29</v>
      </c>
      <c r="G665" t="s">
        <v>24</v>
      </c>
      <c r="H665" s="3">
        <v>1</v>
      </c>
      <c r="I665" s="3">
        <v>1</v>
      </c>
      <c r="J665" s="3">
        <v>1</v>
      </c>
      <c r="K665" s="3">
        <v>1</v>
      </c>
      <c r="L665" s="3">
        <v>1</v>
      </c>
      <c r="M665" s="3">
        <v>1</v>
      </c>
      <c r="N665" s="3">
        <v>1</v>
      </c>
      <c r="O665" s="3">
        <v>1</v>
      </c>
      <c r="P665">
        <f t="shared" si="267"/>
        <v>0</v>
      </c>
      <c r="Q665">
        <f t="shared" si="268"/>
        <v>0</v>
      </c>
      <c r="R665">
        <f t="shared" si="269"/>
        <v>0</v>
      </c>
      <c r="S665">
        <f t="shared" si="270"/>
        <v>0</v>
      </c>
      <c r="T665">
        <f t="shared" si="271"/>
        <v>0</v>
      </c>
      <c r="U665">
        <f t="shared" si="272"/>
        <v>0</v>
      </c>
      <c r="V665">
        <f t="shared" si="273"/>
        <v>0</v>
      </c>
      <c r="W665">
        <f t="shared" si="274"/>
        <v>0</v>
      </c>
      <c r="X665">
        <f t="shared" si="275"/>
        <v>0</v>
      </c>
      <c r="Y665">
        <f t="shared" si="276"/>
        <v>0</v>
      </c>
      <c r="Z665">
        <f t="shared" si="277"/>
        <v>0</v>
      </c>
      <c r="AA665">
        <f t="shared" si="278"/>
        <v>1</v>
      </c>
      <c r="AB665">
        <f t="shared" si="261"/>
        <v>0</v>
      </c>
      <c r="AC665">
        <f t="shared" si="262"/>
        <v>0</v>
      </c>
      <c r="AD665">
        <f t="shared" si="263"/>
        <v>1</v>
      </c>
      <c r="AE665">
        <f t="shared" si="264"/>
        <v>0</v>
      </c>
      <c r="AF665">
        <f t="shared" si="265"/>
        <v>1</v>
      </c>
      <c r="AG665">
        <f t="shared" si="266"/>
        <v>1</v>
      </c>
      <c r="AH665">
        <f t="shared" si="279"/>
        <v>1</v>
      </c>
      <c r="AI665">
        <f t="shared" si="284"/>
        <v>0</v>
      </c>
      <c r="AJ665">
        <f t="shared" si="284"/>
        <v>0</v>
      </c>
      <c r="AK665">
        <f t="shared" si="284"/>
        <v>0</v>
      </c>
      <c r="AL665">
        <f t="shared" si="284"/>
        <v>0</v>
      </c>
      <c r="AM665">
        <f t="shared" si="284"/>
        <v>0</v>
      </c>
      <c r="AN665">
        <f t="shared" si="284"/>
        <v>0</v>
      </c>
      <c r="AO665">
        <f t="shared" si="284"/>
        <v>0</v>
      </c>
      <c r="AP665">
        <f t="shared" si="284"/>
        <v>0</v>
      </c>
      <c r="AQ665">
        <f t="shared" si="284"/>
        <v>0</v>
      </c>
      <c r="AR665">
        <f t="shared" si="284"/>
        <v>0</v>
      </c>
      <c r="AS665">
        <f t="shared" si="284"/>
        <v>0</v>
      </c>
      <c r="AT665">
        <f t="shared" si="284"/>
        <v>0</v>
      </c>
      <c r="AU665">
        <f t="shared" si="284"/>
        <v>0</v>
      </c>
      <c r="AV665">
        <f t="shared" si="284"/>
        <v>0</v>
      </c>
      <c r="AW665">
        <f t="shared" si="284"/>
        <v>0</v>
      </c>
      <c r="AX665">
        <f t="shared" si="280"/>
        <v>0</v>
      </c>
      <c r="AY665">
        <f t="shared" si="280"/>
        <v>0</v>
      </c>
      <c r="AZ665">
        <f t="shared" si="280"/>
        <v>0</v>
      </c>
      <c r="BA665">
        <f t="shared" si="281"/>
        <v>0</v>
      </c>
      <c r="BB665">
        <f t="shared" si="282"/>
        <v>1</v>
      </c>
    </row>
    <row r="666" spans="1:54">
      <c r="A666">
        <v>663</v>
      </c>
      <c r="B666" t="s">
        <v>30</v>
      </c>
      <c r="C666" t="s">
        <v>29</v>
      </c>
      <c r="D666" t="s">
        <v>31</v>
      </c>
      <c r="E666" t="s">
        <v>30</v>
      </c>
      <c r="F666" t="s">
        <v>29</v>
      </c>
      <c r="G666" t="s">
        <v>31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  <c r="M666" s="3">
        <v>1</v>
      </c>
      <c r="N666" s="3">
        <v>1</v>
      </c>
      <c r="O666" s="3">
        <v>1</v>
      </c>
      <c r="P666">
        <f t="shared" si="267"/>
        <v>0</v>
      </c>
      <c r="Q666">
        <f t="shared" si="268"/>
        <v>0</v>
      </c>
      <c r="R666">
        <f t="shared" si="269"/>
        <v>0</v>
      </c>
      <c r="S666">
        <f t="shared" si="270"/>
        <v>0</v>
      </c>
      <c r="T666">
        <f t="shared" si="271"/>
        <v>0</v>
      </c>
      <c r="U666">
        <f t="shared" si="272"/>
        <v>0</v>
      </c>
      <c r="V666">
        <f t="shared" si="273"/>
        <v>0</v>
      </c>
      <c r="W666">
        <f t="shared" si="274"/>
        <v>0</v>
      </c>
      <c r="X666">
        <f t="shared" si="275"/>
        <v>0</v>
      </c>
      <c r="Y666">
        <f t="shared" si="276"/>
        <v>0</v>
      </c>
      <c r="Z666">
        <f t="shared" si="277"/>
        <v>1</v>
      </c>
      <c r="AA666">
        <f t="shared" si="278"/>
        <v>0</v>
      </c>
      <c r="AB666">
        <f t="shared" si="261"/>
        <v>0</v>
      </c>
      <c r="AC666">
        <f t="shared" si="262"/>
        <v>1</v>
      </c>
      <c r="AD666">
        <f t="shared" si="263"/>
        <v>0</v>
      </c>
      <c r="AE666">
        <f t="shared" si="264"/>
        <v>0</v>
      </c>
      <c r="AF666">
        <f t="shared" si="265"/>
        <v>1</v>
      </c>
      <c r="AG666">
        <f t="shared" si="266"/>
        <v>1</v>
      </c>
      <c r="AH666">
        <f t="shared" si="279"/>
        <v>1</v>
      </c>
      <c r="AI666">
        <f t="shared" si="284"/>
        <v>0</v>
      </c>
      <c r="AJ666">
        <f t="shared" si="284"/>
        <v>0</v>
      </c>
      <c r="AK666">
        <f t="shared" si="284"/>
        <v>0</v>
      </c>
      <c r="AL666">
        <f t="shared" si="284"/>
        <v>0</v>
      </c>
      <c r="AM666">
        <f t="shared" si="284"/>
        <v>0</v>
      </c>
      <c r="AN666">
        <f t="shared" si="284"/>
        <v>0</v>
      </c>
      <c r="AO666">
        <f t="shared" si="284"/>
        <v>0</v>
      </c>
      <c r="AP666">
        <f t="shared" si="284"/>
        <v>0</v>
      </c>
      <c r="AQ666">
        <f t="shared" si="284"/>
        <v>0</v>
      </c>
      <c r="AR666">
        <f t="shared" si="284"/>
        <v>0</v>
      </c>
      <c r="AS666">
        <f t="shared" si="284"/>
        <v>0</v>
      </c>
      <c r="AT666">
        <f t="shared" si="284"/>
        <v>0</v>
      </c>
      <c r="AU666">
        <f t="shared" si="284"/>
        <v>0</v>
      </c>
      <c r="AV666">
        <f t="shared" si="284"/>
        <v>0</v>
      </c>
      <c r="AW666">
        <f t="shared" si="284"/>
        <v>0</v>
      </c>
      <c r="AX666">
        <f t="shared" si="280"/>
        <v>0</v>
      </c>
      <c r="AY666">
        <f t="shared" si="280"/>
        <v>0</v>
      </c>
      <c r="AZ666">
        <f t="shared" si="280"/>
        <v>0</v>
      </c>
      <c r="BA666">
        <f t="shared" si="281"/>
        <v>0</v>
      </c>
      <c r="BB666">
        <f t="shared" si="282"/>
        <v>1</v>
      </c>
    </row>
    <row r="667" spans="1:54">
      <c r="A667">
        <v>664</v>
      </c>
      <c r="B667" t="s">
        <v>30</v>
      </c>
      <c r="C667" t="s">
        <v>29</v>
      </c>
      <c r="D667" t="s">
        <v>25</v>
      </c>
      <c r="E667" t="s">
        <v>30</v>
      </c>
      <c r="F667" t="s">
        <v>29</v>
      </c>
      <c r="G667" t="s">
        <v>25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  <c r="M667" s="3">
        <v>1</v>
      </c>
      <c r="N667" s="3">
        <v>1</v>
      </c>
      <c r="O667" s="3">
        <v>1</v>
      </c>
      <c r="P667">
        <f t="shared" si="267"/>
        <v>0</v>
      </c>
      <c r="Q667">
        <f t="shared" si="268"/>
        <v>0</v>
      </c>
      <c r="R667">
        <f t="shared" si="269"/>
        <v>0</v>
      </c>
      <c r="S667">
        <f t="shared" si="270"/>
        <v>0</v>
      </c>
      <c r="T667">
        <f t="shared" si="271"/>
        <v>0</v>
      </c>
      <c r="U667">
        <f t="shared" si="272"/>
        <v>0</v>
      </c>
      <c r="V667">
        <f t="shared" si="273"/>
        <v>0</v>
      </c>
      <c r="W667">
        <f t="shared" si="274"/>
        <v>0</v>
      </c>
      <c r="X667">
        <f t="shared" si="275"/>
        <v>0</v>
      </c>
      <c r="Y667">
        <f t="shared" si="276"/>
        <v>0</v>
      </c>
      <c r="Z667">
        <f t="shared" si="277"/>
        <v>0</v>
      </c>
      <c r="AA667">
        <f t="shared" si="278"/>
        <v>0</v>
      </c>
      <c r="AB667">
        <f t="shared" si="261"/>
        <v>0</v>
      </c>
      <c r="AC667">
        <f t="shared" si="262"/>
        <v>0</v>
      </c>
      <c r="AD667">
        <f t="shared" si="263"/>
        <v>0</v>
      </c>
      <c r="AE667">
        <f t="shared" si="264"/>
        <v>1</v>
      </c>
      <c r="AF667">
        <f t="shared" si="265"/>
        <v>1</v>
      </c>
      <c r="AG667">
        <f t="shared" si="266"/>
        <v>1</v>
      </c>
      <c r="AH667">
        <f t="shared" si="279"/>
        <v>1</v>
      </c>
      <c r="AI667">
        <f t="shared" si="284"/>
        <v>0</v>
      </c>
      <c r="AJ667">
        <f t="shared" si="284"/>
        <v>0</v>
      </c>
      <c r="AK667">
        <f t="shared" si="284"/>
        <v>0</v>
      </c>
      <c r="AL667">
        <f t="shared" si="284"/>
        <v>0</v>
      </c>
      <c r="AM667">
        <f t="shared" si="284"/>
        <v>0</v>
      </c>
      <c r="AN667">
        <f t="shared" si="284"/>
        <v>0</v>
      </c>
      <c r="AO667">
        <f t="shared" si="284"/>
        <v>0</v>
      </c>
      <c r="AP667">
        <f t="shared" si="284"/>
        <v>0</v>
      </c>
      <c r="AQ667">
        <f t="shared" si="284"/>
        <v>0</v>
      </c>
      <c r="AR667">
        <f t="shared" si="284"/>
        <v>0</v>
      </c>
      <c r="AS667">
        <f t="shared" si="284"/>
        <v>0</v>
      </c>
      <c r="AT667">
        <f t="shared" si="284"/>
        <v>0</v>
      </c>
      <c r="AU667">
        <f t="shared" si="284"/>
        <v>0</v>
      </c>
      <c r="AV667">
        <f t="shared" si="284"/>
        <v>0</v>
      </c>
      <c r="AW667">
        <f t="shared" si="284"/>
        <v>0</v>
      </c>
      <c r="AX667">
        <f t="shared" si="280"/>
        <v>0</v>
      </c>
      <c r="AY667">
        <f t="shared" si="280"/>
        <v>0</v>
      </c>
      <c r="AZ667">
        <f t="shared" si="280"/>
        <v>0</v>
      </c>
      <c r="BA667">
        <f t="shared" si="281"/>
        <v>0</v>
      </c>
      <c r="BB667">
        <f t="shared" si="282"/>
        <v>1</v>
      </c>
    </row>
    <row r="668" spans="1:54">
      <c r="A668">
        <v>665</v>
      </c>
      <c r="B668" t="s">
        <v>30</v>
      </c>
      <c r="C668" t="s">
        <v>29</v>
      </c>
      <c r="D668" t="s">
        <v>26</v>
      </c>
      <c r="E668" t="s">
        <v>30</v>
      </c>
      <c r="F668" t="s">
        <v>29</v>
      </c>
      <c r="G668" t="s">
        <v>26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  <c r="M668" s="3">
        <v>1</v>
      </c>
      <c r="N668" s="3">
        <v>1</v>
      </c>
      <c r="O668" s="3">
        <v>1</v>
      </c>
      <c r="P668">
        <f t="shared" si="267"/>
        <v>0</v>
      </c>
      <c r="Q668">
        <f t="shared" si="268"/>
        <v>0</v>
      </c>
      <c r="R668">
        <f t="shared" si="269"/>
        <v>0</v>
      </c>
      <c r="S668">
        <f t="shared" si="270"/>
        <v>0</v>
      </c>
      <c r="T668">
        <f t="shared" si="271"/>
        <v>0</v>
      </c>
      <c r="U668">
        <f t="shared" si="272"/>
        <v>0</v>
      </c>
      <c r="V668">
        <f t="shared" si="273"/>
        <v>0</v>
      </c>
      <c r="W668">
        <f t="shared" si="274"/>
        <v>0</v>
      </c>
      <c r="X668">
        <f t="shared" si="275"/>
        <v>0</v>
      </c>
      <c r="Y668">
        <f t="shared" si="276"/>
        <v>0</v>
      </c>
      <c r="Z668">
        <f t="shared" si="277"/>
        <v>0</v>
      </c>
      <c r="AA668">
        <f t="shared" si="278"/>
        <v>0</v>
      </c>
      <c r="AB668">
        <f t="shared" si="261"/>
        <v>0</v>
      </c>
      <c r="AC668">
        <f t="shared" si="262"/>
        <v>0</v>
      </c>
      <c r="AD668">
        <f t="shared" si="263"/>
        <v>0</v>
      </c>
      <c r="AE668">
        <f t="shared" si="264"/>
        <v>1</v>
      </c>
      <c r="AF668">
        <f t="shared" si="265"/>
        <v>1</v>
      </c>
      <c r="AG668">
        <f t="shared" si="266"/>
        <v>1</v>
      </c>
      <c r="AH668">
        <f t="shared" si="279"/>
        <v>1</v>
      </c>
      <c r="AI668">
        <f t="shared" si="284"/>
        <v>0</v>
      </c>
      <c r="AJ668">
        <f t="shared" si="284"/>
        <v>0</v>
      </c>
      <c r="AK668">
        <f t="shared" si="284"/>
        <v>0</v>
      </c>
      <c r="AL668">
        <f t="shared" si="284"/>
        <v>0</v>
      </c>
      <c r="AM668">
        <f t="shared" si="284"/>
        <v>0</v>
      </c>
      <c r="AN668">
        <f t="shared" si="284"/>
        <v>0</v>
      </c>
      <c r="AO668">
        <f t="shared" si="284"/>
        <v>0</v>
      </c>
      <c r="AP668">
        <f t="shared" si="284"/>
        <v>0</v>
      </c>
      <c r="AQ668">
        <f t="shared" si="284"/>
        <v>0</v>
      </c>
      <c r="AR668">
        <f t="shared" si="284"/>
        <v>0</v>
      </c>
      <c r="AS668">
        <f t="shared" si="284"/>
        <v>0</v>
      </c>
      <c r="AT668">
        <f t="shared" si="284"/>
        <v>0</v>
      </c>
      <c r="AU668">
        <f t="shared" si="284"/>
        <v>0</v>
      </c>
      <c r="AV668">
        <f t="shared" si="284"/>
        <v>0</v>
      </c>
      <c r="AW668">
        <f t="shared" si="284"/>
        <v>0</v>
      </c>
      <c r="AX668">
        <f t="shared" si="280"/>
        <v>0</v>
      </c>
      <c r="AY668">
        <f t="shared" si="280"/>
        <v>0</v>
      </c>
      <c r="AZ668">
        <f t="shared" si="280"/>
        <v>0</v>
      </c>
      <c r="BA668">
        <f t="shared" si="281"/>
        <v>0</v>
      </c>
      <c r="BB668">
        <f t="shared" si="282"/>
        <v>1</v>
      </c>
    </row>
  </sheetData>
  <autoFilter ref="A2:BB668" xr:uid="{3E387A17-CCD6-C24E-907A-7038F6F0AE3C}"/>
  <sortState xmlns:xlrd2="http://schemas.microsoft.com/office/spreadsheetml/2017/richdata2" ref="A3:O669">
    <sortCondition ref="A3:A669"/>
  </sortState>
  <phoneticPr fontId="18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FB55-2938-F04A-B315-89C17609BD0B}">
  <dimension ref="A1:M22"/>
  <sheetViews>
    <sheetView zoomScale="150" workbookViewId="0"/>
  </sheetViews>
  <sheetFormatPr baseColWidth="10" defaultRowHeight="20"/>
  <sheetData>
    <row r="1" spans="1:13">
      <c r="A1" t="s">
        <v>63</v>
      </c>
      <c r="B1" t="s">
        <v>69</v>
      </c>
      <c r="C1" t="s">
        <v>68</v>
      </c>
      <c r="D1" t="s">
        <v>64</v>
      </c>
      <c r="E1" t="s">
        <v>75</v>
      </c>
      <c r="F1" t="s">
        <v>72</v>
      </c>
      <c r="G1" t="s">
        <v>73</v>
      </c>
      <c r="H1" t="s">
        <v>65</v>
      </c>
      <c r="I1" t="s">
        <v>76</v>
      </c>
      <c r="J1" t="s">
        <v>63</v>
      </c>
      <c r="K1" t="s">
        <v>74</v>
      </c>
      <c r="L1" t="s">
        <v>67</v>
      </c>
      <c r="M1" t="s">
        <v>66</v>
      </c>
    </row>
    <row r="2" spans="1:13">
      <c r="A2" t="s">
        <v>70</v>
      </c>
      <c r="B2">
        <f>AVERAGEIFS(whole_data!$H$3:$H$668,whole_data!$X$3:$X$668, 1, whole_data!P$3:P$668,1)</f>
        <v>2.7900948697558325E-2</v>
      </c>
      <c r="C2">
        <f>AVERAGEIFS(whole_data!$H$3:$H$668,whole_data!$X$3:$X$668, 1, whole_data!Q$3:Q$668,1)</f>
        <v>3.1838590369865305E-2</v>
      </c>
      <c r="D2">
        <f>AVERAGEIFS(whole_data!$H$3:$H$668,whole_data!$X$3:$X$668, 1, whole_data!R$3:R$668,1)</f>
        <v>0.74131269453620152</v>
      </c>
      <c r="E2">
        <f>AVERAGEIFS(whole_data!$H$3:$H$668,whole_data!$X$3:$X$668, 1, whole_data!S$3:S$668,1)</f>
        <v>0.337566524887842</v>
      </c>
      <c r="F2">
        <f>AVERAGEIFS(whole_data!$H$3:$H$668,whole_data!$X$3:$X$668, 1, whole_data!T$3:T$668,1)</f>
        <v>2.6136202630702078E-2</v>
      </c>
      <c r="G2">
        <f>AVERAGEIFS(whole_data!$H$3:$H$668,whole_data!$X$3:$X$668, 1, whole_data!U$3:U$668,1)</f>
        <v>2.7782281159779078E-2</v>
      </c>
      <c r="H2">
        <f>AVERAGEIFS(whole_data!$H$3:$H$668,whole_data!$X$3:$X$668, 1, whole_data!V$3:V$668,1)</f>
        <v>0.74111737210718565</v>
      </c>
      <c r="I2">
        <f>AVERAGEIFS(whole_data!$H$3:$H$668,whole_data!$X$3:$X$668, 1, whole_data!W$3:W$668,1)</f>
        <v>0.2834880794176165</v>
      </c>
      <c r="J2">
        <f>AVERAGEIFS(whole_data!$H$3:$H$668,whole_data!$X$3:$X$668, 1, whole_data!X$3:X$668,1)</f>
        <v>0.35800343550300601</v>
      </c>
      <c r="K2">
        <f>AVERAGEIFS(whole_data!$H$3:$H$668,whole_data!$X$3:$X$668, 1, whole_data!Y$3:Y$668,1)</f>
        <v>4.3944983901658671E-2</v>
      </c>
      <c r="L2">
        <f>AVERAGEIFS(whole_data!$H$3:$H$668,whole_data!$X$3:$X$668, 1, whole_data!Z$3:Z$668,1)</f>
        <v>5.4468837851747449E-2</v>
      </c>
      <c r="M2">
        <f>AVERAGEIFS(whole_data!$H$3:$H$668,whole_data!$X$3:$X$668, 1, whole_data!AA$3:AA$668,1)</f>
        <v>0.70943280571883149</v>
      </c>
    </row>
    <row r="3" spans="1:13">
      <c r="A3" t="s">
        <v>71</v>
      </c>
      <c r="B3">
        <f>AVERAGEIFS(whole_data!$I$3:$I$668,whole_data!$X$3:$X$668, 1, whole_data!P$3:P$668,1)</f>
        <v>2.8027076596669951E-2</v>
      </c>
      <c r="C3">
        <f>AVERAGEIFS(whole_data!$I$3:$I$668,whole_data!$X$3:$X$668, 1, whole_data!Q$3:Q$668,1)</f>
        <v>3.1525279659878724E-2</v>
      </c>
      <c r="D3">
        <f>AVERAGEIFS(whole_data!$I$3:$I$668,whole_data!$X$3:$X$668, 1, whole_data!R$3:R$668,1)</f>
        <v>0.71763886680788769</v>
      </c>
      <c r="E3">
        <f>AVERAGEIFS(whole_data!$I$3:$I$668,whole_data!$X$3:$X$668, 1, whole_data!S$3:S$668,1)</f>
        <v>0.32607675505556999</v>
      </c>
      <c r="F3">
        <f>AVERAGEIFS(whole_data!$I$3:$I$668,whole_data!$X$3:$X$668, 1, whole_data!T$3:T$668,1)</f>
        <v>2.5900058374098527E-2</v>
      </c>
      <c r="G3">
        <f>AVERAGEIFS(whole_data!$I$3:$I$668,whole_data!$X$3:$X$668, 1, whole_data!U$3:U$668,1)</f>
        <v>2.7118354291876749E-2</v>
      </c>
      <c r="H3">
        <f>AVERAGEIFS(whole_data!$I$3:$I$668,whole_data!$X$3:$X$668, 1, whole_data!V$3:V$668,1)</f>
        <v>0.72365834153963005</v>
      </c>
      <c r="I3">
        <f>AVERAGEIFS(whole_data!$I$3:$I$668,whole_data!$X$3:$X$668, 1, whole_data!W$3:W$668,1)</f>
        <v>0.27258933288190151</v>
      </c>
      <c r="J3">
        <f>AVERAGEIFS(whole_data!$I$3:$I$668,whole_data!$X$3:$X$668, 1, whole_data!X$3:X$668,1)</f>
        <v>0.34711962099882054</v>
      </c>
      <c r="K3">
        <f>AVERAGEIFS(whole_data!$I$3:$I$668,whole_data!$X$3:$X$668, 1, whole_data!Y$3:Y$668,1)</f>
        <v>4.3388571307255798E-2</v>
      </c>
      <c r="L3">
        <f>AVERAGEIFS(whole_data!$I$3:$I$668,whole_data!$X$3:$X$668, 1, whole_data!Z$3:Z$668,1)</f>
        <v>5.3019939264036794E-2</v>
      </c>
      <c r="M3">
        <f>AVERAGEIFS(whole_data!$I$3:$I$668,whole_data!$X$3:$X$668, 1, whole_data!AA$3:AA$668,1)</f>
        <v>0.67368242431416203</v>
      </c>
    </row>
    <row r="4" spans="1:13">
      <c r="A4" t="s">
        <v>77</v>
      </c>
      <c r="B4">
        <f>AVERAGEIFS(whole_data!$J$3:$J$668,whole_data!$X$3:$X$668, 1, whole_data!P$3:P$668,1)</f>
        <v>2.4195770196173923E-2</v>
      </c>
      <c r="C4">
        <f>AVERAGEIFS(whole_data!$J$3:$J$668,whole_data!$X$3:$X$668, 1, whole_data!Q$3:Q$668,1)</f>
        <v>2.7296759751339598E-2</v>
      </c>
      <c r="D4">
        <f>AVERAGEIFS(whole_data!$J$3:$J$668,whole_data!$X$3:$X$668, 1, whole_data!R$3:R$668,1)</f>
        <v>0.5541018327397107</v>
      </c>
      <c r="E4">
        <f>AVERAGEIFS(whole_data!$J$3:$J$668,whole_data!$X$3:$X$668, 1, whole_data!S$3:S$668,1)</f>
        <v>0.28144134186939473</v>
      </c>
      <c r="F4">
        <f>AVERAGEIFS(whole_data!$J$3:$J$668,whole_data!$X$3:$X$668, 1, whole_data!T$3:T$668,1)</f>
        <v>2.2701279867365521E-2</v>
      </c>
      <c r="G4">
        <f>AVERAGEIFS(whole_data!$J$3:$J$668,whole_data!$X$3:$X$668, 1, whole_data!U$3:U$668,1)</f>
        <v>2.3638255669715325E-2</v>
      </c>
      <c r="H4">
        <f>AVERAGEIFS(whole_data!$J$3:$J$668,whole_data!$X$3:$X$668, 1, whole_data!V$3:V$668,1)</f>
        <v>0.55507835001309191</v>
      </c>
      <c r="I4">
        <f>AVERAGEIFS(whole_data!$J$3:$J$668,whole_data!$X$3:$X$668, 1, whole_data!W$3:W$668,1)</f>
        <v>0.239464798567633</v>
      </c>
      <c r="J4">
        <f>AVERAGEIFS(whole_data!$J$3:$J$668,whole_data!$X$3:$X$668, 1, whole_data!X$3:X$668,1)</f>
        <v>0.29277857348731412</v>
      </c>
      <c r="K4">
        <f>AVERAGEIFS(whole_data!$J$3:$J$668,whole_data!$X$3:$X$668, 1, whole_data!Y$3:Y$668,1)</f>
        <v>3.7907933934929319E-2</v>
      </c>
      <c r="L4">
        <f>AVERAGEIFS(whole_data!$J$3:$J$668,whole_data!$X$3:$X$668, 1, whole_data!Z$3:Z$668,1)</f>
        <v>4.8858892243270627E-2</v>
      </c>
      <c r="M4">
        <f>AVERAGEIFS(whole_data!$J$3:$J$668,whole_data!$X$3:$X$668, 1, whole_data!AA$3:AA$668,1)</f>
        <v>0.53660155338472748</v>
      </c>
    </row>
    <row r="5" spans="1:13">
      <c r="A5" t="s">
        <v>78</v>
      </c>
      <c r="B5">
        <f>AVERAGEIFS(whole_data!$K$3:$K$668,whole_data!$X$3:$X$668, 1, whole_data!P$3:P$668,1)</f>
        <v>2.6663825720387172E-2</v>
      </c>
      <c r="C5">
        <f>AVERAGEIFS(whole_data!$K$3:$K$668,whole_data!$X$3:$X$668, 1, whole_data!Q$3:Q$668,1)</f>
        <v>2.9575910766553901E-2</v>
      </c>
      <c r="D5">
        <f>AVERAGEIFS(whole_data!$K$3:$K$668,whole_data!$X$3:$X$668, 1, whole_data!R$3:R$668,1)</f>
        <v>0.61186141485814094</v>
      </c>
      <c r="E5">
        <f>AVERAGEIFS(whole_data!$K$3:$K$668,whole_data!$X$3:$X$668, 1, whole_data!S$3:S$668,1)</f>
        <v>0.28558518142797895</v>
      </c>
      <c r="F5">
        <f>AVERAGEIFS(whole_data!$K$3:$K$668,whole_data!$X$3:$X$668, 1, whole_data!T$3:T$668,1)</f>
        <v>2.4694049887313371E-2</v>
      </c>
      <c r="G5">
        <f>AVERAGEIFS(whole_data!$K$3:$K$668,whole_data!$X$3:$X$668, 1, whole_data!U$3:U$668,1)</f>
        <v>2.5360018853475073E-2</v>
      </c>
      <c r="H5">
        <f>AVERAGEIFS(whole_data!$K$3:$K$668,whole_data!$X$3:$X$668, 1, whole_data!V$3:V$668,1)</f>
        <v>0.61806734015644149</v>
      </c>
      <c r="I5">
        <f>AVERAGEIFS(whole_data!$K$3:$K$668,whole_data!$X$3:$X$668, 1, whole_data!W$3:W$668,1)</f>
        <v>0.24135752028101376</v>
      </c>
      <c r="J5">
        <f>AVERAGEIFS(whole_data!$K$3:$K$668,whole_data!$X$3:$X$668, 1, whole_data!X$3:X$668,1)</f>
        <v>0.30748074787005958</v>
      </c>
      <c r="K5">
        <f>AVERAGEIFS(whole_data!$K$3:$K$668,whole_data!$X$3:$X$668, 1, whole_data!Y$3:Y$668,1)</f>
        <v>4.0561233463147495E-2</v>
      </c>
      <c r="L5">
        <f>AVERAGEIFS(whole_data!$K$3:$K$668,whole_data!$X$3:$X$668, 1, whole_data!Z$3:Z$668,1)</f>
        <v>5.0090348032993573E-2</v>
      </c>
      <c r="M5">
        <f>AVERAGEIFS(whole_data!$K$3:$K$668,whole_data!$X$3:$X$668, 1, whole_data!AA$3:AA$668,1)</f>
        <v>0.58082072646389804</v>
      </c>
    </row>
    <row r="6" spans="1:13">
      <c r="A6" t="s">
        <v>79</v>
      </c>
      <c r="B6">
        <f>AVERAGEIFS(whole_data!$L$3:$L$668,whole_data!$X$3:$X$668, 1, whole_data!P$3:P$668,1)</f>
        <v>2.1295038529379227E-2</v>
      </c>
      <c r="C6">
        <f>AVERAGEIFS(whole_data!$L$3:$L$668,whole_data!$X$3:$X$668, 1, whole_data!Q$3:Q$668,1)</f>
        <v>2.1256036425594101E-2</v>
      </c>
      <c r="D6">
        <f>AVERAGEIFS(whole_data!$L$3:$L$668,whole_data!$X$3:$X$668, 1, whole_data!R$3:R$668,1)</f>
        <v>0.4078467320579815</v>
      </c>
      <c r="E6">
        <f>AVERAGEIFS(whole_data!$L$3:$L$668,whole_data!$X$3:$X$668, 1, whole_data!S$3:S$668,1)</f>
        <v>0.22507545169252124</v>
      </c>
      <c r="F6">
        <f>AVERAGEIFS(whole_data!$L$3:$L$668,whole_data!$X$3:$X$668, 1, whole_data!T$3:T$668,1)</f>
        <v>1.9828950041900474E-2</v>
      </c>
      <c r="G6">
        <f>AVERAGEIFS(whole_data!$L$3:$L$668,whole_data!$X$3:$X$668, 1, whole_data!U$3:U$668,1)</f>
        <v>1.7955658558063848E-2</v>
      </c>
      <c r="H6">
        <f>AVERAGEIFS(whole_data!$L$3:$L$668,whole_data!$X$3:$X$668, 1, whole_data!V$3:V$668,1)</f>
        <v>0.41188601798507396</v>
      </c>
      <c r="I6">
        <f>AVERAGEIFS(whole_data!$L$3:$L$668,whole_data!$X$3:$X$668, 1, whole_data!W$3:W$668,1)</f>
        <v>0.19351418015372598</v>
      </c>
      <c r="J6">
        <f>AVERAGEIFS(whole_data!$L$3:$L$668,whole_data!$X$3:$X$668, 1, whole_data!X$3:X$668,1)</f>
        <v>0.23073372366329112</v>
      </c>
      <c r="K6">
        <f>AVERAGEIFS(whole_data!$L$3:$L$668,whole_data!$X$3:$X$668, 1, whole_data!Y$3:Y$668,1)</f>
        <v>2.9589900878745828E-2</v>
      </c>
      <c r="L6">
        <f>AVERAGEIFS(whole_data!$L$3:$L$668,whole_data!$X$3:$X$668, 1, whole_data!Z$3:Z$668,1)</f>
        <v>4.1280673109813676E-2</v>
      </c>
      <c r="M6">
        <f>AVERAGEIFS(whole_data!$L$3:$L$668,whole_data!$X$3:$X$668, 1, whole_data!AA$3:AA$668,1)</f>
        <v>0.384469127624957</v>
      </c>
    </row>
    <row r="7" spans="1:13">
      <c r="A7" t="s">
        <v>80</v>
      </c>
      <c r="B7">
        <f>AVERAGEIFS(whole_data!$M$3:$M$668,whole_data!$X$3:$X$668, 1, whole_data!P$3:P$668,1)</f>
        <v>1.796610898906275E-2</v>
      </c>
      <c r="C7">
        <f>AVERAGEIFS(whole_data!$M$3:$M$668,whole_data!$X$3:$X$668, 1, whole_data!Q$3:Q$668,1)</f>
        <v>1.6954389168405248E-2</v>
      </c>
      <c r="D7">
        <f>AVERAGEIFS(whole_data!$M$3:$M$668,whole_data!$X$3:$X$668, 1, whole_data!R$3:R$668,1)</f>
        <v>0.30012131507056827</v>
      </c>
      <c r="E7">
        <f>AVERAGEIFS(whole_data!$M$3:$M$668,whole_data!$X$3:$X$668, 1, whole_data!S$3:S$668,1)</f>
        <v>0.17425813992740175</v>
      </c>
      <c r="F7">
        <f>AVERAGEIFS(whole_data!$M$3:$M$668,whole_data!$X$3:$X$668, 1, whole_data!T$3:T$668,1)</f>
        <v>1.6517811674655599E-2</v>
      </c>
      <c r="G7">
        <f>AVERAGEIFS(whole_data!$M$3:$M$668,whole_data!$X$3:$X$668, 1, whole_data!U$3:U$668,1)</f>
        <v>1.3975140892211574E-2</v>
      </c>
      <c r="H7">
        <f>AVERAGEIFS(whole_data!$M$3:$M$668,whole_data!$X$3:$X$668, 1, whole_data!V$3:V$668,1)</f>
        <v>0.30074124339964325</v>
      </c>
      <c r="I7">
        <f>AVERAGEIFS(whole_data!$M$3:$M$668,whole_data!$X$3:$X$668, 1, whole_data!W$3:W$668,1)</f>
        <v>0.1515302721529245</v>
      </c>
      <c r="J7">
        <f>AVERAGEIFS(whole_data!$M$3:$M$668,whole_data!$X$3:$X$668, 1, whole_data!X$3:X$668,1)</f>
        <v>0.18229525054531034</v>
      </c>
      <c r="K7">
        <f>AVERAGEIFS(whole_data!$M$3:$M$668,whole_data!$X$3:$X$668, 1, whole_data!Y$3:Y$668,1)</f>
        <v>2.373807647690605E-2</v>
      </c>
      <c r="L7">
        <f>AVERAGEIFS(whole_data!$M$3:$M$668,whole_data!$X$3:$X$668, 1, whole_data!Z$3:Z$668,1)</f>
        <v>3.5609067593418003E-2</v>
      </c>
      <c r="M7">
        <f>AVERAGEIFS(whole_data!$M$3:$M$668,whole_data!$X$3:$X$668, 1, whole_data!AA$3:AA$668,1)</f>
        <v>0.2804588150332295</v>
      </c>
    </row>
    <row r="8" spans="1:13">
      <c r="A8" t="s">
        <v>81</v>
      </c>
      <c r="B8">
        <f>AVERAGEIFS(whole_data!$N$3:$N$668,whole_data!$X$3:$X$668, 1, whole_data!P$3:P$668,1)</f>
        <v>2.972879170914005E-2</v>
      </c>
      <c r="C8">
        <f>AVERAGEIFS(whole_data!$N$3:$N$668,whole_data!$X$3:$X$668, 1, whole_data!Q$3:Q$668,1)</f>
        <v>3.4037312246696552E-2</v>
      </c>
      <c r="D8">
        <f>AVERAGEIFS(whole_data!$N$3:$N$668,whole_data!$X$3:$X$668, 1, whole_data!R$3:R$668,1)</f>
        <v>0.90000728278802922</v>
      </c>
      <c r="E8">
        <f>AVERAGEIFS(whole_data!$N$3:$N$668,whole_data!$X$3:$X$668, 1, whole_data!S$3:S$668,1)</f>
        <v>0.41232541544415979</v>
      </c>
      <c r="F8">
        <f>AVERAGEIFS(whole_data!$N$3:$N$668,whole_data!$X$3:$X$668, 1, whole_data!T$3:T$668,1)</f>
        <v>2.735910541348395E-2</v>
      </c>
      <c r="G8">
        <f>AVERAGEIFS(whole_data!$N$3:$N$668,whole_data!$X$3:$X$668, 1, whole_data!U$3:U$668,1)</f>
        <v>2.9297939655384402E-2</v>
      </c>
      <c r="H8">
        <f>AVERAGEIFS(whole_data!$N$3:$N$668,whole_data!$X$3:$X$668, 1, whole_data!V$3:V$668,1)</f>
        <v>0.90159884992510408</v>
      </c>
      <c r="I8">
        <f>AVERAGEIFS(whole_data!$N$3:$N$668,whole_data!$X$3:$X$668, 1, whole_data!W$3:W$668,1)</f>
        <v>0.33714173206379827</v>
      </c>
      <c r="J8">
        <f>AVERAGEIFS(whole_data!$N$3:$N$668,whole_data!$X$3:$X$668, 1, whole_data!X$3:X$668,1)</f>
        <v>0.41189959400751358</v>
      </c>
      <c r="K8">
        <f>AVERAGEIFS(whole_data!$N$3:$N$668,whole_data!$X$3:$X$668, 1, whole_data!Y$3:Y$668,1)</f>
        <v>4.6962873859366198E-2</v>
      </c>
      <c r="L8">
        <f>AVERAGEIFS(whole_data!$N$3:$N$668,whole_data!$X$3:$X$668, 1, whole_data!Z$3:Z$668,1)</f>
        <v>5.6872471095746197E-2</v>
      </c>
      <c r="M8">
        <f>AVERAGEIFS(whole_data!$N$3:$N$668,whole_data!$X$3:$X$668, 1, whole_data!AA$3:AA$668,1)</f>
        <v>0.82159131400420016</v>
      </c>
    </row>
    <row r="9" spans="1:13">
      <c r="A9" t="s">
        <v>82</v>
      </c>
      <c r="B9">
        <f>AVERAGEIFS(whole_data!$O$3:$O$668,whole_data!$X$3:$X$668, 1, whole_data!P$3:P$668,1)</f>
        <v>2.1458352191356451E-2</v>
      </c>
      <c r="C9">
        <f>AVERAGEIFS(whole_data!$O$3:$O$668,whole_data!$X$3:$X$668, 1, whole_data!Q$3:Q$668,1)</f>
        <v>2.3123201252363328E-2</v>
      </c>
      <c r="D9">
        <f>AVERAGEIFS(whole_data!$O$3:$O$668,whole_data!$X$3:$X$668, 1, whole_data!R$3:R$668,1)</f>
        <v>0.42643455401614799</v>
      </c>
      <c r="E9">
        <f>AVERAGEIFS(whole_data!$O$3:$O$668,whole_data!$X$3:$X$668, 1, whole_data!S$3:S$668,1)</f>
        <v>0.22514343474819126</v>
      </c>
      <c r="F9">
        <f>AVERAGEIFS(whole_data!$O$3:$O$668,whole_data!$X$3:$X$668, 1, whole_data!T$3:T$668,1)</f>
        <v>2.0368978299582622E-2</v>
      </c>
      <c r="G9">
        <f>AVERAGEIFS(whole_data!$O$3:$O$668,whole_data!$X$3:$X$668, 1, whole_data!U$3:U$668,1)</f>
        <v>1.9934638502791147E-2</v>
      </c>
      <c r="H9">
        <f>AVERAGEIFS(whole_data!$O$3:$O$668,whole_data!$X$3:$X$668, 1, whole_data!V$3:V$668,1)</f>
        <v>0.4269132874286875</v>
      </c>
      <c r="I9">
        <f>AVERAGEIFS(whole_data!$O$3:$O$668,whole_data!$X$3:$X$668, 1, whole_data!W$3:W$668,1)</f>
        <v>0.19489139258249574</v>
      </c>
      <c r="J9">
        <f>AVERAGEIFS(whole_data!$O$3:$O$668,whole_data!$X$3:$X$668, 1, whole_data!X$3:X$668,1)</f>
        <v>0.23795285772831515</v>
      </c>
      <c r="K9">
        <f>AVERAGEIFS(whole_data!$O$3:$O$668,whole_data!$X$3:$X$668, 1, whole_data!Y$3:Y$668,1)</f>
        <v>3.232504459643757E-2</v>
      </c>
      <c r="L9">
        <f>AVERAGEIFS(whole_data!$O$3:$O$668,whole_data!$X$3:$X$668, 1, whole_data!Z$3:Z$668,1)</f>
        <v>4.3137446742075626E-2</v>
      </c>
      <c r="M9">
        <f>AVERAGEIFS(whole_data!$O$3:$O$668,whole_data!$X$3:$X$668, 1, whole_data!AA$3:AA$668,1)</f>
        <v>0.4151839075035062</v>
      </c>
    </row>
    <row r="14" spans="1:13">
      <c r="A14" t="s">
        <v>67</v>
      </c>
      <c r="B14" t="s">
        <v>69</v>
      </c>
      <c r="C14" t="s">
        <v>68</v>
      </c>
      <c r="D14" t="s">
        <v>64</v>
      </c>
      <c r="E14" t="s">
        <v>75</v>
      </c>
      <c r="F14" t="s">
        <v>72</v>
      </c>
      <c r="G14" t="s">
        <v>73</v>
      </c>
      <c r="H14" t="s">
        <v>65</v>
      </c>
      <c r="I14" t="s">
        <v>76</v>
      </c>
      <c r="J14" t="s">
        <v>63</v>
      </c>
      <c r="K14" t="s">
        <v>74</v>
      </c>
      <c r="L14" t="s">
        <v>67</v>
      </c>
      <c r="M14" t="s">
        <v>66</v>
      </c>
    </row>
    <row r="15" spans="1:13">
      <c r="A15" t="s">
        <v>70</v>
      </c>
      <c r="B15">
        <f>AVERAGEIFS(whole_data!$H$3:$H$668,whole_data!$Z$3:$Z$668, 1, whole_data!P$3:P$668,1)</f>
        <v>0.46159033380194925</v>
      </c>
      <c r="C15">
        <f>AVERAGEIFS(whole_data!$H$3:$H$668,whole_data!$Z$3:$Z$668, 1, whole_data!Q$3:Q$668,1)</f>
        <v>0.52400876684115472</v>
      </c>
      <c r="D15">
        <f>AVERAGEIFS(whole_data!$H$3:$H$668,whole_data!$Z$3:$Z$668, 1, whole_data!R$3:R$668,1)</f>
        <v>4.7824784835606725E-2</v>
      </c>
      <c r="E15">
        <f>AVERAGEIFS(whole_data!$H$3:$H$668,whole_data!$Z$3:$Z$668, 1, whole_data!S$3:S$668,1)</f>
        <v>0.13448817847948075</v>
      </c>
      <c r="F15">
        <f>AVERAGEIFS(whole_data!$H$3:$H$668,whole_data!$Z$3:$Z$668, 1, whole_data!T$3:T$668,1)</f>
        <v>0.43801262554356446</v>
      </c>
      <c r="G15">
        <f>AVERAGEIFS(whole_data!$H$3:$H$668,whole_data!$Z$3:$Z$668, 1, whole_data!U$3:U$668,1)</f>
        <v>0.46644400717089596</v>
      </c>
      <c r="H15">
        <f>AVERAGEIFS(whole_data!$H$3:$H$668,whole_data!$Z$3:$Z$668, 1, whole_data!V$3:V$668,1)</f>
        <v>4.7685386587675675E-2</v>
      </c>
      <c r="I15">
        <f>AVERAGEIFS(whole_data!$H$3:$H$668,whole_data!$Z$3:$Z$668, 1, whole_data!W$3:W$668,1)</f>
        <v>0.16498323954405175</v>
      </c>
      <c r="J15">
        <f>AVERAGEIFS(whole_data!$H$3:$H$668,whole_data!$Z$3:$Z$668, 1, whole_data!X$3:X$668,1)</f>
        <v>5.4468837851747449E-2</v>
      </c>
      <c r="K15">
        <f>AVERAGEIFS(whole_data!$H$3:$H$668,whole_data!$Z$3:$Z$668, 1, whole_data!Y$3:Y$668,1)</f>
        <v>0.71873661543018275</v>
      </c>
      <c r="L15">
        <f>AVERAGEIFS(whole_data!$H$3:$H$668,whole_data!$Z$3:$Z$668, 1, whole_data!Z$3:Z$668,1)</f>
        <v>0.22499465081624198</v>
      </c>
      <c r="M15">
        <f>AVERAGEIFS(whole_data!$H$3:$H$668,whole_data!$Z$3:$Z$668, 1, whole_data!AA$3:AA$668,1)</f>
        <v>6.0972319934787425E-2</v>
      </c>
    </row>
    <row r="16" spans="1:13">
      <c r="A16" t="s">
        <v>71</v>
      </c>
      <c r="B16">
        <f>AVERAGEIFS(whole_data!$I$3:$I$668,whole_data!$Z$3:$Z$668, 1, whole_data!P$3:P$668,1)</f>
        <v>0.45410650087502369</v>
      </c>
      <c r="C16">
        <f>AVERAGEIFS(whole_data!$I$3:$I$668,whole_data!$Z$3:$Z$668, 1, whole_data!Q$3:Q$668,1)</f>
        <v>0.52088286141475626</v>
      </c>
      <c r="D16">
        <f>AVERAGEIFS(whole_data!$I$3:$I$668,whole_data!$Z$3:$Z$668, 1, whole_data!R$3:R$668,1)</f>
        <v>4.5590800186852444E-2</v>
      </c>
      <c r="E16">
        <f>AVERAGEIFS(whole_data!$I$3:$I$668,whole_data!$Z$3:$Z$668, 1, whole_data!S$3:S$668,1)</f>
        <v>0.12826084909247876</v>
      </c>
      <c r="F16">
        <f>AVERAGEIFS(whole_data!$I$3:$I$668,whole_data!$Z$3:$Z$668, 1, whole_data!T$3:T$668,1)</f>
        <v>0.41454149180101102</v>
      </c>
      <c r="G16">
        <f>AVERAGEIFS(whole_data!$I$3:$I$668,whole_data!$Z$3:$Z$668, 1, whole_data!U$3:U$668,1)</f>
        <v>0.44241516312520002</v>
      </c>
      <c r="H16">
        <f>AVERAGEIFS(whole_data!$I$3:$I$668,whole_data!$Z$3:$Z$668, 1, whole_data!V$3:V$668,1)</f>
        <v>4.5228300901981176E-2</v>
      </c>
      <c r="I16">
        <f>AVERAGEIFS(whole_data!$I$3:$I$668,whole_data!$Z$3:$Z$668, 1, whole_data!W$3:W$668,1)</f>
        <v>0.15563546126477551</v>
      </c>
      <c r="J16">
        <f>AVERAGEIFS(whole_data!$I$3:$I$668,whole_data!$Z$3:$Z$668, 1, whole_data!X$3:X$668,1)</f>
        <v>5.3019939264036794E-2</v>
      </c>
      <c r="K16">
        <f>AVERAGEIFS(whole_data!$I$3:$I$668,whole_data!$Z$3:$Z$668, 1, whole_data!Y$3:Y$668,1)</f>
        <v>0.7002900294798341</v>
      </c>
      <c r="L16">
        <f>AVERAGEIFS(whole_data!$I$3:$I$668,whole_data!$Z$3:$Z$668, 1, whole_data!Z$3:Z$668,1)</f>
        <v>0.21866864964890634</v>
      </c>
      <c r="M16">
        <f>AVERAGEIFS(whole_data!$I$3:$I$668,whole_data!$Z$3:$Z$668, 1, whole_data!AA$3:AA$668,1)</f>
        <v>5.7779505887206178E-2</v>
      </c>
    </row>
    <row r="17" spans="1:13">
      <c r="A17" t="s">
        <v>77</v>
      </c>
      <c r="B17">
        <f>AVERAGEIFS(whole_data!$J$3:$J$668,whole_data!$Z$3:$Z$668, 1, whole_data!P$3:P$668,1)</f>
        <v>0.37336509587477396</v>
      </c>
      <c r="C17">
        <f>AVERAGEIFS(whole_data!$J$3:$J$668,whole_data!$Z$3:$Z$668, 1, whole_data!Q$3:Q$668,1)</f>
        <v>0.43167873296033898</v>
      </c>
      <c r="D17">
        <f>AVERAGEIFS(whole_data!$J$3:$J$668,whole_data!$Z$3:$Z$668, 1, whole_data!R$3:R$668,1)</f>
        <v>4.0967045966212555E-2</v>
      </c>
      <c r="E17">
        <f>AVERAGEIFS(whole_data!$J$3:$J$668,whole_data!$Z$3:$Z$668, 1, whole_data!S$3:S$668,1)</f>
        <v>0.11242178914283835</v>
      </c>
      <c r="F17">
        <f>AVERAGEIFS(whole_data!$J$3:$J$668,whole_data!$Z$3:$Z$668, 1, whole_data!T$3:T$668,1)</f>
        <v>0.35150110197712126</v>
      </c>
      <c r="G17">
        <f>AVERAGEIFS(whole_data!$J$3:$J$668,whole_data!$Z$3:$Z$668, 1, whole_data!U$3:U$668,1)</f>
        <v>0.38242476270082676</v>
      </c>
      <c r="H17">
        <f>AVERAGEIFS(whole_data!$J$3:$J$668,whole_data!$Z$3:$Z$668, 1, whole_data!V$3:V$668,1)</f>
        <v>4.0425535458523253E-2</v>
      </c>
      <c r="I17">
        <f>AVERAGEIFS(whole_data!$J$3:$J$668,whole_data!$Z$3:$Z$668, 1, whole_data!W$3:W$668,1)</f>
        <v>0.13705902723774024</v>
      </c>
      <c r="J17">
        <f>AVERAGEIFS(whole_data!$J$3:$J$668,whole_data!$Z$3:$Z$668, 1, whole_data!X$3:X$668,1)</f>
        <v>4.8858892243270627E-2</v>
      </c>
      <c r="K17">
        <f>AVERAGEIFS(whole_data!$J$3:$J$668,whole_data!$Z$3:$Z$668, 1, whole_data!Y$3:Y$668,1)</f>
        <v>0.58232452541605184</v>
      </c>
      <c r="L17">
        <f>AVERAGEIFS(whole_data!$J$3:$J$668,whole_data!$Z$3:$Z$668, 1, whole_data!Z$3:Z$668,1)</f>
        <v>0.19006301738907427</v>
      </c>
      <c r="M17">
        <f>AVERAGEIFS(whole_data!$J$3:$J$668,whole_data!$Z$3:$Z$668, 1, whole_data!AA$3:AA$668,1)</f>
        <v>5.1938303934266773E-2</v>
      </c>
    </row>
    <row r="18" spans="1:13">
      <c r="A18" t="s">
        <v>78</v>
      </c>
      <c r="B18">
        <f>AVERAGEIFS(whole_data!$K$3:$K$668,whole_data!$Z$3:$Z$668, 1, whole_data!P$3:P$668,1)</f>
        <v>0.40722743288611396</v>
      </c>
      <c r="C18">
        <f>AVERAGEIFS(whole_data!$K$3:$K$668,whole_data!$Z$3:$Z$668, 1, whole_data!Q$3:Q$668,1)</f>
        <v>0.4668472052130595</v>
      </c>
      <c r="D18">
        <f>AVERAGEIFS(whole_data!$K$3:$K$668,whole_data!$Z$3:$Z$668, 1, whole_data!R$3:R$668,1)</f>
        <v>4.1199827831944778E-2</v>
      </c>
      <c r="E18">
        <f>AVERAGEIFS(whole_data!$K$3:$K$668,whole_data!$Z$3:$Z$668, 1, whole_data!S$3:S$668,1)</f>
        <v>0.11422800825020434</v>
      </c>
      <c r="F18">
        <f>AVERAGEIFS(whole_data!$K$3:$K$668,whole_data!$Z$3:$Z$668, 1, whole_data!T$3:T$668,1)</f>
        <v>0.3690770883404707</v>
      </c>
      <c r="G18">
        <f>AVERAGEIFS(whole_data!$K$3:$K$668,whole_data!$Z$3:$Z$668, 1, whole_data!U$3:U$668,1)</f>
        <v>0.39220398347169949</v>
      </c>
      <c r="H18">
        <f>AVERAGEIFS(whole_data!$K$3:$K$668,whole_data!$Z$3:$Z$668, 1, whole_data!V$3:V$668,1)</f>
        <v>4.0592618318388625E-2</v>
      </c>
      <c r="I18">
        <f>AVERAGEIFS(whole_data!$K$3:$K$668,whole_data!$Z$3:$Z$668, 1, whole_data!W$3:W$668,1)</f>
        <v>0.13833029001616975</v>
      </c>
      <c r="J18">
        <f>AVERAGEIFS(whole_data!$K$3:$K$668,whole_data!$Z$3:$Z$668, 1, whole_data!X$3:X$668,1)</f>
        <v>5.0090348032993573E-2</v>
      </c>
      <c r="K18">
        <f>AVERAGEIFS(whole_data!$K$3:$K$668,whole_data!$Z$3:$Z$668, 1, whole_data!Y$3:Y$668,1)</f>
        <v>0.61703812065438801</v>
      </c>
      <c r="L18">
        <f>AVERAGEIFS(whole_data!$K$3:$K$668,whole_data!$Z$3:$Z$668, 1, whole_data!Z$3:Z$668,1)</f>
        <v>0.1983873914198783</v>
      </c>
      <c r="M18">
        <f>AVERAGEIFS(whole_data!$K$3:$K$668,whole_data!$Z$3:$Z$668, 1, whole_data!AA$3:AA$668,1)</f>
        <v>5.198981749770952E-2</v>
      </c>
    </row>
    <row r="19" spans="1:13">
      <c r="A19" t="s">
        <v>79</v>
      </c>
      <c r="B19">
        <f>AVERAGEIFS(whole_data!$L$3:$L$668,whole_data!$Z$3:$Z$668, 1, whole_data!P$3:P$668,1)</f>
        <v>0.30559110747871926</v>
      </c>
      <c r="C19">
        <f>AVERAGEIFS(whole_data!$L$3:$L$668,whole_data!$Z$3:$Z$668, 1, whole_data!Q$3:Q$668,1)</f>
        <v>0.34726653201920127</v>
      </c>
      <c r="D19">
        <f>AVERAGEIFS(whole_data!$L$3:$L$668,whole_data!$Z$3:$Z$668, 1, whole_data!R$3:R$668,1)</f>
        <v>3.217299433709267E-2</v>
      </c>
      <c r="E19">
        <f>AVERAGEIFS(whole_data!$L$3:$L$668,whole_data!$Z$3:$Z$668, 1, whole_data!S$3:S$668,1)</f>
        <v>8.8137905031107938E-2</v>
      </c>
      <c r="F19">
        <f>AVERAGEIFS(whole_data!$L$3:$L$668,whole_data!$Z$3:$Z$668, 1, whole_data!T$3:T$668,1)</f>
        <v>0.27997804711184998</v>
      </c>
      <c r="G19">
        <f>AVERAGEIFS(whole_data!$L$3:$L$668,whole_data!$Z$3:$Z$668, 1, whole_data!U$3:U$668,1)</f>
        <v>0.29685640589786849</v>
      </c>
      <c r="H19">
        <f>AVERAGEIFS(whole_data!$L$3:$L$668,whole_data!$Z$3:$Z$668, 1, whole_data!V$3:V$668,1)</f>
        <v>3.1650786322231776E-2</v>
      </c>
      <c r="I19">
        <f>AVERAGEIFS(whole_data!$L$3:$L$668,whole_data!$Z$3:$Z$668, 1, whole_data!W$3:W$668,1)</f>
        <v>0.10728053679724767</v>
      </c>
      <c r="J19">
        <f>AVERAGEIFS(whole_data!$L$3:$L$668,whole_data!$Z$3:$Z$668, 1, whole_data!X$3:X$668,1)</f>
        <v>4.1280673109813676E-2</v>
      </c>
      <c r="K19">
        <f>AVERAGEIFS(whole_data!$L$3:$L$668,whole_data!$Z$3:$Z$668, 1, whole_data!Y$3:Y$668,1)</f>
        <v>0.46297412692282874</v>
      </c>
      <c r="L19">
        <f>AVERAGEIFS(whole_data!$L$3:$L$668,whole_data!$Z$3:$Z$668, 1, whole_data!Z$3:Z$668,1)</f>
        <v>0.15840038544489121</v>
      </c>
      <c r="M19">
        <f>AVERAGEIFS(whole_data!$L$3:$L$668,whole_data!$Z$3:$Z$668, 1, whole_data!AA$3:AA$668,1)</f>
        <v>4.0776208879947221E-2</v>
      </c>
    </row>
    <row r="20" spans="1:13">
      <c r="A20" t="s">
        <v>80</v>
      </c>
      <c r="B20">
        <f>AVERAGEIFS(whole_data!$M$3:$M$668,whole_data!$Z$3:$Z$668, 1, whole_data!P$3:P$668,1)</f>
        <v>0.23691161550692524</v>
      </c>
      <c r="C20">
        <f>AVERAGEIFS(whole_data!$M$3:$M$668,whole_data!$Z$3:$Z$668, 1, whole_data!Q$3:Q$668,1)</f>
        <v>0.2685298745370735</v>
      </c>
      <c r="D20">
        <f>AVERAGEIFS(whole_data!$M$3:$M$668,whole_data!$Z$3:$Z$668, 1, whole_data!R$3:R$668,1)</f>
        <v>2.5759218182456023E-2</v>
      </c>
      <c r="E20">
        <f>AVERAGEIFS(whole_data!$M$3:$M$668,whole_data!$Z$3:$Z$668, 1, whole_data!S$3:S$668,1)</f>
        <v>6.9417997330872269E-2</v>
      </c>
      <c r="F20">
        <f>AVERAGEIFS(whole_data!$M$3:$M$668,whole_data!$Z$3:$Z$668, 1, whole_data!T$3:T$668,1)</f>
        <v>0.21566717423686199</v>
      </c>
      <c r="G20">
        <f>AVERAGEIFS(whole_data!$M$3:$M$668,whole_data!$Z$3:$Z$668, 1, whole_data!U$3:U$668,1)</f>
        <v>0.22331104502487351</v>
      </c>
      <c r="H20">
        <f>AVERAGEIFS(whole_data!$M$3:$M$668,whole_data!$Z$3:$Z$668, 1, whole_data!V$3:V$668,1)</f>
        <v>2.5007302054975748E-2</v>
      </c>
      <c r="I20">
        <f>AVERAGEIFS(whole_data!$M$3:$M$668,whole_data!$Z$3:$Z$668, 1, whole_data!W$3:W$668,1)</f>
        <v>8.4322732779710127E-2</v>
      </c>
      <c r="J20">
        <f>AVERAGEIFS(whole_data!$M$3:$M$668,whole_data!$Z$3:$Z$668, 1, whole_data!X$3:X$668,1)</f>
        <v>3.5609067593418003E-2</v>
      </c>
      <c r="K20">
        <f>AVERAGEIFS(whole_data!$M$3:$M$668,whole_data!$Z$3:$Z$668, 1, whole_data!Y$3:Y$668,1)</f>
        <v>0.35455641087798173</v>
      </c>
      <c r="L20">
        <f>AVERAGEIFS(whole_data!$M$3:$M$668,whole_data!$Z$3:$Z$668, 1, whole_data!Z$3:Z$668,1)</f>
        <v>0.12952811082038845</v>
      </c>
      <c r="M20">
        <f>AVERAGEIFS(whole_data!$M$3:$M$668,whole_data!$Z$3:$Z$668, 1, whole_data!AA$3:AA$668,1)</f>
        <v>3.2477281091733E-2</v>
      </c>
    </row>
    <row r="21" spans="1:13">
      <c r="A21" t="s">
        <v>81</v>
      </c>
      <c r="B21">
        <f>AVERAGEIFS(whole_data!$N$3:$N$668,whole_data!$Z$3:$Z$668, 1, whole_data!P$3:P$668,1)</f>
        <v>0.5228473019517792</v>
      </c>
      <c r="C21">
        <f>AVERAGEIFS(whole_data!$N$3:$N$668,whole_data!$Z$3:$Z$668, 1, whole_data!Q$3:Q$668,1)</f>
        <v>0.59862227324913819</v>
      </c>
      <c r="D21">
        <f>AVERAGEIFS(whole_data!$N$3:$N$668,whole_data!$Z$3:$Z$668, 1, whole_data!R$3:R$668,1)</f>
        <v>5.1913947523727098E-2</v>
      </c>
      <c r="E21">
        <f>AVERAGEIFS(whole_data!$N$3:$N$668,whole_data!$Z$3:$Z$668, 1, whole_data!S$3:S$668,1)</f>
        <v>0.14856176490304124</v>
      </c>
      <c r="F21">
        <f>AVERAGEIFS(whole_data!$N$3:$N$668,whole_data!$Z$3:$Z$668, 1, whole_data!T$3:T$668,1)</f>
        <v>0.48117106773823148</v>
      </c>
      <c r="G21">
        <f>AVERAGEIFS(whole_data!$N$3:$N$668,whole_data!$Z$3:$Z$668, 1, whole_data!U$3:U$668,1)</f>
        <v>0.51526980482204321</v>
      </c>
      <c r="H21">
        <f>AVERAGEIFS(whole_data!$N$3:$N$668,whole_data!$Z$3:$Z$668, 1, whole_data!V$3:V$668,1)</f>
        <v>5.2002603528917654E-2</v>
      </c>
      <c r="I21">
        <f>AVERAGEIFS(whole_data!$N$3:$N$668,whole_data!$Z$3:$Z$668, 1, whole_data!W$3:W$668,1)</f>
        <v>0.18099188732305302</v>
      </c>
      <c r="J21">
        <f>AVERAGEIFS(whole_data!$N$3:$N$668,whole_data!$Z$3:$Z$668, 1, whole_data!X$3:X$668,1)</f>
        <v>5.6872471095746197E-2</v>
      </c>
      <c r="K21">
        <f>AVERAGEIFS(whole_data!$N$3:$N$668,whole_data!$Z$3:$Z$668, 1, whole_data!Y$3:Y$668,1)</f>
        <v>0.82594718714121651</v>
      </c>
      <c r="L21">
        <f>AVERAGEIFS(whole_data!$N$3:$N$668,whole_data!$Z$3:$Z$668, 1, whole_data!Z$3:Z$668,1)</f>
        <v>0.24861804846330976</v>
      </c>
      <c r="M21">
        <f>AVERAGEIFS(whole_data!$N$3:$N$668,whole_data!$Z$3:$Z$668, 1, whole_data!AA$3:AA$668,1)</f>
        <v>6.6327738982831216E-2</v>
      </c>
    </row>
    <row r="22" spans="1:13">
      <c r="A22" t="s">
        <v>82</v>
      </c>
      <c r="B22">
        <f>AVERAGEIFS(whole_data!$O$3:$O$668,whole_data!$Z$3:$Z$668, 1, whole_data!P$3:P$668,1)</f>
        <v>0.30406118336047949</v>
      </c>
      <c r="C22">
        <f>AVERAGEIFS(whole_data!$O$3:$O$668,whole_data!$Z$3:$Z$668, 1, whole_data!Q$3:Q$668,1)</f>
        <v>0.34632333843653929</v>
      </c>
      <c r="D22">
        <f>AVERAGEIFS(whole_data!$O$3:$O$668,whole_data!$Z$3:$Z$668, 1, whole_data!R$3:R$668,1)</f>
        <v>3.350892647279477E-2</v>
      </c>
      <c r="E22">
        <f>AVERAGEIFS(whole_data!$O$3:$O$668,whole_data!$Z$3:$Z$668, 1, whole_data!S$3:S$668,1)</f>
        <v>9.031188907437937E-2</v>
      </c>
      <c r="F22">
        <f>AVERAGEIFS(whole_data!$O$3:$O$668,whole_data!$Z$3:$Z$668, 1, whole_data!T$3:T$668,1)</f>
        <v>0.28608021092604252</v>
      </c>
      <c r="G22">
        <f>AVERAGEIFS(whole_data!$O$3:$O$668,whole_data!$Z$3:$Z$668, 1, whole_data!U$3:U$668,1)</f>
        <v>0.30688183573660499</v>
      </c>
      <c r="H22">
        <f>AVERAGEIFS(whole_data!$O$3:$O$668,whole_data!$Z$3:$Z$668, 1, whole_data!V$3:V$668,1)</f>
        <v>3.2562911047247171E-2</v>
      </c>
      <c r="I22">
        <f>AVERAGEIFS(whole_data!$O$3:$O$668,whole_data!$Z$3:$Z$668, 1, whole_data!W$3:W$668,1)</f>
        <v>0.10984331801623076</v>
      </c>
      <c r="J22">
        <f>AVERAGEIFS(whole_data!$O$3:$O$668,whole_data!$Z$3:$Z$668, 1, whole_data!X$3:X$668,1)</f>
        <v>4.3137446742075626E-2</v>
      </c>
      <c r="K22">
        <f>AVERAGEIFS(whole_data!$O$3:$O$668,whole_data!$Z$3:$Z$668, 1, whole_data!Y$3:Y$668,1)</f>
        <v>0.46067591105975453</v>
      </c>
      <c r="L22">
        <f>AVERAGEIFS(whole_data!$O$3:$O$668,whole_data!$Z$3:$Z$668, 1, whole_data!Z$3:Z$668,1)</f>
        <v>0.15954641050773377</v>
      </c>
      <c r="M22">
        <f>AVERAGEIFS(whole_data!$O$3:$O$668,whole_data!$Z$3:$Z$668, 1, whole_data!AA$3:AA$668,1)</f>
        <v>4.2303694787159778E-2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271C-0CDC-3241-8533-D136A77B4F1E}">
  <dimension ref="A1:G367"/>
  <sheetViews>
    <sheetView workbookViewId="0">
      <selection activeCell="D19" sqref="D19"/>
    </sheetView>
  </sheetViews>
  <sheetFormatPr baseColWidth="10" defaultRowHeight="20"/>
  <sheetData>
    <row r="1" spans="1:7">
      <c r="B1" t="s">
        <v>16</v>
      </c>
      <c r="E1" t="s">
        <v>18</v>
      </c>
    </row>
    <row r="2" spans="1:7">
      <c r="A2">
        <v>11</v>
      </c>
      <c r="B2" t="s">
        <v>20</v>
      </c>
      <c r="C2" t="s">
        <v>21</v>
      </c>
      <c r="D2" t="s">
        <v>22</v>
      </c>
      <c r="E2" t="s">
        <v>20</v>
      </c>
      <c r="F2" t="s">
        <v>29</v>
      </c>
      <c r="G2" t="s">
        <v>22</v>
      </c>
    </row>
    <row r="3" spans="1:7">
      <c r="A3">
        <v>12</v>
      </c>
      <c r="B3" t="s">
        <v>20</v>
      </c>
      <c r="C3" t="s">
        <v>21</v>
      </c>
      <c r="D3" t="s">
        <v>22</v>
      </c>
      <c r="E3" t="s">
        <v>20</v>
      </c>
      <c r="F3" t="s">
        <v>29</v>
      </c>
      <c r="G3" t="s">
        <v>23</v>
      </c>
    </row>
    <row r="4" spans="1:7">
      <c r="A4">
        <v>13</v>
      </c>
      <c r="B4" t="s">
        <v>20</v>
      </c>
      <c r="C4" t="s">
        <v>21</v>
      </c>
      <c r="D4" t="s">
        <v>22</v>
      </c>
      <c r="E4" t="s">
        <v>20</v>
      </c>
      <c r="F4" t="s">
        <v>29</v>
      </c>
      <c r="G4" t="s">
        <v>24</v>
      </c>
    </row>
    <row r="5" spans="1:7">
      <c r="A5">
        <v>14</v>
      </c>
      <c r="B5" t="s">
        <v>20</v>
      </c>
      <c r="C5" t="s">
        <v>21</v>
      </c>
      <c r="D5" t="s">
        <v>22</v>
      </c>
      <c r="E5" t="s">
        <v>20</v>
      </c>
      <c r="F5" t="s">
        <v>29</v>
      </c>
      <c r="G5" t="s">
        <v>31</v>
      </c>
    </row>
    <row r="6" spans="1:7">
      <c r="A6">
        <v>15</v>
      </c>
      <c r="B6" t="s">
        <v>20</v>
      </c>
      <c r="C6" t="s">
        <v>21</v>
      </c>
      <c r="D6" t="s">
        <v>22</v>
      </c>
      <c r="E6" t="s">
        <v>20</v>
      </c>
      <c r="F6" t="s">
        <v>29</v>
      </c>
      <c r="G6" t="s">
        <v>25</v>
      </c>
    </row>
    <row r="7" spans="1:7">
      <c r="A7">
        <v>16</v>
      </c>
      <c r="B7" t="s">
        <v>20</v>
      </c>
      <c r="C7" t="s">
        <v>21</v>
      </c>
      <c r="D7" t="s">
        <v>22</v>
      </c>
      <c r="E7" t="s">
        <v>20</v>
      </c>
      <c r="F7" t="s">
        <v>29</v>
      </c>
      <c r="G7" t="s">
        <v>26</v>
      </c>
    </row>
    <row r="8" spans="1:7">
      <c r="A8">
        <v>29</v>
      </c>
      <c r="B8" t="s">
        <v>20</v>
      </c>
      <c r="C8" t="s">
        <v>21</v>
      </c>
      <c r="D8" t="s">
        <v>22</v>
      </c>
      <c r="E8" t="s">
        <v>30</v>
      </c>
      <c r="F8" t="s">
        <v>29</v>
      </c>
      <c r="G8" t="s">
        <v>22</v>
      </c>
    </row>
    <row r="9" spans="1:7">
      <c r="A9">
        <v>30</v>
      </c>
      <c r="B9" t="s">
        <v>20</v>
      </c>
      <c r="C9" t="s">
        <v>21</v>
      </c>
      <c r="D9" t="s">
        <v>22</v>
      </c>
      <c r="E9" t="s">
        <v>30</v>
      </c>
      <c r="F9" t="s">
        <v>29</v>
      </c>
      <c r="G9" t="s">
        <v>23</v>
      </c>
    </row>
    <row r="10" spans="1:7">
      <c r="A10">
        <v>31</v>
      </c>
      <c r="B10" t="s">
        <v>20</v>
      </c>
      <c r="C10" t="s">
        <v>21</v>
      </c>
      <c r="D10" t="s">
        <v>22</v>
      </c>
      <c r="E10" t="s">
        <v>30</v>
      </c>
      <c r="F10" t="s">
        <v>29</v>
      </c>
      <c r="G10" t="s">
        <v>24</v>
      </c>
    </row>
    <row r="11" spans="1:7">
      <c r="A11">
        <v>32</v>
      </c>
      <c r="B11" t="s">
        <v>20</v>
      </c>
      <c r="C11" t="s">
        <v>21</v>
      </c>
      <c r="D11" t="s">
        <v>22</v>
      </c>
      <c r="E11" t="s">
        <v>30</v>
      </c>
      <c r="F11" t="s">
        <v>29</v>
      </c>
      <c r="G11" t="s">
        <v>31</v>
      </c>
    </row>
    <row r="12" spans="1:7">
      <c r="A12">
        <v>33</v>
      </c>
      <c r="B12" t="s">
        <v>20</v>
      </c>
      <c r="C12" t="s">
        <v>21</v>
      </c>
      <c r="D12" t="s">
        <v>22</v>
      </c>
      <c r="E12" t="s">
        <v>30</v>
      </c>
      <c r="F12" t="s">
        <v>29</v>
      </c>
      <c r="G12" t="s">
        <v>25</v>
      </c>
    </row>
    <row r="13" spans="1:7">
      <c r="A13">
        <v>34</v>
      </c>
      <c r="B13" t="s">
        <v>20</v>
      </c>
      <c r="C13" t="s">
        <v>21</v>
      </c>
      <c r="D13" t="s">
        <v>22</v>
      </c>
      <c r="E13" t="s">
        <v>30</v>
      </c>
      <c r="F13" t="s">
        <v>29</v>
      </c>
      <c r="G13" t="s">
        <v>26</v>
      </c>
    </row>
    <row r="14" spans="1:7">
      <c r="A14">
        <v>45</v>
      </c>
      <c r="B14" t="s">
        <v>20</v>
      </c>
      <c r="C14" t="s">
        <v>21</v>
      </c>
      <c r="D14" t="s">
        <v>23</v>
      </c>
      <c r="E14" t="s">
        <v>20</v>
      </c>
      <c r="F14" t="s">
        <v>29</v>
      </c>
      <c r="G14" t="s">
        <v>22</v>
      </c>
    </row>
    <row r="15" spans="1:7">
      <c r="A15">
        <v>46</v>
      </c>
      <c r="B15" t="s">
        <v>20</v>
      </c>
      <c r="C15" t="s">
        <v>21</v>
      </c>
      <c r="D15" t="s">
        <v>23</v>
      </c>
      <c r="E15" t="s">
        <v>20</v>
      </c>
      <c r="F15" t="s">
        <v>29</v>
      </c>
      <c r="G15" t="s">
        <v>23</v>
      </c>
    </row>
    <row r="16" spans="1:7">
      <c r="A16">
        <v>47</v>
      </c>
      <c r="B16" t="s">
        <v>20</v>
      </c>
      <c r="C16" t="s">
        <v>21</v>
      </c>
      <c r="D16" t="s">
        <v>23</v>
      </c>
      <c r="E16" t="s">
        <v>20</v>
      </c>
      <c r="F16" t="s">
        <v>29</v>
      </c>
      <c r="G16" t="s">
        <v>24</v>
      </c>
    </row>
    <row r="17" spans="1:7">
      <c r="A17">
        <v>48</v>
      </c>
      <c r="B17" t="s">
        <v>20</v>
      </c>
      <c r="C17" t="s">
        <v>21</v>
      </c>
      <c r="D17" t="s">
        <v>23</v>
      </c>
      <c r="E17" t="s">
        <v>20</v>
      </c>
      <c r="F17" t="s">
        <v>29</v>
      </c>
      <c r="G17" t="s">
        <v>31</v>
      </c>
    </row>
    <row r="18" spans="1:7">
      <c r="A18">
        <v>49</v>
      </c>
      <c r="B18" t="s">
        <v>20</v>
      </c>
      <c r="C18" t="s">
        <v>21</v>
      </c>
      <c r="D18" t="s">
        <v>23</v>
      </c>
      <c r="E18" t="s">
        <v>20</v>
      </c>
      <c r="F18" t="s">
        <v>29</v>
      </c>
      <c r="G18" t="s">
        <v>25</v>
      </c>
    </row>
    <row r="19" spans="1:7">
      <c r="A19">
        <v>50</v>
      </c>
      <c r="B19" t="s">
        <v>20</v>
      </c>
      <c r="C19" t="s">
        <v>21</v>
      </c>
      <c r="D19" t="s">
        <v>23</v>
      </c>
      <c r="E19" t="s">
        <v>20</v>
      </c>
      <c r="F19" t="s">
        <v>29</v>
      </c>
      <c r="G19" t="s">
        <v>26</v>
      </c>
    </row>
    <row r="20" spans="1:7">
      <c r="A20">
        <v>63</v>
      </c>
      <c r="B20" t="s">
        <v>20</v>
      </c>
      <c r="C20" t="s">
        <v>21</v>
      </c>
      <c r="D20" t="s">
        <v>23</v>
      </c>
      <c r="E20" t="s">
        <v>30</v>
      </c>
      <c r="F20" t="s">
        <v>29</v>
      </c>
      <c r="G20" t="s">
        <v>22</v>
      </c>
    </row>
    <row r="21" spans="1:7">
      <c r="A21">
        <v>64</v>
      </c>
      <c r="B21" t="s">
        <v>20</v>
      </c>
      <c r="C21" t="s">
        <v>21</v>
      </c>
      <c r="D21" t="s">
        <v>23</v>
      </c>
      <c r="E21" t="s">
        <v>30</v>
      </c>
      <c r="F21" t="s">
        <v>29</v>
      </c>
      <c r="G21" t="s">
        <v>23</v>
      </c>
    </row>
    <row r="22" spans="1:7">
      <c r="A22">
        <v>65</v>
      </c>
      <c r="B22" t="s">
        <v>20</v>
      </c>
      <c r="C22" t="s">
        <v>21</v>
      </c>
      <c r="D22" t="s">
        <v>23</v>
      </c>
      <c r="E22" t="s">
        <v>30</v>
      </c>
      <c r="F22" t="s">
        <v>29</v>
      </c>
      <c r="G22" t="s">
        <v>24</v>
      </c>
    </row>
    <row r="23" spans="1:7">
      <c r="A23">
        <v>66</v>
      </c>
      <c r="B23" t="s">
        <v>20</v>
      </c>
      <c r="C23" t="s">
        <v>21</v>
      </c>
      <c r="D23" t="s">
        <v>23</v>
      </c>
      <c r="E23" t="s">
        <v>30</v>
      </c>
      <c r="F23" t="s">
        <v>29</v>
      </c>
      <c r="G23" t="s">
        <v>31</v>
      </c>
    </row>
    <row r="24" spans="1:7">
      <c r="A24">
        <v>67</v>
      </c>
      <c r="B24" t="s">
        <v>20</v>
      </c>
      <c r="C24" t="s">
        <v>21</v>
      </c>
      <c r="D24" t="s">
        <v>23</v>
      </c>
      <c r="E24" t="s">
        <v>30</v>
      </c>
      <c r="F24" t="s">
        <v>29</v>
      </c>
      <c r="G24" t="s">
        <v>25</v>
      </c>
    </row>
    <row r="25" spans="1:7">
      <c r="A25">
        <v>68</v>
      </c>
      <c r="B25" t="s">
        <v>20</v>
      </c>
      <c r="C25" t="s">
        <v>21</v>
      </c>
      <c r="D25" t="s">
        <v>23</v>
      </c>
      <c r="E25" t="s">
        <v>30</v>
      </c>
      <c r="F25" t="s">
        <v>29</v>
      </c>
      <c r="G25" t="s">
        <v>26</v>
      </c>
    </row>
    <row r="26" spans="1:7">
      <c r="A26">
        <v>78</v>
      </c>
      <c r="B26" t="s">
        <v>20</v>
      </c>
      <c r="C26" t="s">
        <v>21</v>
      </c>
      <c r="D26" t="s">
        <v>24</v>
      </c>
      <c r="E26" t="s">
        <v>20</v>
      </c>
      <c r="F26" t="s">
        <v>29</v>
      </c>
      <c r="G26" t="s">
        <v>22</v>
      </c>
    </row>
    <row r="27" spans="1:7">
      <c r="A27">
        <v>79</v>
      </c>
      <c r="B27" t="s">
        <v>20</v>
      </c>
      <c r="C27" t="s">
        <v>21</v>
      </c>
      <c r="D27" t="s">
        <v>24</v>
      </c>
      <c r="E27" t="s">
        <v>20</v>
      </c>
      <c r="F27" t="s">
        <v>29</v>
      </c>
      <c r="G27" t="s">
        <v>23</v>
      </c>
    </row>
    <row r="28" spans="1:7">
      <c r="A28">
        <v>80</v>
      </c>
      <c r="B28" t="s">
        <v>20</v>
      </c>
      <c r="C28" t="s">
        <v>21</v>
      </c>
      <c r="D28" t="s">
        <v>24</v>
      </c>
      <c r="E28" t="s">
        <v>20</v>
      </c>
      <c r="F28" t="s">
        <v>29</v>
      </c>
      <c r="G28" t="s">
        <v>24</v>
      </c>
    </row>
    <row r="29" spans="1:7">
      <c r="A29">
        <v>81</v>
      </c>
      <c r="B29" t="s">
        <v>20</v>
      </c>
      <c r="C29" t="s">
        <v>21</v>
      </c>
      <c r="D29" t="s">
        <v>24</v>
      </c>
      <c r="E29" t="s">
        <v>20</v>
      </c>
      <c r="F29" t="s">
        <v>29</v>
      </c>
      <c r="G29" t="s">
        <v>31</v>
      </c>
    </row>
    <row r="30" spans="1:7">
      <c r="A30">
        <v>82</v>
      </c>
      <c r="B30" t="s">
        <v>20</v>
      </c>
      <c r="C30" t="s">
        <v>21</v>
      </c>
      <c r="D30" t="s">
        <v>24</v>
      </c>
      <c r="E30" t="s">
        <v>20</v>
      </c>
      <c r="F30" t="s">
        <v>29</v>
      </c>
      <c r="G30" t="s">
        <v>25</v>
      </c>
    </row>
    <row r="31" spans="1:7">
      <c r="A31">
        <v>83</v>
      </c>
      <c r="B31" t="s">
        <v>20</v>
      </c>
      <c r="C31" t="s">
        <v>21</v>
      </c>
      <c r="D31" t="s">
        <v>24</v>
      </c>
      <c r="E31" t="s">
        <v>20</v>
      </c>
      <c r="F31" t="s">
        <v>29</v>
      </c>
      <c r="G31" t="s">
        <v>26</v>
      </c>
    </row>
    <row r="32" spans="1:7">
      <c r="A32">
        <v>96</v>
      </c>
      <c r="B32" t="s">
        <v>20</v>
      </c>
      <c r="C32" t="s">
        <v>21</v>
      </c>
      <c r="D32" t="s">
        <v>24</v>
      </c>
      <c r="E32" t="s">
        <v>30</v>
      </c>
      <c r="F32" t="s">
        <v>29</v>
      </c>
      <c r="G32" t="s">
        <v>22</v>
      </c>
    </row>
    <row r="33" spans="1:7">
      <c r="A33">
        <v>97</v>
      </c>
      <c r="B33" t="s">
        <v>20</v>
      </c>
      <c r="C33" t="s">
        <v>21</v>
      </c>
      <c r="D33" t="s">
        <v>24</v>
      </c>
      <c r="E33" t="s">
        <v>30</v>
      </c>
      <c r="F33" t="s">
        <v>29</v>
      </c>
      <c r="G33" t="s">
        <v>23</v>
      </c>
    </row>
    <row r="34" spans="1:7">
      <c r="A34">
        <v>98</v>
      </c>
      <c r="B34" t="s">
        <v>20</v>
      </c>
      <c r="C34" t="s">
        <v>21</v>
      </c>
      <c r="D34" t="s">
        <v>24</v>
      </c>
      <c r="E34" t="s">
        <v>30</v>
      </c>
      <c r="F34" t="s">
        <v>29</v>
      </c>
      <c r="G34" t="s">
        <v>24</v>
      </c>
    </row>
    <row r="35" spans="1:7">
      <c r="A35">
        <v>99</v>
      </c>
      <c r="B35" t="s">
        <v>20</v>
      </c>
      <c r="C35" t="s">
        <v>21</v>
      </c>
      <c r="D35" t="s">
        <v>24</v>
      </c>
      <c r="E35" t="s">
        <v>30</v>
      </c>
      <c r="F35" t="s">
        <v>29</v>
      </c>
      <c r="G35" t="s">
        <v>31</v>
      </c>
    </row>
    <row r="36" spans="1:7">
      <c r="A36">
        <v>100</v>
      </c>
      <c r="B36" t="s">
        <v>20</v>
      </c>
      <c r="C36" t="s">
        <v>21</v>
      </c>
      <c r="D36" t="s">
        <v>24</v>
      </c>
      <c r="E36" t="s">
        <v>30</v>
      </c>
      <c r="F36" t="s">
        <v>29</v>
      </c>
      <c r="G36" t="s">
        <v>25</v>
      </c>
    </row>
    <row r="37" spans="1:7">
      <c r="A37">
        <v>101</v>
      </c>
      <c r="B37" t="s">
        <v>20</v>
      </c>
      <c r="C37" t="s">
        <v>21</v>
      </c>
      <c r="D37" t="s">
        <v>24</v>
      </c>
      <c r="E37" t="s">
        <v>30</v>
      </c>
      <c r="F37" t="s">
        <v>29</v>
      </c>
      <c r="G37" t="s">
        <v>26</v>
      </c>
    </row>
    <row r="38" spans="1:7">
      <c r="A38">
        <v>110</v>
      </c>
      <c r="B38" t="s">
        <v>20</v>
      </c>
      <c r="C38" t="s">
        <v>21</v>
      </c>
      <c r="D38" t="s">
        <v>25</v>
      </c>
      <c r="E38" t="s">
        <v>20</v>
      </c>
      <c r="F38" t="s">
        <v>29</v>
      </c>
      <c r="G38" t="s">
        <v>22</v>
      </c>
    </row>
    <row r="39" spans="1:7">
      <c r="A39">
        <v>111</v>
      </c>
      <c r="B39" t="s">
        <v>20</v>
      </c>
      <c r="C39" t="s">
        <v>21</v>
      </c>
      <c r="D39" t="s">
        <v>25</v>
      </c>
      <c r="E39" t="s">
        <v>20</v>
      </c>
      <c r="F39" t="s">
        <v>29</v>
      </c>
      <c r="G39" t="s">
        <v>23</v>
      </c>
    </row>
    <row r="40" spans="1:7">
      <c r="A40">
        <v>112</v>
      </c>
      <c r="B40" t="s">
        <v>20</v>
      </c>
      <c r="C40" t="s">
        <v>21</v>
      </c>
      <c r="D40" t="s">
        <v>25</v>
      </c>
      <c r="E40" t="s">
        <v>20</v>
      </c>
      <c r="F40" t="s">
        <v>29</v>
      </c>
      <c r="G40" t="s">
        <v>24</v>
      </c>
    </row>
    <row r="41" spans="1:7">
      <c r="A41">
        <v>113</v>
      </c>
      <c r="B41" t="s">
        <v>20</v>
      </c>
      <c r="C41" t="s">
        <v>21</v>
      </c>
      <c r="D41" t="s">
        <v>25</v>
      </c>
      <c r="E41" t="s">
        <v>20</v>
      </c>
      <c r="F41" t="s">
        <v>29</v>
      </c>
      <c r="G41" t="s">
        <v>31</v>
      </c>
    </row>
    <row r="42" spans="1:7">
      <c r="A42">
        <v>114</v>
      </c>
      <c r="B42" t="s">
        <v>20</v>
      </c>
      <c r="C42" t="s">
        <v>21</v>
      </c>
      <c r="D42" t="s">
        <v>25</v>
      </c>
      <c r="E42" t="s">
        <v>20</v>
      </c>
      <c r="F42" t="s">
        <v>29</v>
      </c>
      <c r="G42" t="s">
        <v>25</v>
      </c>
    </row>
    <row r="43" spans="1:7">
      <c r="A43">
        <v>115</v>
      </c>
      <c r="B43" t="s">
        <v>20</v>
      </c>
      <c r="C43" t="s">
        <v>21</v>
      </c>
      <c r="D43" t="s">
        <v>25</v>
      </c>
      <c r="E43" t="s">
        <v>20</v>
      </c>
      <c r="F43" t="s">
        <v>29</v>
      </c>
      <c r="G43" t="s">
        <v>26</v>
      </c>
    </row>
    <row r="44" spans="1:7">
      <c r="A44">
        <v>128</v>
      </c>
      <c r="B44" t="s">
        <v>20</v>
      </c>
      <c r="C44" t="s">
        <v>21</v>
      </c>
      <c r="D44" t="s">
        <v>25</v>
      </c>
      <c r="E44" t="s">
        <v>30</v>
      </c>
      <c r="F44" t="s">
        <v>29</v>
      </c>
      <c r="G44" t="s">
        <v>22</v>
      </c>
    </row>
    <row r="45" spans="1:7">
      <c r="A45">
        <v>129</v>
      </c>
      <c r="B45" t="s">
        <v>20</v>
      </c>
      <c r="C45" t="s">
        <v>21</v>
      </c>
      <c r="D45" t="s">
        <v>25</v>
      </c>
      <c r="E45" t="s">
        <v>30</v>
      </c>
      <c r="F45" t="s">
        <v>29</v>
      </c>
      <c r="G45" t="s">
        <v>23</v>
      </c>
    </row>
    <row r="46" spans="1:7">
      <c r="A46">
        <v>130</v>
      </c>
      <c r="B46" t="s">
        <v>20</v>
      </c>
      <c r="C46" t="s">
        <v>21</v>
      </c>
      <c r="D46" t="s">
        <v>25</v>
      </c>
      <c r="E46" t="s">
        <v>30</v>
      </c>
      <c r="F46" t="s">
        <v>29</v>
      </c>
      <c r="G46" t="s">
        <v>24</v>
      </c>
    </row>
    <row r="47" spans="1:7">
      <c r="A47">
        <v>131</v>
      </c>
      <c r="B47" t="s">
        <v>20</v>
      </c>
      <c r="C47" t="s">
        <v>21</v>
      </c>
      <c r="D47" t="s">
        <v>25</v>
      </c>
      <c r="E47" t="s">
        <v>30</v>
      </c>
      <c r="F47" t="s">
        <v>29</v>
      </c>
      <c r="G47" t="s">
        <v>31</v>
      </c>
    </row>
    <row r="48" spans="1:7">
      <c r="A48">
        <v>132</v>
      </c>
      <c r="B48" t="s">
        <v>20</v>
      </c>
      <c r="C48" t="s">
        <v>21</v>
      </c>
      <c r="D48" t="s">
        <v>25</v>
      </c>
      <c r="E48" t="s">
        <v>30</v>
      </c>
      <c r="F48" t="s">
        <v>29</v>
      </c>
      <c r="G48" t="s">
        <v>25</v>
      </c>
    </row>
    <row r="49" spans="1:7">
      <c r="A49">
        <v>133</v>
      </c>
      <c r="B49" t="s">
        <v>20</v>
      </c>
      <c r="C49" t="s">
        <v>21</v>
      </c>
      <c r="D49" t="s">
        <v>25</v>
      </c>
      <c r="E49" t="s">
        <v>30</v>
      </c>
      <c r="F49" t="s">
        <v>29</v>
      </c>
      <c r="G49" t="s">
        <v>26</v>
      </c>
    </row>
    <row r="50" spans="1:7">
      <c r="A50">
        <v>141</v>
      </c>
      <c r="B50" t="s">
        <v>20</v>
      </c>
      <c r="C50" t="s">
        <v>21</v>
      </c>
      <c r="D50" t="s">
        <v>26</v>
      </c>
      <c r="E50" t="s">
        <v>20</v>
      </c>
      <c r="F50" t="s">
        <v>29</v>
      </c>
      <c r="G50" t="s">
        <v>22</v>
      </c>
    </row>
    <row r="51" spans="1:7">
      <c r="A51">
        <v>142</v>
      </c>
      <c r="B51" t="s">
        <v>20</v>
      </c>
      <c r="C51" t="s">
        <v>21</v>
      </c>
      <c r="D51" t="s">
        <v>26</v>
      </c>
      <c r="E51" t="s">
        <v>20</v>
      </c>
      <c r="F51" t="s">
        <v>29</v>
      </c>
      <c r="G51" t="s">
        <v>23</v>
      </c>
    </row>
    <row r="52" spans="1:7">
      <c r="A52">
        <v>143</v>
      </c>
      <c r="B52" t="s">
        <v>20</v>
      </c>
      <c r="C52" t="s">
        <v>21</v>
      </c>
      <c r="D52" t="s">
        <v>26</v>
      </c>
      <c r="E52" t="s">
        <v>20</v>
      </c>
      <c r="F52" t="s">
        <v>29</v>
      </c>
      <c r="G52" t="s">
        <v>24</v>
      </c>
    </row>
    <row r="53" spans="1:7">
      <c r="A53">
        <v>144</v>
      </c>
      <c r="B53" t="s">
        <v>20</v>
      </c>
      <c r="C53" t="s">
        <v>21</v>
      </c>
      <c r="D53" t="s">
        <v>26</v>
      </c>
      <c r="E53" t="s">
        <v>20</v>
      </c>
      <c r="F53" t="s">
        <v>29</v>
      </c>
      <c r="G53" t="s">
        <v>31</v>
      </c>
    </row>
    <row r="54" spans="1:7">
      <c r="A54">
        <v>145</v>
      </c>
      <c r="B54" t="s">
        <v>20</v>
      </c>
      <c r="C54" t="s">
        <v>21</v>
      </c>
      <c r="D54" t="s">
        <v>26</v>
      </c>
      <c r="E54" t="s">
        <v>20</v>
      </c>
      <c r="F54" t="s">
        <v>29</v>
      </c>
      <c r="G54" t="s">
        <v>25</v>
      </c>
    </row>
    <row r="55" spans="1:7">
      <c r="A55">
        <v>146</v>
      </c>
      <c r="B55" t="s">
        <v>20</v>
      </c>
      <c r="C55" t="s">
        <v>21</v>
      </c>
      <c r="D55" t="s">
        <v>26</v>
      </c>
      <c r="E55" t="s">
        <v>20</v>
      </c>
      <c r="F55" t="s">
        <v>29</v>
      </c>
      <c r="G55" t="s">
        <v>26</v>
      </c>
    </row>
    <row r="56" spans="1:7">
      <c r="A56">
        <v>159</v>
      </c>
      <c r="B56" t="s">
        <v>20</v>
      </c>
      <c r="C56" t="s">
        <v>21</v>
      </c>
      <c r="D56" t="s">
        <v>26</v>
      </c>
      <c r="E56" t="s">
        <v>30</v>
      </c>
      <c r="F56" t="s">
        <v>29</v>
      </c>
      <c r="G56" t="s">
        <v>22</v>
      </c>
    </row>
    <row r="57" spans="1:7">
      <c r="A57">
        <v>160</v>
      </c>
      <c r="B57" t="s">
        <v>20</v>
      </c>
      <c r="C57" t="s">
        <v>21</v>
      </c>
      <c r="D57" t="s">
        <v>26</v>
      </c>
      <c r="E57" t="s">
        <v>30</v>
      </c>
      <c r="F57" t="s">
        <v>29</v>
      </c>
      <c r="G57" t="s">
        <v>23</v>
      </c>
    </row>
    <row r="58" spans="1:7">
      <c r="A58">
        <v>161</v>
      </c>
      <c r="B58" t="s">
        <v>20</v>
      </c>
      <c r="C58" t="s">
        <v>21</v>
      </c>
      <c r="D58" t="s">
        <v>26</v>
      </c>
      <c r="E58" t="s">
        <v>30</v>
      </c>
      <c r="F58" t="s">
        <v>29</v>
      </c>
      <c r="G58" t="s">
        <v>24</v>
      </c>
    </row>
    <row r="59" spans="1:7">
      <c r="A59">
        <v>162</v>
      </c>
      <c r="B59" t="s">
        <v>20</v>
      </c>
      <c r="C59" t="s">
        <v>21</v>
      </c>
      <c r="D59" t="s">
        <v>26</v>
      </c>
      <c r="E59" t="s">
        <v>30</v>
      </c>
      <c r="F59" t="s">
        <v>29</v>
      </c>
      <c r="G59" t="s">
        <v>31</v>
      </c>
    </row>
    <row r="60" spans="1:7">
      <c r="A60">
        <v>163</v>
      </c>
      <c r="B60" t="s">
        <v>20</v>
      </c>
      <c r="C60" t="s">
        <v>21</v>
      </c>
      <c r="D60" t="s">
        <v>26</v>
      </c>
      <c r="E60" t="s">
        <v>30</v>
      </c>
      <c r="F60" t="s">
        <v>29</v>
      </c>
      <c r="G60" t="s">
        <v>25</v>
      </c>
    </row>
    <row r="61" spans="1:7">
      <c r="A61">
        <v>164</v>
      </c>
      <c r="B61" t="s">
        <v>20</v>
      </c>
      <c r="C61" t="s">
        <v>21</v>
      </c>
      <c r="D61" t="s">
        <v>26</v>
      </c>
      <c r="E61" t="s">
        <v>30</v>
      </c>
      <c r="F61" t="s">
        <v>29</v>
      </c>
      <c r="G61" t="s">
        <v>26</v>
      </c>
    </row>
    <row r="62" spans="1:7">
      <c r="A62">
        <v>171</v>
      </c>
      <c r="B62" t="s">
        <v>20</v>
      </c>
      <c r="C62" t="s">
        <v>21</v>
      </c>
      <c r="D62" t="s">
        <v>27</v>
      </c>
      <c r="E62" t="s">
        <v>20</v>
      </c>
      <c r="F62" t="s">
        <v>29</v>
      </c>
      <c r="G62" t="s">
        <v>22</v>
      </c>
    </row>
    <row r="63" spans="1:7">
      <c r="A63">
        <v>172</v>
      </c>
      <c r="B63" t="s">
        <v>20</v>
      </c>
      <c r="C63" t="s">
        <v>21</v>
      </c>
      <c r="D63" t="s">
        <v>27</v>
      </c>
      <c r="E63" t="s">
        <v>20</v>
      </c>
      <c r="F63" t="s">
        <v>29</v>
      </c>
      <c r="G63" t="s">
        <v>23</v>
      </c>
    </row>
    <row r="64" spans="1:7">
      <c r="A64">
        <v>173</v>
      </c>
      <c r="B64" t="s">
        <v>20</v>
      </c>
      <c r="C64" t="s">
        <v>21</v>
      </c>
      <c r="D64" t="s">
        <v>27</v>
      </c>
      <c r="E64" t="s">
        <v>20</v>
      </c>
      <c r="F64" t="s">
        <v>29</v>
      </c>
      <c r="G64" t="s">
        <v>24</v>
      </c>
    </row>
    <row r="65" spans="1:7">
      <c r="A65">
        <v>174</v>
      </c>
      <c r="B65" t="s">
        <v>20</v>
      </c>
      <c r="C65" t="s">
        <v>21</v>
      </c>
      <c r="D65" t="s">
        <v>27</v>
      </c>
      <c r="E65" t="s">
        <v>20</v>
      </c>
      <c r="F65" t="s">
        <v>29</v>
      </c>
      <c r="G65" t="s">
        <v>31</v>
      </c>
    </row>
    <row r="66" spans="1:7">
      <c r="A66">
        <v>175</v>
      </c>
      <c r="B66" t="s">
        <v>20</v>
      </c>
      <c r="C66" t="s">
        <v>21</v>
      </c>
      <c r="D66" t="s">
        <v>27</v>
      </c>
      <c r="E66" t="s">
        <v>20</v>
      </c>
      <c r="F66" t="s">
        <v>29</v>
      </c>
      <c r="G66" t="s">
        <v>25</v>
      </c>
    </row>
    <row r="67" spans="1:7">
      <c r="A67">
        <v>176</v>
      </c>
      <c r="B67" t="s">
        <v>20</v>
      </c>
      <c r="C67" t="s">
        <v>21</v>
      </c>
      <c r="D67" t="s">
        <v>27</v>
      </c>
      <c r="E67" t="s">
        <v>20</v>
      </c>
      <c r="F67" t="s">
        <v>29</v>
      </c>
      <c r="G67" t="s">
        <v>26</v>
      </c>
    </row>
    <row r="68" spans="1:7">
      <c r="A68">
        <v>189</v>
      </c>
      <c r="B68" t="s">
        <v>20</v>
      </c>
      <c r="C68" t="s">
        <v>21</v>
      </c>
      <c r="D68" t="s">
        <v>27</v>
      </c>
      <c r="E68" t="s">
        <v>30</v>
      </c>
      <c r="F68" t="s">
        <v>29</v>
      </c>
      <c r="G68" t="s">
        <v>22</v>
      </c>
    </row>
    <row r="69" spans="1:7">
      <c r="A69">
        <v>190</v>
      </c>
      <c r="B69" t="s">
        <v>20</v>
      </c>
      <c r="C69" t="s">
        <v>21</v>
      </c>
      <c r="D69" t="s">
        <v>27</v>
      </c>
      <c r="E69" t="s">
        <v>30</v>
      </c>
      <c r="F69" t="s">
        <v>29</v>
      </c>
      <c r="G69" t="s">
        <v>23</v>
      </c>
    </row>
    <row r="70" spans="1:7">
      <c r="A70">
        <v>191</v>
      </c>
      <c r="B70" t="s">
        <v>20</v>
      </c>
      <c r="C70" t="s">
        <v>21</v>
      </c>
      <c r="D70" t="s">
        <v>27</v>
      </c>
      <c r="E70" t="s">
        <v>30</v>
      </c>
      <c r="F70" t="s">
        <v>29</v>
      </c>
      <c r="G70" t="s">
        <v>24</v>
      </c>
    </row>
    <row r="71" spans="1:7">
      <c r="A71">
        <v>192</v>
      </c>
      <c r="B71" t="s">
        <v>20</v>
      </c>
      <c r="C71" t="s">
        <v>21</v>
      </c>
      <c r="D71" t="s">
        <v>27</v>
      </c>
      <c r="E71" t="s">
        <v>30</v>
      </c>
      <c r="F71" t="s">
        <v>29</v>
      </c>
      <c r="G71" t="s">
        <v>31</v>
      </c>
    </row>
    <row r="72" spans="1:7">
      <c r="A72">
        <v>193</v>
      </c>
      <c r="B72" t="s">
        <v>20</v>
      </c>
      <c r="C72" t="s">
        <v>21</v>
      </c>
      <c r="D72" t="s">
        <v>27</v>
      </c>
      <c r="E72" t="s">
        <v>30</v>
      </c>
      <c r="F72" t="s">
        <v>29</v>
      </c>
      <c r="G72" t="s">
        <v>25</v>
      </c>
    </row>
    <row r="73" spans="1:7">
      <c r="A73">
        <v>194</v>
      </c>
      <c r="B73" t="s">
        <v>20</v>
      </c>
      <c r="C73" t="s">
        <v>21</v>
      </c>
      <c r="D73" t="s">
        <v>27</v>
      </c>
      <c r="E73" t="s">
        <v>30</v>
      </c>
      <c r="F73" t="s">
        <v>29</v>
      </c>
      <c r="G73" t="s">
        <v>26</v>
      </c>
    </row>
    <row r="74" spans="1:7">
      <c r="A74">
        <v>200</v>
      </c>
      <c r="B74" t="s">
        <v>20</v>
      </c>
      <c r="C74" t="s">
        <v>28</v>
      </c>
      <c r="D74" t="s">
        <v>22</v>
      </c>
      <c r="E74" t="s">
        <v>20</v>
      </c>
      <c r="F74" t="s">
        <v>29</v>
      </c>
      <c r="G74" t="s">
        <v>22</v>
      </c>
    </row>
    <row r="75" spans="1:7">
      <c r="A75">
        <v>201</v>
      </c>
      <c r="B75" t="s">
        <v>20</v>
      </c>
      <c r="C75" t="s">
        <v>28</v>
      </c>
      <c r="D75" t="s">
        <v>22</v>
      </c>
      <c r="E75" t="s">
        <v>20</v>
      </c>
      <c r="F75" t="s">
        <v>29</v>
      </c>
      <c r="G75" t="s">
        <v>23</v>
      </c>
    </row>
    <row r="76" spans="1:7">
      <c r="A76">
        <v>202</v>
      </c>
      <c r="B76" t="s">
        <v>20</v>
      </c>
      <c r="C76" t="s">
        <v>28</v>
      </c>
      <c r="D76" t="s">
        <v>22</v>
      </c>
      <c r="E76" t="s">
        <v>20</v>
      </c>
      <c r="F76" t="s">
        <v>29</v>
      </c>
      <c r="G76" t="s">
        <v>24</v>
      </c>
    </row>
    <row r="77" spans="1:7">
      <c r="A77">
        <v>203</v>
      </c>
      <c r="B77" t="s">
        <v>20</v>
      </c>
      <c r="C77" t="s">
        <v>28</v>
      </c>
      <c r="D77" t="s">
        <v>22</v>
      </c>
      <c r="E77" t="s">
        <v>20</v>
      </c>
      <c r="F77" t="s">
        <v>29</v>
      </c>
      <c r="G77" t="s">
        <v>31</v>
      </c>
    </row>
    <row r="78" spans="1:7">
      <c r="A78">
        <v>204</v>
      </c>
      <c r="B78" t="s">
        <v>20</v>
      </c>
      <c r="C78" t="s">
        <v>28</v>
      </c>
      <c r="D78" t="s">
        <v>22</v>
      </c>
      <c r="E78" t="s">
        <v>20</v>
      </c>
      <c r="F78" t="s">
        <v>29</v>
      </c>
      <c r="G78" t="s">
        <v>25</v>
      </c>
    </row>
    <row r="79" spans="1:7">
      <c r="A79">
        <v>205</v>
      </c>
      <c r="B79" t="s">
        <v>20</v>
      </c>
      <c r="C79" t="s">
        <v>28</v>
      </c>
      <c r="D79" t="s">
        <v>22</v>
      </c>
      <c r="E79" t="s">
        <v>20</v>
      </c>
      <c r="F79" t="s">
        <v>29</v>
      </c>
      <c r="G79" t="s">
        <v>26</v>
      </c>
    </row>
    <row r="80" spans="1:7">
      <c r="A80">
        <v>218</v>
      </c>
      <c r="B80" t="s">
        <v>20</v>
      </c>
      <c r="C80" t="s">
        <v>28</v>
      </c>
      <c r="D80" t="s">
        <v>22</v>
      </c>
      <c r="E80" t="s">
        <v>30</v>
      </c>
      <c r="F80" t="s">
        <v>29</v>
      </c>
      <c r="G80" t="s">
        <v>22</v>
      </c>
    </row>
    <row r="81" spans="1:7">
      <c r="A81">
        <v>219</v>
      </c>
      <c r="B81" t="s">
        <v>20</v>
      </c>
      <c r="C81" t="s">
        <v>28</v>
      </c>
      <c r="D81" t="s">
        <v>22</v>
      </c>
      <c r="E81" t="s">
        <v>30</v>
      </c>
      <c r="F81" t="s">
        <v>29</v>
      </c>
      <c r="G81" t="s">
        <v>23</v>
      </c>
    </row>
    <row r="82" spans="1:7">
      <c r="A82">
        <v>220</v>
      </c>
      <c r="B82" t="s">
        <v>20</v>
      </c>
      <c r="C82" t="s">
        <v>28</v>
      </c>
      <c r="D82" t="s">
        <v>22</v>
      </c>
      <c r="E82" t="s">
        <v>30</v>
      </c>
      <c r="F82" t="s">
        <v>29</v>
      </c>
      <c r="G82" t="s">
        <v>24</v>
      </c>
    </row>
    <row r="83" spans="1:7">
      <c r="A83">
        <v>221</v>
      </c>
      <c r="B83" t="s">
        <v>20</v>
      </c>
      <c r="C83" t="s">
        <v>28</v>
      </c>
      <c r="D83" t="s">
        <v>22</v>
      </c>
      <c r="E83" t="s">
        <v>30</v>
      </c>
      <c r="F83" t="s">
        <v>29</v>
      </c>
      <c r="G83" t="s">
        <v>31</v>
      </c>
    </row>
    <row r="84" spans="1:7">
      <c r="A84">
        <v>222</v>
      </c>
      <c r="B84" t="s">
        <v>20</v>
      </c>
      <c r="C84" t="s">
        <v>28</v>
      </c>
      <c r="D84" t="s">
        <v>22</v>
      </c>
      <c r="E84" t="s">
        <v>30</v>
      </c>
      <c r="F84" t="s">
        <v>29</v>
      </c>
      <c r="G84" t="s">
        <v>25</v>
      </c>
    </row>
    <row r="85" spans="1:7">
      <c r="A85">
        <v>223</v>
      </c>
      <c r="B85" t="s">
        <v>20</v>
      </c>
      <c r="C85" t="s">
        <v>28</v>
      </c>
      <c r="D85" t="s">
        <v>22</v>
      </c>
      <c r="E85" t="s">
        <v>30</v>
      </c>
      <c r="F85" t="s">
        <v>29</v>
      </c>
      <c r="G85" t="s">
        <v>26</v>
      </c>
    </row>
    <row r="86" spans="1:7">
      <c r="A86">
        <v>228</v>
      </c>
      <c r="B86" t="s">
        <v>20</v>
      </c>
      <c r="C86" t="s">
        <v>28</v>
      </c>
      <c r="D86" t="s">
        <v>23</v>
      </c>
      <c r="E86" t="s">
        <v>20</v>
      </c>
      <c r="F86" t="s">
        <v>29</v>
      </c>
      <c r="G86" t="s">
        <v>22</v>
      </c>
    </row>
    <row r="87" spans="1:7">
      <c r="A87">
        <v>229</v>
      </c>
      <c r="B87" t="s">
        <v>20</v>
      </c>
      <c r="C87" t="s">
        <v>28</v>
      </c>
      <c r="D87" t="s">
        <v>23</v>
      </c>
      <c r="E87" t="s">
        <v>20</v>
      </c>
      <c r="F87" t="s">
        <v>29</v>
      </c>
      <c r="G87" t="s">
        <v>23</v>
      </c>
    </row>
    <row r="88" spans="1:7">
      <c r="A88">
        <v>230</v>
      </c>
      <c r="B88" t="s">
        <v>20</v>
      </c>
      <c r="C88" t="s">
        <v>28</v>
      </c>
      <c r="D88" t="s">
        <v>23</v>
      </c>
      <c r="E88" t="s">
        <v>20</v>
      </c>
      <c r="F88" t="s">
        <v>29</v>
      </c>
      <c r="G88" t="s">
        <v>24</v>
      </c>
    </row>
    <row r="89" spans="1:7">
      <c r="A89">
        <v>231</v>
      </c>
      <c r="B89" t="s">
        <v>20</v>
      </c>
      <c r="C89" t="s">
        <v>28</v>
      </c>
      <c r="D89" t="s">
        <v>23</v>
      </c>
      <c r="E89" t="s">
        <v>20</v>
      </c>
      <c r="F89" t="s">
        <v>29</v>
      </c>
      <c r="G89" t="s">
        <v>31</v>
      </c>
    </row>
    <row r="90" spans="1:7">
      <c r="A90">
        <v>232</v>
      </c>
      <c r="B90" t="s">
        <v>20</v>
      </c>
      <c r="C90" t="s">
        <v>28</v>
      </c>
      <c r="D90" t="s">
        <v>23</v>
      </c>
      <c r="E90" t="s">
        <v>20</v>
      </c>
      <c r="F90" t="s">
        <v>29</v>
      </c>
      <c r="G90" t="s">
        <v>25</v>
      </c>
    </row>
    <row r="91" spans="1:7">
      <c r="A91">
        <v>233</v>
      </c>
      <c r="B91" t="s">
        <v>20</v>
      </c>
      <c r="C91" t="s">
        <v>28</v>
      </c>
      <c r="D91" t="s">
        <v>23</v>
      </c>
      <c r="E91" t="s">
        <v>20</v>
      </c>
      <c r="F91" t="s">
        <v>29</v>
      </c>
      <c r="G91" t="s">
        <v>26</v>
      </c>
    </row>
    <row r="92" spans="1:7">
      <c r="A92">
        <v>246</v>
      </c>
      <c r="B92" t="s">
        <v>20</v>
      </c>
      <c r="C92" t="s">
        <v>28</v>
      </c>
      <c r="D92" t="s">
        <v>23</v>
      </c>
      <c r="E92" t="s">
        <v>30</v>
      </c>
      <c r="F92" t="s">
        <v>29</v>
      </c>
      <c r="G92" t="s">
        <v>22</v>
      </c>
    </row>
    <row r="93" spans="1:7">
      <c r="A93">
        <v>247</v>
      </c>
      <c r="B93" t="s">
        <v>20</v>
      </c>
      <c r="C93" t="s">
        <v>28</v>
      </c>
      <c r="D93" t="s">
        <v>23</v>
      </c>
      <c r="E93" t="s">
        <v>30</v>
      </c>
      <c r="F93" t="s">
        <v>29</v>
      </c>
      <c r="G93" t="s">
        <v>23</v>
      </c>
    </row>
    <row r="94" spans="1:7">
      <c r="A94">
        <v>248</v>
      </c>
      <c r="B94" t="s">
        <v>20</v>
      </c>
      <c r="C94" t="s">
        <v>28</v>
      </c>
      <c r="D94" t="s">
        <v>23</v>
      </c>
      <c r="E94" t="s">
        <v>30</v>
      </c>
      <c r="F94" t="s">
        <v>29</v>
      </c>
      <c r="G94" t="s">
        <v>24</v>
      </c>
    </row>
    <row r="95" spans="1:7">
      <c r="A95">
        <v>249</v>
      </c>
      <c r="B95" t="s">
        <v>20</v>
      </c>
      <c r="C95" t="s">
        <v>28</v>
      </c>
      <c r="D95" t="s">
        <v>23</v>
      </c>
      <c r="E95" t="s">
        <v>30</v>
      </c>
      <c r="F95" t="s">
        <v>29</v>
      </c>
      <c r="G95" t="s">
        <v>31</v>
      </c>
    </row>
    <row r="96" spans="1:7">
      <c r="A96">
        <v>250</v>
      </c>
      <c r="B96" t="s">
        <v>20</v>
      </c>
      <c r="C96" t="s">
        <v>28</v>
      </c>
      <c r="D96" t="s">
        <v>23</v>
      </c>
      <c r="E96" t="s">
        <v>30</v>
      </c>
      <c r="F96" t="s">
        <v>29</v>
      </c>
      <c r="G96" t="s">
        <v>25</v>
      </c>
    </row>
    <row r="97" spans="1:7">
      <c r="A97">
        <v>251</v>
      </c>
      <c r="B97" t="s">
        <v>20</v>
      </c>
      <c r="C97" t="s">
        <v>28</v>
      </c>
      <c r="D97" t="s">
        <v>23</v>
      </c>
      <c r="E97" t="s">
        <v>30</v>
      </c>
      <c r="F97" t="s">
        <v>29</v>
      </c>
      <c r="G97" t="s">
        <v>26</v>
      </c>
    </row>
    <row r="98" spans="1:7">
      <c r="A98">
        <v>255</v>
      </c>
      <c r="B98" t="s">
        <v>20</v>
      </c>
      <c r="C98" t="s">
        <v>28</v>
      </c>
      <c r="D98" t="s">
        <v>24</v>
      </c>
      <c r="E98" t="s">
        <v>20</v>
      </c>
      <c r="F98" t="s">
        <v>29</v>
      </c>
      <c r="G98" t="s">
        <v>22</v>
      </c>
    </row>
    <row r="99" spans="1:7">
      <c r="A99">
        <v>256</v>
      </c>
      <c r="B99" t="s">
        <v>20</v>
      </c>
      <c r="C99" t="s">
        <v>28</v>
      </c>
      <c r="D99" t="s">
        <v>24</v>
      </c>
      <c r="E99" t="s">
        <v>20</v>
      </c>
      <c r="F99" t="s">
        <v>29</v>
      </c>
      <c r="G99" t="s">
        <v>23</v>
      </c>
    </row>
    <row r="100" spans="1:7">
      <c r="A100">
        <v>257</v>
      </c>
      <c r="B100" t="s">
        <v>20</v>
      </c>
      <c r="C100" t="s">
        <v>28</v>
      </c>
      <c r="D100" t="s">
        <v>24</v>
      </c>
      <c r="E100" t="s">
        <v>20</v>
      </c>
      <c r="F100" t="s">
        <v>29</v>
      </c>
      <c r="G100" t="s">
        <v>24</v>
      </c>
    </row>
    <row r="101" spans="1:7">
      <c r="A101">
        <v>258</v>
      </c>
      <c r="B101" t="s">
        <v>20</v>
      </c>
      <c r="C101" t="s">
        <v>28</v>
      </c>
      <c r="D101" t="s">
        <v>24</v>
      </c>
      <c r="E101" t="s">
        <v>20</v>
      </c>
      <c r="F101" t="s">
        <v>29</v>
      </c>
      <c r="G101" t="s">
        <v>31</v>
      </c>
    </row>
    <row r="102" spans="1:7">
      <c r="A102">
        <v>259</v>
      </c>
      <c r="B102" t="s">
        <v>20</v>
      </c>
      <c r="C102" t="s">
        <v>28</v>
      </c>
      <c r="D102" t="s">
        <v>24</v>
      </c>
      <c r="E102" t="s">
        <v>20</v>
      </c>
      <c r="F102" t="s">
        <v>29</v>
      </c>
      <c r="G102" t="s">
        <v>25</v>
      </c>
    </row>
    <row r="103" spans="1:7">
      <c r="A103">
        <v>260</v>
      </c>
      <c r="B103" t="s">
        <v>20</v>
      </c>
      <c r="C103" t="s">
        <v>28</v>
      </c>
      <c r="D103" t="s">
        <v>24</v>
      </c>
      <c r="E103" t="s">
        <v>20</v>
      </c>
      <c r="F103" t="s">
        <v>29</v>
      </c>
      <c r="G103" t="s">
        <v>26</v>
      </c>
    </row>
    <row r="104" spans="1:7">
      <c r="A104">
        <v>273</v>
      </c>
      <c r="B104" t="s">
        <v>20</v>
      </c>
      <c r="C104" t="s">
        <v>28</v>
      </c>
      <c r="D104" t="s">
        <v>24</v>
      </c>
      <c r="E104" t="s">
        <v>30</v>
      </c>
      <c r="F104" t="s">
        <v>29</v>
      </c>
      <c r="G104" t="s">
        <v>22</v>
      </c>
    </row>
    <row r="105" spans="1:7">
      <c r="A105">
        <v>274</v>
      </c>
      <c r="B105" t="s">
        <v>20</v>
      </c>
      <c r="C105" t="s">
        <v>28</v>
      </c>
      <c r="D105" t="s">
        <v>24</v>
      </c>
      <c r="E105" t="s">
        <v>30</v>
      </c>
      <c r="F105" t="s">
        <v>29</v>
      </c>
      <c r="G105" t="s">
        <v>23</v>
      </c>
    </row>
    <row r="106" spans="1:7">
      <c r="A106">
        <v>275</v>
      </c>
      <c r="B106" t="s">
        <v>20</v>
      </c>
      <c r="C106" t="s">
        <v>28</v>
      </c>
      <c r="D106" t="s">
        <v>24</v>
      </c>
      <c r="E106" t="s">
        <v>30</v>
      </c>
      <c r="F106" t="s">
        <v>29</v>
      </c>
      <c r="G106" t="s">
        <v>24</v>
      </c>
    </row>
    <row r="107" spans="1:7">
      <c r="A107">
        <v>276</v>
      </c>
      <c r="B107" t="s">
        <v>20</v>
      </c>
      <c r="C107" t="s">
        <v>28</v>
      </c>
      <c r="D107" t="s">
        <v>24</v>
      </c>
      <c r="E107" t="s">
        <v>30</v>
      </c>
      <c r="F107" t="s">
        <v>29</v>
      </c>
      <c r="G107" t="s">
        <v>31</v>
      </c>
    </row>
    <row r="108" spans="1:7">
      <c r="A108">
        <v>277</v>
      </c>
      <c r="B108" t="s">
        <v>20</v>
      </c>
      <c r="C108" t="s">
        <v>28</v>
      </c>
      <c r="D108" t="s">
        <v>24</v>
      </c>
      <c r="E108" t="s">
        <v>30</v>
      </c>
      <c r="F108" t="s">
        <v>29</v>
      </c>
      <c r="G108" t="s">
        <v>25</v>
      </c>
    </row>
    <row r="109" spans="1:7">
      <c r="A109">
        <v>278</v>
      </c>
      <c r="B109" t="s">
        <v>20</v>
      </c>
      <c r="C109" t="s">
        <v>28</v>
      </c>
      <c r="D109" t="s">
        <v>24</v>
      </c>
      <c r="E109" t="s">
        <v>30</v>
      </c>
      <c r="F109" t="s">
        <v>29</v>
      </c>
      <c r="G109" t="s">
        <v>26</v>
      </c>
    </row>
    <row r="110" spans="1:7">
      <c r="A110">
        <v>281</v>
      </c>
      <c r="B110" t="s">
        <v>20</v>
      </c>
      <c r="C110" t="s">
        <v>28</v>
      </c>
      <c r="D110" t="s">
        <v>25</v>
      </c>
      <c r="E110" t="s">
        <v>20</v>
      </c>
      <c r="F110" t="s">
        <v>29</v>
      </c>
      <c r="G110" t="s">
        <v>22</v>
      </c>
    </row>
    <row r="111" spans="1:7">
      <c r="A111">
        <v>282</v>
      </c>
      <c r="B111" t="s">
        <v>20</v>
      </c>
      <c r="C111" t="s">
        <v>28</v>
      </c>
      <c r="D111" t="s">
        <v>25</v>
      </c>
      <c r="E111" t="s">
        <v>20</v>
      </c>
      <c r="F111" t="s">
        <v>29</v>
      </c>
      <c r="G111" t="s">
        <v>23</v>
      </c>
    </row>
    <row r="112" spans="1:7">
      <c r="A112">
        <v>283</v>
      </c>
      <c r="B112" t="s">
        <v>20</v>
      </c>
      <c r="C112" t="s">
        <v>28</v>
      </c>
      <c r="D112" t="s">
        <v>25</v>
      </c>
      <c r="E112" t="s">
        <v>20</v>
      </c>
      <c r="F112" t="s">
        <v>29</v>
      </c>
      <c r="G112" t="s">
        <v>24</v>
      </c>
    </row>
    <row r="113" spans="1:7">
      <c r="A113">
        <v>284</v>
      </c>
      <c r="B113" t="s">
        <v>20</v>
      </c>
      <c r="C113" t="s">
        <v>28</v>
      </c>
      <c r="D113" t="s">
        <v>25</v>
      </c>
      <c r="E113" t="s">
        <v>20</v>
      </c>
      <c r="F113" t="s">
        <v>29</v>
      </c>
      <c r="G113" t="s">
        <v>31</v>
      </c>
    </row>
    <row r="114" spans="1:7">
      <c r="A114">
        <v>285</v>
      </c>
      <c r="B114" t="s">
        <v>20</v>
      </c>
      <c r="C114" t="s">
        <v>28</v>
      </c>
      <c r="D114" t="s">
        <v>25</v>
      </c>
      <c r="E114" t="s">
        <v>20</v>
      </c>
      <c r="F114" t="s">
        <v>29</v>
      </c>
      <c r="G114" t="s">
        <v>25</v>
      </c>
    </row>
    <row r="115" spans="1:7">
      <c r="A115">
        <v>286</v>
      </c>
      <c r="B115" t="s">
        <v>20</v>
      </c>
      <c r="C115" t="s">
        <v>28</v>
      </c>
      <c r="D115" t="s">
        <v>25</v>
      </c>
      <c r="E115" t="s">
        <v>20</v>
      </c>
      <c r="F115" t="s">
        <v>29</v>
      </c>
      <c r="G115" t="s">
        <v>26</v>
      </c>
    </row>
    <row r="116" spans="1:7">
      <c r="A116">
        <v>299</v>
      </c>
      <c r="B116" t="s">
        <v>20</v>
      </c>
      <c r="C116" t="s">
        <v>28</v>
      </c>
      <c r="D116" t="s">
        <v>25</v>
      </c>
      <c r="E116" t="s">
        <v>30</v>
      </c>
      <c r="F116" t="s">
        <v>29</v>
      </c>
      <c r="G116" t="s">
        <v>22</v>
      </c>
    </row>
    <row r="117" spans="1:7">
      <c r="A117">
        <v>300</v>
      </c>
      <c r="B117" t="s">
        <v>20</v>
      </c>
      <c r="C117" t="s">
        <v>28</v>
      </c>
      <c r="D117" t="s">
        <v>25</v>
      </c>
      <c r="E117" t="s">
        <v>30</v>
      </c>
      <c r="F117" t="s">
        <v>29</v>
      </c>
      <c r="G117" t="s">
        <v>23</v>
      </c>
    </row>
    <row r="118" spans="1:7">
      <c r="A118">
        <v>301</v>
      </c>
      <c r="B118" t="s">
        <v>20</v>
      </c>
      <c r="C118" t="s">
        <v>28</v>
      </c>
      <c r="D118" t="s">
        <v>25</v>
      </c>
      <c r="E118" t="s">
        <v>30</v>
      </c>
      <c r="F118" t="s">
        <v>29</v>
      </c>
      <c r="G118" t="s">
        <v>24</v>
      </c>
    </row>
    <row r="119" spans="1:7">
      <c r="A119">
        <v>302</v>
      </c>
      <c r="B119" t="s">
        <v>20</v>
      </c>
      <c r="C119" t="s">
        <v>28</v>
      </c>
      <c r="D119" t="s">
        <v>25</v>
      </c>
      <c r="E119" t="s">
        <v>30</v>
      </c>
      <c r="F119" t="s">
        <v>29</v>
      </c>
      <c r="G119" t="s">
        <v>31</v>
      </c>
    </row>
    <row r="120" spans="1:7">
      <c r="A120">
        <v>303</v>
      </c>
      <c r="B120" t="s">
        <v>20</v>
      </c>
      <c r="C120" t="s">
        <v>28</v>
      </c>
      <c r="D120" t="s">
        <v>25</v>
      </c>
      <c r="E120" t="s">
        <v>30</v>
      </c>
      <c r="F120" t="s">
        <v>29</v>
      </c>
      <c r="G120" t="s">
        <v>25</v>
      </c>
    </row>
    <row r="121" spans="1:7">
      <c r="A121">
        <v>304</v>
      </c>
      <c r="B121" t="s">
        <v>20</v>
      </c>
      <c r="C121" t="s">
        <v>28</v>
      </c>
      <c r="D121" t="s">
        <v>25</v>
      </c>
      <c r="E121" t="s">
        <v>30</v>
      </c>
      <c r="F121" t="s">
        <v>29</v>
      </c>
      <c r="G121" t="s">
        <v>26</v>
      </c>
    </row>
    <row r="122" spans="1:7">
      <c r="A122">
        <v>306</v>
      </c>
      <c r="B122" t="s">
        <v>20</v>
      </c>
      <c r="C122" t="s">
        <v>28</v>
      </c>
      <c r="D122" t="s">
        <v>26</v>
      </c>
      <c r="E122" t="s">
        <v>20</v>
      </c>
      <c r="F122" t="s">
        <v>29</v>
      </c>
      <c r="G122" t="s">
        <v>22</v>
      </c>
    </row>
    <row r="123" spans="1:7">
      <c r="A123">
        <v>307</v>
      </c>
      <c r="B123" t="s">
        <v>20</v>
      </c>
      <c r="C123" t="s">
        <v>28</v>
      </c>
      <c r="D123" t="s">
        <v>26</v>
      </c>
      <c r="E123" t="s">
        <v>20</v>
      </c>
      <c r="F123" t="s">
        <v>29</v>
      </c>
      <c r="G123" t="s">
        <v>23</v>
      </c>
    </row>
    <row r="124" spans="1:7">
      <c r="A124">
        <v>308</v>
      </c>
      <c r="B124" t="s">
        <v>20</v>
      </c>
      <c r="C124" t="s">
        <v>28</v>
      </c>
      <c r="D124" t="s">
        <v>26</v>
      </c>
      <c r="E124" t="s">
        <v>20</v>
      </c>
      <c r="F124" t="s">
        <v>29</v>
      </c>
      <c r="G124" t="s">
        <v>24</v>
      </c>
    </row>
    <row r="125" spans="1:7">
      <c r="A125">
        <v>309</v>
      </c>
      <c r="B125" t="s">
        <v>20</v>
      </c>
      <c r="C125" t="s">
        <v>28</v>
      </c>
      <c r="D125" t="s">
        <v>26</v>
      </c>
      <c r="E125" t="s">
        <v>20</v>
      </c>
      <c r="F125" t="s">
        <v>29</v>
      </c>
      <c r="G125" t="s">
        <v>31</v>
      </c>
    </row>
    <row r="126" spans="1:7">
      <c r="A126">
        <v>310</v>
      </c>
      <c r="B126" t="s">
        <v>20</v>
      </c>
      <c r="C126" t="s">
        <v>28</v>
      </c>
      <c r="D126" t="s">
        <v>26</v>
      </c>
      <c r="E126" t="s">
        <v>20</v>
      </c>
      <c r="F126" t="s">
        <v>29</v>
      </c>
      <c r="G126" t="s">
        <v>25</v>
      </c>
    </row>
    <row r="127" spans="1:7">
      <c r="A127">
        <v>311</v>
      </c>
      <c r="B127" t="s">
        <v>20</v>
      </c>
      <c r="C127" t="s">
        <v>28</v>
      </c>
      <c r="D127" t="s">
        <v>26</v>
      </c>
      <c r="E127" t="s">
        <v>20</v>
      </c>
      <c r="F127" t="s">
        <v>29</v>
      </c>
      <c r="G127" t="s">
        <v>26</v>
      </c>
    </row>
    <row r="128" spans="1:7">
      <c r="A128">
        <v>324</v>
      </c>
      <c r="B128" t="s">
        <v>20</v>
      </c>
      <c r="C128" t="s">
        <v>28</v>
      </c>
      <c r="D128" t="s">
        <v>26</v>
      </c>
      <c r="E128" t="s">
        <v>30</v>
      </c>
      <c r="F128" t="s">
        <v>29</v>
      </c>
      <c r="G128" t="s">
        <v>22</v>
      </c>
    </row>
    <row r="129" spans="1:7">
      <c r="A129">
        <v>325</v>
      </c>
      <c r="B129" t="s">
        <v>20</v>
      </c>
      <c r="C129" t="s">
        <v>28</v>
      </c>
      <c r="D129" t="s">
        <v>26</v>
      </c>
      <c r="E129" t="s">
        <v>30</v>
      </c>
      <c r="F129" t="s">
        <v>29</v>
      </c>
      <c r="G129" t="s">
        <v>23</v>
      </c>
    </row>
    <row r="130" spans="1:7">
      <c r="A130">
        <v>326</v>
      </c>
      <c r="B130" t="s">
        <v>20</v>
      </c>
      <c r="C130" t="s">
        <v>28</v>
      </c>
      <c r="D130" t="s">
        <v>26</v>
      </c>
      <c r="E130" t="s">
        <v>30</v>
      </c>
      <c r="F130" t="s">
        <v>29</v>
      </c>
      <c r="G130" t="s">
        <v>24</v>
      </c>
    </row>
    <row r="131" spans="1:7">
      <c r="A131">
        <v>327</v>
      </c>
      <c r="B131" t="s">
        <v>20</v>
      </c>
      <c r="C131" t="s">
        <v>28</v>
      </c>
      <c r="D131" t="s">
        <v>26</v>
      </c>
      <c r="E131" t="s">
        <v>30</v>
      </c>
      <c r="F131" t="s">
        <v>29</v>
      </c>
      <c r="G131" t="s">
        <v>31</v>
      </c>
    </row>
    <row r="132" spans="1:7">
      <c r="A132">
        <v>328</v>
      </c>
      <c r="B132" t="s">
        <v>20</v>
      </c>
      <c r="C132" t="s">
        <v>28</v>
      </c>
      <c r="D132" t="s">
        <v>26</v>
      </c>
      <c r="E132" t="s">
        <v>30</v>
      </c>
      <c r="F132" t="s">
        <v>29</v>
      </c>
      <c r="G132" t="s">
        <v>25</v>
      </c>
    </row>
    <row r="133" spans="1:7">
      <c r="A133">
        <v>329</v>
      </c>
      <c r="B133" t="s">
        <v>20</v>
      </c>
      <c r="C133" t="s">
        <v>28</v>
      </c>
      <c r="D133" t="s">
        <v>26</v>
      </c>
      <c r="E133" t="s">
        <v>30</v>
      </c>
      <c r="F133" t="s">
        <v>29</v>
      </c>
      <c r="G133" t="s">
        <v>26</v>
      </c>
    </row>
    <row r="134" spans="1:7">
      <c r="A134">
        <v>330</v>
      </c>
      <c r="B134" t="s">
        <v>20</v>
      </c>
      <c r="C134" t="s">
        <v>28</v>
      </c>
      <c r="D134" t="s">
        <v>27</v>
      </c>
      <c r="E134" t="s">
        <v>20</v>
      </c>
      <c r="F134" t="s">
        <v>29</v>
      </c>
      <c r="G134" t="s">
        <v>22</v>
      </c>
    </row>
    <row r="135" spans="1:7">
      <c r="A135">
        <v>331</v>
      </c>
      <c r="B135" t="s">
        <v>20</v>
      </c>
      <c r="C135" t="s">
        <v>28</v>
      </c>
      <c r="D135" t="s">
        <v>27</v>
      </c>
      <c r="E135" t="s">
        <v>20</v>
      </c>
      <c r="F135" t="s">
        <v>29</v>
      </c>
      <c r="G135" t="s">
        <v>23</v>
      </c>
    </row>
    <row r="136" spans="1:7">
      <c r="A136">
        <v>332</v>
      </c>
      <c r="B136" t="s">
        <v>20</v>
      </c>
      <c r="C136" t="s">
        <v>28</v>
      </c>
      <c r="D136" t="s">
        <v>27</v>
      </c>
      <c r="E136" t="s">
        <v>20</v>
      </c>
      <c r="F136" t="s">
        <v>29</v>
      </c>
      <c r="G136" t="s">
        <v>24</v>
      </c>
    </row>
    <row r="137" spans="1:7">
      <c r="A137">
        <v>333</v>
      </c>
      <c r="B137" t="s">
        <v>20</v>
      </c>
      <c r="C137" t="s">
        <v>28</v>
      </c>
      <c r="D137" t="s">
        <v>27</v>
      </c>
      <c r="E137" t="s">
        <v>20</v>
      </c>
      <c r="F137" t="s">
        <v>29</v>
      </c>
      <c r="G137" t="s">
        <v>31</v>
      </c>
    </row>
    <row r="138" spans="1:7">
      <c r="A138">
        <v>334</v>
      </c>
      <c r="B138" t="s">
        <v>20</v>
      </c>
      <c r="C138" t="s">
        <v>28</v>
      </c>
      <c r="D138" t="s">
        <v>27</v>
      </c>
      <c r="E138" t="s">
        <v>20</v>
      </c>
      <c r="F138" t="s">
        <v>29</v>
      </c>
      <c r="G138" t="s">
        <v>25</v>
      </c>
    </row>
    <row r="139" spans="1:7">
      <c r="A139">
        <v>335</v>
      </c>
      <c r="B139" t="s">
        <v>20</v>
      </c>
      <c r="C139" t="s">
        <v>28</v>
      </c>
      <c r="D139" t="s">
        <v>27</v>
      </c>
      <c r="E139" t="s">
        <v>20</v>
      </c>
      <c r="F139" t="s">
        <v>29</v>
      </c>
      <c r="G139" t="s">
        <v>26</v>
      </c>
    </row>
    <row r="140" spans="1:7">
      <c r="A140">
        <v>348</v>
      </c>
      <c r="B140" t="s">
        <v>20</v>
      </c>
      <c r="C140" t="s">
        <v>28</v>
      </c>
      <c r="D140" t="s">
        <v>27</v>
      </c>
      <c r="E140" t="s">
        <v>30</v>
      </c>
      <c r="F140" t="s">
        <v>29</v>
      </c>
      <c r="G140" t="s">
        <v>22</v>
      </c>
    </row>
    <row r="141" spans="1:7">
      <c r="A141">
        <v>349</v>
      </c>
      <c r="B141" t="s">
        <v>20</v>
      </c>
      <c r="C141" t="s">
        <v>28</v>
      </c>
      <c r="D141" t="s">
        <v>27</v>
      </c>
      <c r="E141" t="s">
        <v>30</v>
      </c>
      <c r="F141" t="s">
        <v>29</v>
      </c>
      <c r="G141" t="s">
        <v>23</v>
      </c>
    </row>
    <row r="142" spans="1:7">
      <c r="A142">
        <v>350</v>
      </c>
      <c r="B142" t="s">
        <v>20</v>
      </c>
      <c r="C142" t="s">
        <v>28</v>
      </c>
      <c r="D142" t="s">
        <v>27</v>
      </c>
      <c r="E142" t="s">
        <v>30</v>
      </c>
      <c r="F142" t="s">
        <v>29</v>
      </c>
      <c r="G142" t="s">
        <v>24</v>
      </c>
    </row>
    <row r="143" spans="1:7">
      <c r="A143">
        <v>351</v>
      </c>
      <c r="B143" t="s">
        <v>20</v>
      </c>
      <c r="C143" t="s">
        <v>28</v>
      </c>
      <c r="D143" t="s">
        <v>27</v>
      </c>
      <c r="E143" t="s">
        <v>30</v>
      </c>
      <c r="F143" t="s">
        <v>29</v>
      </c>
      <c r="G143" t="s">
        <v>31</v>
      </c>
    </row>
    <row r="144" spans="1:7">
      <c r="A144">
        <v>352</v>
      </c>
      <c r="B144" t="s">
        <v>20</v>
      </c>
      <c r="C144" t="s">
        <v>28</v>
      </c>
      <c r="D144" t="s">
        <v>27</v>
      </c>
      <c r="E144" t="s">
        <v>30</v>
      </c>
      <c r="F144" t="s">
        <v>29</v>
      </c>
      <c r="G144" t="s">
        <v>25</v>
      </c>
    </row>
    <row r="145" spans="1:7">
      <c r="A145">
        <v>353</v>
      </c>
      <c r="B145" t="s">
        <v>20</v>
      </c>
      <c r="C145" t="s">
        <v>28</v>
      </c>
      <c r="D145" t="s">
        <v>27</v>
      </c>
      <c r="E145" t="s">
        <v>30</v>
      </c>
      <c r="F145" t="s">
        <v>29</v>
      </c>
      <c r="G145" t="s">
        <v>26</v>
      </c>
    </row>
    <row r="146" spans="1:7">
      <c r="A146">
        <v>354</v>
      </c>
      <c r="B146" t="s">
        <v>20</v>
      </c>
      <c r="C146" t="s">
        <v>29</v>
      </c>
      <c r="D146" t="s">
        <v>22</v>
      </c>
      <c r="E146" t="s">
        <v>20</v>
      </c>
      <c r="F146" t="s">
        <v>29</v>
      </c>
      <c r="G146" t="s">
        <v>23</v>
      </c>
    </row>
    <row r="147" spans="1:7">
      <c r="A147">
        <v>355</v>
      </c>
      <c r="B147" t="s">
        <v>20</v>
      </c>
      <c r="C147" t="s">
        <v>29</v>
      </c>
      <c r="D147" t="s">
        <v>22</v>
      </c>
      <c r="E147" t="s">
        <v>20</v>
      </c>
      <c r="F147" t="s">
        <v>29</v>
      </c>
      <c r="G147" t="s">
        <v>24</v>
      </c>
    </row>
    <row r="148" spans="1:7">
      <c r="A148">
        <v>356</v>
      </c>
      <c r="B148" t="s">
        <v>20</v>
      </c>
      <c r="C148" t="s">
        <v>29</v>
      </c>
      <c r="D148" t="s">
        <v>22</v>
      </c>
      <c r="E148" t="s">
        <v>20</v>
      </c>
      <c r="F148" t="s">
        <v>29</v>
      </c>
      <c r="G148" t="s">
        <v>31</v>
      </c>
    </row>
    <row r="149" spans="1:7">
      <c r="A149">
        <v>357</v>
      </c>
      <c r="B149" t="s">
        <v>20</v>
      </c>
      <c r="C149" t="s">
        <v>29</v>
      </c>
      <c r="D149" t="s">
        <v>22</v>
      </c>
      <c r="E149" t="s">
        <v>20</v>
      </c>
      <c r="F149" t="s">
        <v>29</v>
      </c>
      <c r="G149" t="s">
        <v>25</v>
      </c>
    </row>
    <row r="150" spans="1:7">
      <c r="A150">
        <v>358</v>
      </c>
      <c r="B150" t="s">
        <v>20</v>
      </c>
      <c r="C150" t="s">
        <v>29</v>
      </c>
      <c r="D150" t="s">
        <v>22</v>
      </c>
      <c r="E150" t="s">
        <v>20</v>
      </c>
      <c r="F150" t="s">
        <v>29</v>
      </c>
      <c r="G150" t="s">
        <v>26</v>
      </c>
    </row>
    <row r="151" spans="1:7">
      <c r="A151">
        <v>359</v>
      </c>
      <c r="B151" t="s">
        <v>20</v>
      </c>
      <c r="C151" t="s">
        <v>29</v>
      </c>
      <c r="D151" t="s">
        <v>22</v>
      </c>
      <c r="E151" t="s">
        <v>30</v>
      </c>
      <c r="F151" t="s">
        <v>21</v>
      </c>
      <c r="G151" t="s">
        <v>22</v>
      </c>
    </row>
    <row r="152" spans="1:7">
      <c r="A152">
        <v>360</v>
      </c>
      <c r="B152" t="s">
        <v>20</v>
      </c>
      <c r="C152" t="s">
        <v>29</v>
      </c>
      <c r="D152" t="s">
        <v>22</v>
      </c>
      <c r="E152" t="s">
        <v>30</v>
      </c>
      <c r="F152" t="s">
        <v>21</v>
      </c>
      <c r="G152" t="s">
        <v>23</v>
      </c>
    </row>
    <row r="153" spans="1:7">
      <c r="A153">
        <v>361</v>
      </c>
      <c r="B153" t="s">
        <v>20</v>
      </c>
      <c r="C153" t="s">
        <v>29</v>
      </c>
      <c r="D153" t="s">
        <v>22</v>
      </c>
      <c r="E153" t="s">
        <v>30</v>
      </c>
      <c r="F153" t="s">
        <v>21</v>
      </c>
      <c r="G153" t="s">
        <v>24</v>
      </c>
    </row>
    <row r="154" spans="1:7">
      <c r="A154">
        <v>362</v>
      </c>
      <c r="B154" t="s">
        <v>20</v>
      </c>
      <c r="C154" t="s">
        <v>29</v>
      </c>
      <c r="D154" t="s">
        <v>22</v>
      </c>
      <c r="E154" t="s">
        <v>30</v>
      </c>
      <c r="F154" t="s">
        <v>21</v>
      </c>
      <c r="G154" t="s">
        <v>25</v>
      </c>
    </row>
    <row r="155" spans="1:7">
      <c r="A155">
        <v>363</v>
      </c>
      <c r="B155" t="s">
        <v>20</v>
      </c>
      <c r="C155" t="s">
        <v>29</v>
      </c>
      <c r="D155" t="s">
        <v>22</v>
      </c>
      <c r="E155" t="s">
        <v>30</v>
      </c>
      <c r="F155" t="s">
        <v>21</v>
      </c>
      <c r="G155" t="s">
        <v>26</v>
      </c>
    </row>
    <row r="156" spans="1:7">
      <c r="A156">
        <v>364</v>
      </c>
      <c r="B156" t="s">
        <v>20</v>
      </c>
      <c r="C156" t="s">
        <v>29</v>
      </c>
      <c r="D156" t="s">
        <v>22</v>
      </c>
      <c r="E156" t="s">
        <v>30</v>
      </c>
      <c r="F156" t="s">
        <v>21</v>
      </c>
      <c r="G156" t="s">
        <v>27</v>
      </c>
    </row>
    <row r="157" spans="1:7">
      <c r="A157">
        <v>365</v>
      </c>
      <c r="B157" t="s">
        <v>20</v>
      </c>
      <c r="C157" t="s">
        <v>29</v>
      </c>
      <c r="D157" t="s">
        <v>22</v>
      </c>
      <c r="E157" t="s">
        <v>30</v>
      </c>
      <c r="F157" t="s">
        <v>28</v>
      </c>
      <c r="G157" t="s">
        <v>22</v>
      </c>
    </row>
    <row r="158" spans="1:7">
      <c r="A158">
        <v>366</v>
      </c>
      <c r="B158" t="s">
        <v>20</v>
      </c>
      <c r="C158" t="s">
        <v>29</v>
      </c>
      <c r="D158" t="s">
        <v>22</v>
      </c>
      <c r="E158" t="s">
        <v>30</v>
      </c>
      <c r="F158" t="s">
        <v>28</v>
      </c>
      <c r="G158" t="s">
        <v>23</v>
      </c>
    </row>
    <row r="159" spans="1:7">
      <c r="A159">
        <v>367</v>
      </c>
      <c r="B159" t="s">
        <v>20</v>
      </c>
      <c r="C159" t="s">
        <v>29</v>
      </c>
      <c r="D159" t="s">
        <v>22</v>
      </c>
      <c r="E159" t="s">
        <v>30</v>
      </c>
      <c r="F159" t="s">
        <v>28</v>
      </c>
      <c r="G159" t="s">
        <v>24</v>
      </c>
    </row>
    <row r="160" spans="1:7">
      <c r="A160">
        <v>368</v>
      </c>
      <c r="B160" t="s">
        <v>20</v>
      </c>
      <c r="C160" t="s">
        <v>29</v>
      </c>
      <c r="D160" t="s">
        <v>22</v>
      </c>
      <c r="E160" t="s">
        <v>30</v>
      </c>
      <c r="F160" t="s">
        <v>28</v>
      </c>
      <c r="G160" t="s">
        <v>25</v>
      </c>
    </row>
    <row r="161" spans="1:7">
      <c r="A161">
        <v>369</v>
      </c>
      <c r="B161" t="s">
        <v>20</v>
      </c>
      <c r="C161" t="s">
        <v>29</v>
      </c>
      <c r="D161" t="s">
        <v>22</v>
      </c>
      <c r="E161" t="s">
        <v>30</v>
      </c>
      <c r="F161" t="s">
        <v>28</v>
      </c>
      <c r="G161" t="s">
        <v>26</v>
      </c>
    </row>
    <row r="162" spans="1:7">
      <c r="A162">
        <v>370</v>
      </c>
      <c r="B162" t="s">
        <v>20</v>
      </c>
      <c r="C162" t="s">
        <v>29</v>
      </c>
      <c r="D162" t="s">
        <v>22</v>
      </c>
      <c r="E162" t="s">
        <v>30</v>
      </c>
      <c r="F162" t="s">
        <v>28</v>
      </c>
      <c r="G162" t="s">
        <v>27</v>
      </c>
    </row>
    <row r="163" spans="1:7">
      <c r="A163">
        <v>371</v>
      </c>
      <c r="B163" t="s">
        <v>20</v>
      </c>
      <c r="C163" t="s">
        <v>29</v>
      </c>
      <c r="D163" t="s">
        <v>22</v>
      </c>
      <c r="E163" t="s">
        <v>30</v>
      </c>
      <c r="F163" t="s">
        <v>29</v>
      </c>
      <c r="G163" t="s">
        <v>22</v>
      </c>
    </row>
    <row r="164" spans="1:7">
      <c r="A164">
        <v>372</v>
      </c>
      <c r="B164" t="s">
        <v>20</v>
      </c>
      <c r="C164" t="s">
        <v>29</v>
      </c>
      <c r="D164" t="s">
        <v>22</v>
      </c>
      <c r="E164" t="s">
        <v>30</v>
      </c>
      <c r="F164" t="s">
        <v>29</v>
      </c>
      <c r="G164" t="s">
        <v>23</v>
      </c>
    </row>
    <row r="165" spans="1:7">
      <c r="A165">
        <v>373</v>
      </c>
      <c r="B165" t="s">
        <v>20</v>
      </c>
      <c r="C165" t="s">
        <v>29</v>
      </c>
      <c r="D165" t="s">
        <v>22</v>
      </c>
      <c r="E165" t="s">
        <v>30</v>
      </c>
      <c r="F165" t="s">
        <v>29</v>
      </c>
      <c r="G165" t="s">
        <v>24</v>
      </c>
    </row>
    <row r="166" spans="1:7">
      <c r="A166">
        <v>374</v>
      </c>
      <c r="B166" t="s">
        <v>20</v>
      </c>
      <c r="C166" t="s">
        <v>29</v>
      </c>
      <c r="D166" t="s">
        <v>22</v>
      </c>
      <c r="E166" t="s">
        <v>30</v>
      </c>
      <c r="F166" t="s">
        <v>29</v>
      </c>
      <c r="G166" t="s">
        <v>31</v>
      </c>
    </row>
    <row r="167" spans="1:7">
      <c r="A167">
        <v>375</v>
      </c>
      <c r="B167" t="s">
        <v>20</v>
      </c>
      <c r="C167" t="s">
        <v>29</v>
      </c>
      <c r="D167" t="s">
        <v>22</v>
      </c>
      <c r="E167" t="s">
        <v>30</v>
      </c>
      <c r="F167" t="s">
        <v>29</v>
      </c>
      <c r="G167" t="s">
        <v>25</v>
      </c>
    </row>
    <row r="168" spans="1:7">
      <c r="A168">
        <v>376</v>
      </c>
      <c r="B168" t="s">
        <v>20</v>
      </c>
      <c r="C168" t="s">
        <v>29</v>
      </c>
      <c r="D168" t="s">
        <v>22</v>
      </c>
      <c r="E168" t="s">
        <v>30</v>
      </c>
      <c r="F168" t="s">
        <v>29</v>
      </c>
      <c r="G168" t="s">
        <v>26</v>
      </c>
    </row>
    <row r="169" spans="1:7">
      <c r="A169">
        <v>377</v>
      </c>
      <c r="B169" t="s">
        <v>20</v>
      </c>
      <c r="C169" t="s">
        <v>29</v>
      </c>
      <c r="D169" t="s">
        <v>23</v>
      </c>
      <c r="E169" t="s">
        <v>20</v>
      </c>
      <c r="F169" t="s">
        <v>29</v>
      </c>
      <c r="G169" t="s">
        <v>24</v>
      </c>
    </row>
    <row r="170" spans="1:7">
      <c r="A170">
        <v>378</v>
      </c>
      <c r="B170" t="s">
        <v>20</v>
      </c>
      <c r="C170" t="s">
        <v>29</v>
      </c>
      <c r="D170" t="s">
        <v>23</v>
      </c>
      <c r="E170" t="s">
        <v>20</v>
      </c>
      <c r="F170" t="s">
        <v>29</v>
      </c>
      <c r="G170" t="s">
        <v>31</v>
      </c>
    </row>
    <row r="171" spans="1:7">
      <c r="A171">
        <v>379</v>
      </c>
      <c r="B171" t="s">
        <v>20</v>
      </c>
      <c r="C171" t="s">
        <v>29</v>
      </c>
      <c r="D171" t="s">
        <v>23</v>
      </c>
      <c r="E171" t="s">
        <v>20</v>
      </c>
      <c r="F171" t="s">
        <v>29</v>
      </c>
      <c r="G171" t="s">
        <v>25</v>
      </c>
    </row>
    <row r="172" spans="1:7">
      <c r="A172">
        <v>380</v>
      </c>
      <c r="B172" t="s">
        <v>20</v>
      </c>
      <c r="C172" t="s">
        <v>29</v>
      </c>
      <c r="D172" t="s">
        <v>23</v>
      </c>
      <c r="E172" t="s">
        <v>20</v>
      </c>
      <c r="F172" t="s">
        <v>29</v>
      </c>
      <c r="G172" t="s">
        <v>26</v>
      </c>
    </row>
    <row r="173" spans="1:7">
      <c r="A173">
        <v>381</v>
      </c>
      <c r="B173" t="s">
        <v>20</v>
      </c>
      <c r="C173" t="s">
        <v>29</v>
      </c>
      <c r="D173" t="s">
        <v>23</v>
      </c>
      <c r="E173" t="s">
        <v>30</v>
      </c>
      <c r="F173" t="s">
        <v>21</v>
      </c>
      <c r="G173" t="s">
        <v>22</v>
      </c>
    </row>
    <row r="174" spans="1:7">
      <c r="A174">
        <v>382</v>
      </c>
      <c r="B174" t="s">
        <v>20</v>
      </c>
      <c r="C174" t="s">
        <v>29</v>
      </c>
      <c r="D174" t="s">
        <v>23</v>
      </c>
      <c r="E174" t="s">
        <v>30</v>
      </c>
      <c r="F174" t="s">
        <v>21</v>
      </c>
      <c r="G174" t="s">
        <v>23</v>
      </c>
    </row>
    <row r="175" spans="1:7">
      <c r="A175">
        <v>383</v>
      </c>
      <c r="B175" t="s">
        <v>20</v>
      </c>
      <c r="C175" t="s">
        <v>29</v>
      </c>
      <c r="D175" t="s">
        <v>23</v>
      </c>
      <c r="E175" t="s">
        <v>30</v>
      </c>
      <c r="F175" t="s">
        <v>21</v>
      </c>
      <c r="G175" t="s">
        <v>24</v>
      </c>
    </row>
    <row r="176" spans="1:7">
      <c r="A176">
        <v>384</v>
      </c>
      <c r="B176" t="s">
        <v>20</v>
      </c>
      <c r="C176" t="s">
        <v>29</v>
      </c>
      <c r="D176" t="s">
        <v>23</v>
      </c>
      <c r="E176" t="s">
        <v>30</v>
      </c>
      <c r="F176" t="s">
        <v>21</v>
      </c>
      <c r="G176" t="s">
        <v>25</v>
      </c>
    </row>
    <row r="177" spans="1:7">
      <c r="A177">
        <v>385</v>
      </c>
      <c r="B177" t="s">
        <v>20</v>
      </c>
      <c r="C177" t="s">
        <v>29</v>
      </c>
      <c r="D177" t="s">
        <v>23</v>
      </c>
      <c r="E177" t="s">
        <v>30</v>
      </c>
      <c r="F177" t="s">
        <v>21</v>
      </c>
      <c r="G177" t="s">
        <v>26</v>
      </c>
    </row>
    <row r="178" spans="1:7">
      <c r="A178">
        <v>386</v>
      </c>
      <c r="B178" t="s">
        <v>20</v>
      </c>
      <c r="C178" t="s">
        <v>29</v>
      </c>
      <c r="D178" t="s">
        <v>23</v>
      </c>
      <c r="E178" t="s">
        <v>30</v>
      </c>
      <c r="F178" t="s">
        <v>21</v>
      </c>
      <c r="G178" t="s">
        <v>27</v>
      </c>
    </row>
    <row r="179" spans="1:7">
      <c r="A179">
        <v>387</v>
      </c>
      <c r="B179" t="s">
        <v>20</v>
      </c>
      <c r="C179" t="s">
        <v>29</v>
      </c>
      <c r="D179" t="s">
        <v>23</v>
      </c>
      <c r="E179" t="s">
        <v>30</v>
      </c>
      <c r="F179" t="s">
        <v>28</v>
      </c>
      <c r="G179" t="s">
        <v>22</v>
      </c>
    </row>
    <row r="180" spans="1:7">
      <c r="A180">
        <v>388</v>
      </c>
      <c r="B180" t="s">
        <v>20</v>
      </c>
      <c r="C180" t="s">
        <v>29</v>
      </c>
      <c r="D180" t="s">
        <v>23</v>
      </c>
      <c r="E180" t="s">
        <v>30</v>
      </c>
      <c r="F180" t="s">
        <v>28</v>
      </c>
      <c r="G180" t="s">
        <v>23</v>
      </c>
    </row>
    <row r="181" spans="1:7">
      <c r="A181">
        <v>389</v>
      </c>
      <c r="B181" t="s">
        <v>20</v>
      </c>
      <c r="C181" t="s">
        <v>29</v>
      </c>
      <c r="D181" t="s">
        <v>23</v>
      </c>
      <c r="E181" t="s">
        <v>30</v>
      </c>
      <c r="F181" t="s">
        <v>28</v>
      </c>
      <c r="G181" t="s">
        <v>24</v>
      </c>
    </row>
    <row r="182" spans="1:7">
      <c r="A182">
        <v>390</v>
      </c>
      <c r="B182" t="s">
        <v>20</v>
      </c>
      <c r="C182" t="s">
        <v>29</v>
      </c>
      <c r="D182" t="s">
        <v>23</v>
      </c>
      <c r="E182" t="s">
        <v>30</v>
      </c>
      <c r="F182" t="s">
        <v>28</v>
      </c>
      <c r="G182" t="s">
        <v>25</v>
      </c>
    </row>
    <row r="183" spans="1:7">
      <c r="A183">
        <v>391</v>
      </c>
      <c r="B183" t="s">
        <v>20</v>
      </c>
      <c r="C183" t="s">
        <v>29</v>
      </c>
      <c r="D183" t="s">
        <v>23</v>
      </c>
      <c r="E183" t="s">
        <v>30</v>
      </c>
      <c r="F183" t="s">
        <v>28</v>
      </c>
      <c r="G183" t="s">
        <v>26</v>
      </c>
    </row>
    <row r="184" spans="1:7">
      <c r="A184">
        <v>392</v>
      </c>
      <c r="B184" t="s">
        <v>20</v>
      </c>
      <c r="C184" t="s">
        <v>29</v>
      </c>
      <c r="D184" t="s">
        <v>23</v>
      </c>
      <c r="E184" t="s">
        <v>30</v>
      </c>
      <c r="F184" t="s">
        <v>28</v>
      </c>
      <c r="G184" t="s">
        <v>27</v>
      </c>
    </row>
    <row r="185" spans="1:7">
      <c r="A185">
        <v>393</v>
      </c>
      <c r="B185" t="s">
        <v>20</v>
      </c>
      <c r="C185" t="s">
        <v>29</v>
      </c>
      <c r="D185" t="s">
        <v>23</v>
      </c>
      <c r="E185" t="s">
        <v>30</v>
      </c>
      <c r="F185" t="s">
        <v>29</v>
      </c>
      <c r="G185" t="s">
        <v>22</v>
      </c>
    </row>
    <row r="186" spans="1:7">
      <c r="A186">
        <v>394</v>
      </c>
      <c r="B186" t="s">
        <v>20</v>
      </c>
      <c r="C186" t="s">
        <v>29</v>
      </c>
      <c r="D186" t="s">
        <v>23</v>
      </c>
      <c r="E186" t="s">
        <v>30</v>
      </c>
      <c r="F186" t="s">
        <v>29</v>
      </c>
      <c r="G186" t="s">
        <v>23</v>
      </c>
    </row>
    <row r="187" spans="1:7">
      <c r="A187">
        <v>395</v>
      </c>
      <c r="B187" t="s">
        <v>20</v>
      </c>
      <c r="C187" t="s">
        <v>29</v>
      </c>
      <c r="D187" t="s">
        <v>23</v>
      </c>
      <c r="E187" t="s">
        <v>30</v>
      </c>
      <c r="F187" t="s">
        <v>29</v>
      </c>
      <c r="G187" t="s">
        <v>24</v>
      </c>
    </row>
    <row r="188" spans="1:7">
      <c r="A188">
        <v>396</v>
      </c>
      <c r="B188" t="s">
        <v>20</v>
      </c>
      <c r="C188" t="s">
        <v>29</v>
      </c>
      <c r="D188" t="s">
        <v>23</v>
      </c>
      <c r="E188" t="s">
        <v>30</v>
      </c>
      <c r="F188" t="s">
        <v>29</v>
      </c>
      <c r="G188" t="s">
        <v>31</v>
      </c>
    </row>
    <row r="189" spans="1:7">
      <c r="A189">
        <v>397</v>
      </c>
      <c r="B189" t="s">
        <v>20</v>
      </c>
      <c r="C189" t="s">
        <v>29</v>
      </c>
      <c r="D189" t="s">
        <v>23</v>
      </c>
      <c r="E189" t="s">
        <v>30</v>
      </c>
      <c r="F189" t="s">
        <v>29</v>
      </c>
      <c r="G189" t="s">
        <v>25</v>
      </c>
    </row>
    <row r="190" spans="1:7">
      <c r="A190">
        <v>398</v>
      </c>
      <c r="B190" t="s">
        <v>20</v>
      </c>
      <c r="C190" t="s">
        <v>29</v>
      </c>
      <c r="D190" t="s">
        <v>23</v>
      </c>
      <c r="E190" t="s">
        <v>30</v>
      </c>
      <c r="F190" t="s">
        <v>29</v>
      </c>
      <c r="G190" t="s">
        <v>26</v>
      </c>
    </row>
    <row r="191" spans="1:7">
      <c r="A191">
        <v>399</v>
      </c>
      <c r="B191" t="s">
        <v>20</v>
      </c>
      <c r="C191" t="s">
        <v>29</v>
      </c>
      <c r="D191" t="s">
        <v>24</v>
      </c>
      <c r="E191" t="s">
        <v>20</v>
      </c>
      <c r="F191" t="s">
        <v>29</v>
      </c>
      <c r="G191" t="s">
        <v>31</v>
      </c>
    </row>
    <row r="192" spans="1:7">
      <c r="A192">
        <v>400</v>
      </c>
      <c r="B192" t="s">
        <v>20</v>
      </c>
      <c r="C192" t="s">
        <v>29</v>
      </c>
      <c r="D192" t="s">
        <v>24</v>
      </c>
      <c r="E192" t="s">
        <v>20</v>
      </c>
      <c r="F192" t="s">
        <v>29</v>
      </c>
      <c r="G192" t="s">
        <v>25</v>
      </c>
    </row>
    <row r="193" spans="1:7">
      <c r="A193">
        <v>401</v>
      </c>
      <c r="B193" t="s">
        <v>20</v>
      </c>
      <c r="C193" t="s">
        <v>29</v>
      </c>
      <c r="D193" t="s">
        <v>24</v>
      </c>
      <c r="E193" t="s">
        <v>20</v>
      </c>
      <c r="F193" t="s">
        <v>29</v>
      </c>
      <c r="G193" t="s">
        <v>26</v>
      </c>
    </row>
    <row r="194" spans="1:7">
      <c r="A194">
        <v>402</v>
      </c>
      <c r="B194" t="s">
        <v>20</v>
      </c>
      <c r="C194" t="s">
        <v>29</v>
      </c>
      <c r="D194" t="s">
        <v>24</v>
      </c>
      <c r="E194" t="s">
        <v>30</v>
      </c>
      <c r="F194" t="s">
        <v>21</v>
      </c>
      <c r="G194" t="s">
        <v>22</v>
      </c>
    </row>
    <row r="195" spans="1:7">
      <c r="A195">
        <v>403</v>
      </c>
      <c r="B195" t="s">
        <v>20</v>
      </c>
      <c r="C195" t="s">
        <v>29</v>
      </c>
      <c r="D195" t="s">
        <v>24</v>
      </c>
      <c r="E195" t="s">
        <v>30</v>
      </c>
      <c r="F195" t="s">
        <v>21</v>
      </c>
      <c r="G195" t="s">
        <v>23</v>
      </c>
    </row>
    <row r="196" spans="1:7">
      <c r="A196">
        <v>404</v>
      </c>
      <c r="B196" t="s">
        <v>20</v>
      </c>
      <c r="C196" t="s">
        <v>29</v>
      </c>
      <c r="D196" t="s">
        <v>24</v>
      </c>
      <c r="E196" t="s">
        <v>30</v>
      </c>
      <c r="F196" t="s">
        <v>21</v>
      </c>
      <c r="G196" t="s">
        <v>24</v>
      </c>
    </row>
    <row r="197" spans="1:7">
      <c r="A197">
        <v>405</v>
      </c>
      <c r="B197" t="s">
        <v>20</v>
      </c>
      <c r="C197" t="s">
        <v>29</v>
      </c>
      <c r="D197" t="s">
        <v>24</v>
      </c>
      <c r="E197" t="s">
        <v>30</v>
      </c>
      <c r="F197" t="s">
        <v>21</v>
      </c>
      <c r="G197" t="s">
        <v>25</v>
      </c>
    </row>
    <row r="198" spans="1:7">
      <c r="A198">
        <v>406</v>
      </c>
      <c r="B198" t="s">
        <v>20</v>
      </c>
      <c r="C198" t="s">
        <v>29</v>
      </c>
      <c r="D198" t="s">
        <v>24</v>
      </c>
      <c r="E198" t="s">
        <v>30</v>
      </c>
      <c r="F198" t="s">
        <v>21</v>
      </c>
      <c r="G198" t="s">
        <v>26</v>
      </c>
    </row>
    <row r="199" spans="1:7">
      <c r="A199">
        <v>407</v>
      </c>
      <c r="B199" t="s">
        <v>20</v>
      </c>
      <c r="C199" t="s">
        <v>29</v>
      </c>
      <c r="D199" t="s">
        <v>24</v>
      </c>
      <c r="E199" t="s">
        <v>30</v>
      </c>
      <c r="F199" t="s">
        <v>21</v>
      </c>
      <c r="G199" t="s">
        <v>27</v>
      </c>
    </row>
    <row r="200" spans="1:7">
      <c r="A200">
        <v>408</v>
      </c>
      <c r="B200" t="s">
        <v>20</v>
      </c>
      <c r="C200" t="s">
        <v>29</v>
      </c>
      <c r="D200" t="s">
        <v>24</v>
      </c>
      <c r="E200" t="s">
        <v>30</v>
      </c>
      <c r="F200" t="s">
        <v>28</v>
      </c>
      <c r="G200" t="s">
        <v>22</v>
      </c>
    </row>
    <row r="201" spans="1:7">
      <c r="A201">
        <v>409</v>
      </c>
      <c r="B201" t="s">
        <v>20</v>
      </c>
      <c r="C201" t="s">
        <v>29</v>
      </c>
      <c r="D201" t="s">
        <v>24</v>
      </c>
      <c r="E201" t="s">
        <v>30</v>
      </c>
      <c r="F201" t="s">
        <v>28</v>
      </c>
      <c r="G201" t="s">
        <v>23</v>
      </c>
    </row>
    <row r="202" spans="1:7">
      <c r="A202">
        <v>410</v>
      </c>
      <c r="B202" t="s">
        <v>20</v>
      </c>
      <c r="C202" t="s">
        <v>29</v>
      </c>
      <c r="D202" t="s">
        <v>24</v>
      </c>
      <c r="E202" t="s">
        <v>30</v>
      </c>
      <c r="F202" t="s">
        <v>28</v>
      </c>
      <c r="G202" t="s">
        <v>24</v>
      </c>
    </row>
    <row r="203" spans="1:7">
      <c r="A203">
        <v>411</v>
      </c>
      <c r="B203" t="s">
        <v>20</v>
      </c>
      <c r="C203" t="s">
        <v>29</v>
      </c>
      <c r="D203" t="s">
        <v>24</v>
      </c>
      <c r="E203" t="s">
        <v>30</v>
      </c>
      <c r="F203" t="s">
        <v>28</v>
      </c>
      <c r="G203" t="s">
        <v>25</v>
      </c>
    </row>
    <row r="204" spans="1:7">
      <c r="A204">
        <v>412</v>
      </c>
      <c r="B204" t="s">
        <v>20</v>
      </c>
      <c r="C204" t="s">
        <v>29</v>
      </c>
      <c r="D204" t="s">
        <v>24</v>
      </c>
      <c r="E204" t="s">
        <v>30</v>
      </c>
      <c r="F204" t="s">
        <v>28</v>
      </c>
      <c r="G204" t="s">
        <v>26</v>
      </c>
    </row>
    <row r="205" spans="1:7">
      <c r="A205">
        <v>413</v>
      </c>
      <c r="B205" t="s">
        <v>20</v>
      </c>
      <c r="C205" t="s">
        <v>29</v>
      </c>
      <c r="D205" t="s">
        <v>24</v>
      </c>
      <c r="E205" t="s">
        <v>30</v>
      </c>
      <c r="F205" t="s">
        <v>28</v>
      </c>
      <c r="G205" t="s">
        <v>27</v>
      </c>
    </row>
    <row r="206" spans="1:7">
      <c r="A206">
        <v>414</v>
      </c>
      <c r="B206" t="s">
        <v>20</v>
      </c>
      <c r="C206" t="s">
        <v>29</v>
      </c>
      <c r="D206" t="s">
        <v>24</v>
      </c>
      <c r="E206" t="s">
        <v>30</v>
      </c>
      <c r="F206" t="s">
        <v>29</v>
      </c>
      <c r="G206" t="s">
        <v>22</v>
      </c>
    </row>
    <row r="207" spans="1:7">
      <c r="A207">
        <v>415</v>
      </c>
      <c r="B207" t="s">
        <v>20</v>
      </c>
      <c r="C207" t="s">
        <v>29</v>
      </c>
      <c r="D207" t="s">
        <v>24</v>
      </c>
      <c r="E207" t="s">
        <v>30</v>
      </c>
      <c r="F207" t="s">
        <v>29</v>
      </c>
      <c r="G207" t="s">
        <v>23</v>
      </c>
    </row>
    <row r="208" spans="1:7">
      <c r="A208">
        <v>416</v>
      </c>
      <c r="B208" t="s">
        <v>20</v>
      </c>
      <c r="C208" t="s">
        <v>29</v>
      </c>
      <c r="D208" t="s">
        <v>24</v>
      </c>
      <c r="E208" t="s">
        <v>30</v>
      </c>
      <c r="F208" t="s">
        <v>29</v>
      </c>
      <c r="G208" t="s">
        <v>24</v>
      </c>
    </row>
    <row r="209" spans="1:7">
      <c r="A209">
        <v>417</v>
      </c>
      <c r="B209" t="s">
        <v>20</v>
      </c>
      <c r="C209" t="s">
        <v>29</v>
      </c>
      <c r="D209" t="s">
        <v>24</v>
      </c>
      <c r="E209" t="s">
        <v>30</v>
      </c>
      <c r="F209" t="s">
        <v>29</v>
      </c>
      <c r="G209" t="s">
        <v>31</v>
      </c>
    </row>
    <row r="210" spans="1:7">
      <c r="A210">
        <v>418</v>
      </c>
      <c r="B210" t="s">
        <v>20</v>
      </c>
      <c r="C210" t="s">
        <v>29</v>
      </c>
      <c r="D210" t="s">
        <v>24</v>
      </c>
      <c r="E210" t="s">
        <v>30</v>
      </c>
      <c r="F210" t="s">
        <v>29</v>
      </c>
      <c r="G210" t="s">
        <v>25</v>
      </c>
    </row>
    <row r="211" spans="1:7">
      <c r="A211">
        <v>419</v>
      </c>
      <c r="B211" t="s">
        <v>20</v>
      </c>
      <c r="C211" t="s">
        <v>29</v>
      </c>
      <c r="D211" t="s">
        <v>24</v>
      </c>
      <c r="E211" t="s">
        <v>30</v>
      </c>
      <c r="F211" t="s">
        <v>29</v>
      </c>
      <c r="G211" t="s">
        <v>26</v>
      </c>
    </row>
    <row r="212" spans="1:7">
      <c r="A212">
        <v>420</v>
      </c>
      <c r="B212" t="s">
        <v>20</v>
      </c>
      <c r="C212" t="s">
        <v>29</v>
      </c>
      <c r="D212" t="s">
        <v>31</v>
      </c>
      <c r="E212" t="s">
        <v>20</v>
      </c>
      <c r="F212" t="s">
        <v>29</v>
      </c>
      <c r="G212" t="s">
        <v>25</v>
      </c>
    </row>
    <row r="213" spans="1:7">
      <c r="A213">
        <v>421</v>
      </c>
      <c r="B213" t="s">
        <v>20</v>
      </c>
      <c r="C213" t="s">
        <v>29</v>
      </c>
      <c r="D213" t="s">
        <v>31</v>
      </c>
      <c r="E213" t="s">
        <v>20</v>
      </c>
      <c r="F213" t="s">
        <v>29</v>
      </c>
      <c r="G213" t="s">
        <v>26</v>
      </c>
    </row>
    <row r="214" spans="1:7">
      <c r="A214">
        <v>422</v>
      </c>
      <c r="B214" t="s">
        <v>20</v>
      </c>
      <c r="C214" t="s">
        <v>29</v>
      </c>
      <c r="D214" t="s">
        <v>31</v>
      </c>
      <c r="E214" t="s">
        <v>30</v>
      </c>
      <c r="F214" t="s">
        <v>21</v>
      </c>
      <c r="G214" t="s">
        <v>22</v>
      </c>
    </row>
    <row r="215" spans="1:7">
      <c r="A215">
        <v>423</v>
      </c>
      <c r="B215" t="s">
        <v>20</v>
      </c>
      <c r="C215" t="s">
        <v>29</v>
      </c>
      <c r="D215" t="s">
        <v>31</v>
      </c>
      <c r="E215" t="s">
        <v>30</v>
      </c>
      <c r="F215" t="s">
        <v>21</v>
      </c>
      <c r="G215" t="s">
        <v>23</v>
      </c>
    </row>
    <row r="216" spans="1:7">
      <c r="A216">
        <v>424</v>
      </c>
      <c r="B216" t="s">
        <v>20</v>
      </c>
      <c r="C216" t="s">
        <v>29</v>
      </c>
      <c r="D216" t="s">
        <v>31</v>
      </c>
      <c r="E216" t="s">
        <v>30</v>
      </c>
      <c r="F216" t="s">
        <v>21</v>
      </c>
      <c r="G216" t="s">
        <v>24</v>
      </c>
    </row>
    <row r="217" spans="1:7">
      <c r="A217">
        <v>425</v>
      </c>
      <c r="B217" t="s">
        <v>20</v>
      </c>
      <c r="C217" t="s">
        <v>29</v>
      </c>
      <c r="D217" t="s">
        <v>31</v>
      </c>
      <c r="E217" t="s">
        <v>30</v>
      </c>
      <c r="F217" t="s">
        <v>21</v>
      </c>
      <c r="G217" t="s">
        <v>25</v>
      </c>
    </row>
    <row r="218" spans="1:7">
      <c r="A218">
        <v>426</v>
      </c>
      <c r="B218" t="s">
        <v>20</v>
      </c>
      <c r="C218" t="s">
        <v>29</v>
      </c>
      <c r="D218" t="s">
        <v>31</v>
      </c>
      <c r="E218" t="s">
        <v>30</v>
      </c>
      <c r="F218" t="s">
        <v>21</v>
      </c>
      <c r="G218" t="s">
        <v>26</v>
      </c>
    </row>
    <row r="219" spans="1:7">
      <c r="A219">
        <v>427</v>
      </c>
      <c r="B219" t="s">
        <v>20</v>
      </c>
      <c r="C219" t="s">
        <v>29</v>
      </c>
      <c r="D219" t="s">
        <v>31</v>
      </c>
      <c r="E219" t="s">
        <v>30</v>
      </c>
      <c r="F219" t="s">
        <v>21</v>
      </c>
      <c r="G219" t="s">
        <v>27</v>
      </c>
    </row>
    <row r="220" spans="1:7">
      <c r="A220">
        <v>428</v>
      </c>
      <c r="B220" t="s">
        <v>20</v>
      </c>
      <c r="C220" t="s">
        <v>29</v>
      </c>
      <c r="D220" t="s">
        <v>31</v>
      </c>
      <c r="E220" t="s">
        <v>30</v>
      </c>
      <c r="F220" t="s">
        <v>28</v>
      </c>
      <c r="G220" t="s">
        <v>22</v>
      </c>
    </row>
    <row r="221" spans="1:7">
      <c r="A221">
        <v>429</v>
      </c>
      <c r="B221" t="s">
        <v>20</v>
      </c>
      <c r="C221" t="s">
        <v>29</v>
      </c>
      <c r="D221" t="s">
        <v>31</v>
      </c>
      <c r="E221" t="s">
        <v>30</v>
      </c>
      <c r="F221" t="s">
        <v>28</v>
      </c>
      <c r="G221" t="s">
        <v>23</v>
      </c>
    </row>
    <row r="222" spans="1:7">
      <c r="A222">
        <v>430</v>
      </c>
      <c r="B222" t="s">
        <v>20</v>
      </c>
      <c r="C222" t="s">
        <v>29</v>
      </c>
      <c r="D222" t="s">
        <v>31</v>
      </c>
      <c r="E222" t="s">
        <v>30</v>
      </c>
      <c r="F222" t="s">
        <v>28</v>
      </c>
      <c r="G222" t="s">
        <v>24</v>
      </c>
    </row>
    <row r="223" spans="1:7">
      <c r="A223">
        <v>431</v>
      </c>
      <c r="B223" t="s">
        <v>20</v>
      </c>
      <c r="C223" t="s">
        <v>29</v>
      </c>
      <c r="D223" t="s">
        <v>31</v>
      </c>
      <c r="E223" t="s">
        <v>30</v>
      </c>
      <c r="F223" t="s">
        <v>28</v>
      </c>
      <c r="G223" t="s">
        <v>25</v>
      </c>
    </row>
    <row r="224" spans="1:7">
      <c r="A224">
        <v>432</v>
      </c>
      <c r="B224" t="s">
        <v>20</v>
      </c>
      <c r="C224" t="s">
        <v>29</v>
      </c>
      <c r="D224" t="s">
        <v>31</v>
      </c>
      <c r="E224" t="s">
        <v>30</v>
      </c>
      <c r="F224" t="s">
        <v>28</v>
      </c>
      <c r="G224" t="s">
        <v>26</v>
      </c>
    </row>
    <row r="225" spans="1:7">
      <c r="A225">
        <v>433</v>
      </c>
      <c r="B225" t="s">
        <v>20</v>
      </c>
      <c r="C225" t="s">
        <v>29</v>
      </c>
      <c r="D225" t="s">
        <v>31</v>
      </c>
      <c r="E225" t="s">
        <v>30</v>
      </c>
      <c r="F225" t="s">
        <v>28</v>
      </c>
      <c r="G225" t="s">
        <v>27</v>
      </c>
    </row>
    <row r="226" spans="1:7">
      <c r="A226">
        <v>434</v>
      </c>
      <c r="B226" t="s">
        <v>20</v>
      </c>
      <c r="C226" t="s">
        <v>29</v>
      </c>
      <c r="D226" t="s">
        <v>31</v>
      </c>
      <c r="E226" t="s">
        <v>30</v>
      </c>
      <c r="F226" t="s">
        <v>29</v>
      </c>
      <c r="G226" t="s">
        <v>22</v>
      </c>
    </row>
    <row r="227" spans="1:7">
      <c r="A227">
        <v>435</v>
      </c>
      <c r="B227" t="s">
        <v>20</v>
      </c>
      <c r="C227" t="s">
        <v>29</v>
      </c>
      <c r="D227" t="s">
        <v>31</v>
      </c>
      <c r="E227" t="s">
        <v>30</v>
      </c>
      <c r="F227" t="s">
        <v>29</v>
      </c>
      <c r="G227" t="s">
        <v>23</v>
      </c>
    </row>
    <row r="228" spans="1:7">
      <c r="A228">
        <v>436</v>
      </c>
      <c r="B228" t="s">
        <v>20</v>
      </c>
      <c r="C228" t="s">
        <v>29</v>
      </c>
      <c r="D228" t="s">
        <v>31</v>
      </c>
      <c r="E228" t="s">
        <v>30</v>
      </c>
      <c r="F228" t="s">
        <v>29</v>
      </c>
      <c r="G228" t="s">
        <v>24</v>
      </c>
    </row>
    <row r="229" spans="1:7">
      <c r="A229">
        <v>437</v>
      </c>
      <c r="B229" t="s">
        <v>20</v>
      </c>
      <c r="C229" t="s">
        <v>29</v>
      </c>
      <c r="D229" t="s">
        <v>31</v>
      </c>
      <c r="E229" t="s">
        <v>30</v>
      </c>
      <c r="F229" t="s">
        <v>29</v>
      </c>
      <c r="G229" t="s">
        <v>31</v>
      </c>
    </row>
    <row r="230" spans="1:7">
      <c r="A230">
        <v>438</v>
      </c>
      <c r="B230" t="s">
        <v>20</v>
      </c>
      <c r="C230" t="s">
        <v>29</v>
      </c>
      <c r="D230" t="s">
        <v>31</v>
      </c>
      <c r="E230" t="s">
        <v>30</v>
      </c>
      <c r="F230" t="s">
        <v>29</v>
      </c>
      <c r="G230" t="s">
        <v>25</v>
      </c>
    </row>
    <row r="231" spans="1:7">
      <c r="A231">
        <v>439</v>
      </c>
      <c r="B231" t="s">
        <v>20</v>
      </c>
      <c r="C231" t="s">
        <v>29</v>
      </c>
      <c r="D231" t="s">
        <v>31</v>
      </c>
      <c r="E231" t="s">
        <v>30</v>
      </c>
      <c r="F231" t="s">
        <v>29</v>
      </c>
      <c r="G231" t="s">
        <v>26</v>
      </c>
    </row>
    <row r="232" spans="1:7">
      <c r="A232">
        <v>440</v>
      </c>
      <c r="B232" t="s">
        <v>20</v>
      </c>
      <c r="C232" t="s">
        <v>29</v>
      </c>
      <c r="D232" t="s">
        <v>25</v>
      </c>
      <c r="E232" t="s">
        <v>20</v>
      </c>
      <c r="F232" t="s">
        <v>29</v>
      </c>
      <c r="G232" t="s">
        <v>26</v>
      </c>
    </row>
    <row r="233" spans="1:7">
      <c r="A233">
        <v>441</v>
      </c>
      <c r="B233" t="s">
        <v>20</v>
      </c>
      <c r="C233" t="s">
        <v>29</v>
      </c>
      <c r="D233" t="s">
        <v>25</v>
      </c>
      <c r="E233" t="s">
        <v>30</v>
      </c>
      <c r="F233" t="s">
        <v>21</v>
      </c>
      <c r="G233" t="s">
        <v>22</v>
      </c>
    </row>
    <row r="234" spans="1:7">
      <c r="A234">
        <v>442</v>
      </c>
      <c r="B234" t="s">
        <v>20</v>
      </c>
      <c r="C234" t="s">
        <v>29</v>
      </c>
      <c r="D234" t="s">
        <v>25</v>
      </c>
      <c r="E234" t="s">
        <v>30</v>
      </c>
      <c r="F234" t="s">
        <v>21</v>
      </c>
      <c r="G234" t="s">
        <v>23</v>
      </c>
    </row>
    <row r="235" spans="1:7">
      <c r="A235">
        <v>443</v>
      </c>
      <c r="B235" t="s">
        <v>20</v>
      </c>
      <c r="C235" t="s">
        <v>29</v>
      </c>
      <c r="D235" t="s">
        <v>25</v>
      </c>
      <c r="E235" t="s">
        <v>30</v>
      </c>
      <c r="F235" t="s">
        <v>21</v>
      </c>
      <c r="G235" t="s">
        <v>24</v>
      </c>
    </row>
    <row r="236" spans="1:7">
      <c r="A236">
        <v>444</v>
      </c>
      <c r="B236" t="s">
        <v>20</v>
      </c>
      <c r="C236" t="s">
        <v>29</v>
      </c>
      <c r="D236" t="s">
        <v>25</v>
      </c>
      <c r="E236" t="s">
        <v>30</v>
      </c>
      <c r="F236" t="s">
        <v>21</v>
      </c>
      <c r="G236" t="s">
        <v>25</v>
      </c>
    </row>
    <row r="237" spans="1:7">
      <c r="A237">
        <v>445</v>
      </c>
      <c r="B237" t="s">
        <v>20</v>
      </c>
      <c r="C237" t="s">
        <v>29</v>
      </c>
      <c r="D237" t="s">
        <v>25</v>
      </c>
      <c r="E237" t="s">
        <v>30</v>
      </c>
      <c r="F237" t="s">
        <v>21</v>
      </c>
      <c r="G237" t="s">
        <v>26</v>
      </c>
    </row>
    <row r="238" spans="1:7">
      <c r="A238">
        <v>446</v>
      </c>
      <c r="B238" t="s">
        <v>20</v>
      </c>
      <c r="C238" t="s">
        <v>29</v>
      </c>
      <c r="D238" t="s">
        <v>25</v>
      </c>
      <c r="E238" t="s">
        <v>30</v>
      </c>
      <c r="F238" t="s">
        <v>21</v>
      </c>
      <c r="G238" t="s">
        <v>27</v>
      </c>
    </row>
    <row r="239" spans="1:7">
      <c r="A239">
        <v>447</v>
      </c>
      <c r="B239" t="s">
        <v>20</v>
      </c>
      <c r="C239" t="s">
        <v>29</v>
      </c>
      <c r="D239" t="s">
        <v>25</v>
      </c>
      <c r="E239" t="s">
        <v>30</v>
      </c>
      <c r="F239" t="s">
        <v>28</v>
      </c>
      <c r="G239" t="s">
        <v>22</v>
      </c>
    </row>
    <row r="240" spans="1:7">
      <c r="A240">
        <v>448</v>
      </c>
      <c r="B240" t="s">
        <v>20</v>
      </c>
      <c r="C240" t="s">
        <v>29</v>
      </c>
      <c r="D240" t="s">
        <v>25</v>
      </c>
      <c r="E240" t="s">
        <v>30</v>
      </c>
      <c r="F240" t="s">
        <v>28</v>
      </c>
      <c r="G240" t="s">
        <v>23</v>
      </c>
    </row>
    <row r="241" spans="1:7">
      <c r="A241">
        <v>449</v>
      </c>
      <c r="B241" t="s">
        <v>20</v>
      </c>
      <c r="C241" t="s">
        <v>29</v>
      </c>
      <c r="D241" t="s">
        <v>25</v>
      </c>
      <c r="E241" t="s">
        <v>30</v>
      </c>
      <c r="F241" t="s">
        <v>28</v>
      </c>
      <c r="G241" t="s">
        <v>24</v>
      </c>
    </row>
    <row r="242" spans="1:7">
      <c r="A242">
        <v>450</v>
      </c>
      <c r="B242" t="s">
        <v>20</v>
      </c>
      <c r="C242" t="s">
        <v>29</v>
      </c>
      <c r="D242" t="s">
        <v>25</v>
      </c>
      <c r="E242" t="s">
        <v>30</v>
      </c>
      <c r="F242" t="s">
        <v>28</v>
      </c>
      <c r="G242" t="s">
        <v>25</v>
      </c>
    </row>
    <row r="243" spans="1:7">
      <c r="A243">
        <v>451</v>
      </c>
      <c r="B243" t="s">
        <v>20</v>
      </c>
      <c r="C243" t="s">
        <v>29</v>
      </c>
      <c r="D243" t="s">
        <v>25</v>
      </c>
      <c r="E243" t="s">
        <v>30</v>
      </c>
      <c r="F243" t="s">
        <v>28</v>
      </c>
      <c r="G243" t="s">
        <v>26</v>
      </c>
    </row>
    <row r="244" spans="1:7">
      <c r="A244">
        <v>452</v>
      </c>
      <c r="B244" t="s">
        <v>20</v>
      </c>
      <c r="C244" t="s">
        <v>29</v>
      </c>
      <c r="D244" t="s">
        <v>25</v>
      </c>
      <c r="E244" t="s">
        <v>30</v>
      </c>
      <c r="F244" t="s">
        <v>28</v>
      </c>
      <c r="G244" t="s">
        <v>27</v>
      </c>
    </row>
    <row r="245" spans="1:7">
      <c r="A245">
        <v>453</v>
      </c>
      <c r="B245" t="s">
        <v>20</v>
      </c>
      <c r="C245" t="s">
        <v>29</v>
      </c>
      <c r="D245" t="s">
        <v>25</v>
      </c>
      <c r="E245" t="s">
        <v>30</v>
      </c>
      <c r="F245" t="s">
        <v>29</v>
      </c>
      <c r="G245" t="s">
        <v>22</v>
      </c>
    </row>
    <row r="246" spans="1:7">
      <c r="A246">
        <v>454</v>
      </c>
      <c r="B246" t="s">
        <v>20</v>
      </c>
      <c r="C246" t="s">
        <v>29</v>
      </c>
      <c r="D246" t="s">
        <v>25</v>
      </c>
      <c r="E246" t="s">
        <v>30</v>
      </c>
      <c r="F246" t="s">
        <v>29</v>
      </c>
      <c r="G246" t="s">
        <v>23</v>
      </c>
    </row>
    <row r="247" spans="1:7">
      <c r="A247">
        <v>455</v>
      </c>
      <c r="B247" t="s">
        <v>20</v>
      </c>
      <c r="C247" t="s">
        <v>29</v>
      </c>
      <c r="D247" t="s">
        <v>25</v>
      </c>
      <c r="E247" t="s">
        <v>30</v>
      </c>
      <c r="F247" t="s">
        <v>29</v>
      </c>
      <c r="G247" t="s">
        <v>24</v>
      </c>
    </row>
    <row r="248" spans="1:7">
      <c r="A248">
        <v>456</v>
      </c>
      <c r="B248" t="s">
        <v>20</v>
      </c>
      <c r="C248" t="s">
        <v>29</v>
      </c>
      <c r="D248" t="s">
        <v>25</v>
      </c>
      <c r="E248" t="s">
        <v>30</v>
      </c>
      <c r="F248" t="s">
        <v>29</v>
      </c>
      <c r="G248" t="s">
        <v>31</v>
      </c>
    </row>
    <row r="249" spans="1:7">
      <c r="A249">
        <v>457</v>
      </c>
      <c r="B249" t="s">
        <v>20</v>
      </c>
      <c r="C249" t="s">
        <v>29</v>
      </c>
      <c r="D249" t="s">
        <v>25</v>
      </c>
      <c r="E249" t="s">
        <v>30</v>
      </c>
      <c r="F249" t="s">
        <v>29</v>
      </c>
      <c r="G249" t="s">
        <v>25</v>
      </c>
    </row>
    <row r="250" spans="1:7">
      <c r="A250">
        <v>458</v>
      </c>
      <c r="B250" t="s">
        <v>20</v>
      </c>
      <c r="C250" t="s">
        <v>29</v>
      </c>
      <c r="D250" t="s">
        <v>25</v>
      </c>
      <c r="E250" t="s">
        <v>30</v>
      </c>
      <c r="F250" t="s">
        <v>29</v>
      </c>
      <c r="G250" t="s">
        <v>26</v>
      </c>
    </row>
    <row r="251" spans="1:7">
      <c r="A251">
        <v>459</v>
      </c>
      <c r="B251" t="s">
        <v>20</v>
      </c>
      <c r="C251" t="s">
        <v>29</v>
      </c>
      <c r="D251" t="s">
        <v>26</v>
      </c>
      <c r="E251" t="s">
        <v>30</v>
      </c>
      <c r="F251" t="s">
        <v>21</v>
      </c>
      <c r="G251" t="s">
        <v>22</v>
      </c>
    </row>
    <row r="252" spans="1:7">
      <c r="A252">
        <v>460</v>
      </c>
      <c r="B252" t="s">
        <v>20</v>
      </c>
      <c r="C252" t="s">
        <v>29</v>
      </c>
      <c r="D252" t="s">
        <v>26</v>
      </c>
      <c r="E252" t="s">
        <v>30</v>
      </c>
      <c r="F252" t="s">
        <v>21</v>
      </c>
      <c r="G252" t="s">
        <v>23</v>
      </c>
    </row>
    <row r="253" spans="1:7">
      <c r="A253">
        <v>461</v>
      </c>
      <c r="B253" t="s">
        <v>20</v>
      </c>
      <c r="C253" t="s">
        <v>29</v>
      </c>
      <c r="D253" t="s">
        <v>26</v>
      </c>
      <c r="E253" t="s">
        <v>30</v>
      </c>
      <c r="F253" t="s">
        <v>21</v>
      </c>
      <c r="G253" t="s">
        <v>24</v>
      </c>
    </row>
    <row r="254" spans="1:7">
      <c r="A254">
        <v>462</v>
      </c>
      <c r="B254" t="s">
        <v>20</v>
      </c>
      <c r="C254" t="s">
        <v>29</v>
      </c>
      <c r="D254" t="s">
        <v>26</v>
      </c>
      <c r="E254" t="s">
        <v>30</v>
      </c>
      <c r="F254" t="s">
        <v>21</v>
      </c>
      <c r="G254" t="s">
        <v>25</v>
      </c>
    </row>
    <row r="255" spans="1:7">
      <c r="A255">
        <v>463</v>
      </c>
      <c r="B255" t="s">
        <v>20</v>
      </c>
      <c r="C255" t="s">
        <v>29</v>
      </c>
      <c r="D255" t="s">
        <v>26</v>
      </c>
      <c r="E255" t="s">
        <v>30</v>
      </c>
      <c r="F255" t="s">
        <v>21</v>
      </c>
      <c r="G255" t="s">
        <v>26</v>
      </c>
    </row>
    <row r="256" spans="1:7">
      <c r="A256">
        <v>464</v>
      </c>
      <c r="B256" t="s">
        <v>20</v>
      </c>
      <c r="C256" t="s">
        <v>29</v>
      </c>
      <c r="D256" t="s">
        <v>26</v>
      </c>
      <c r="E256" t="s">
        <v>30</v>
      </c>
      <c r="F256" t="s">
        <v>21</v>
      </c>
      <c r="G256" t="s">
        <v>27</v>
      </c>
    </row>
    <row r="257" spans="1:7">
      <c r="A257">
        <v>465</v>
      </c>
      <c r="B257" t="s">
        <v>20</v>
      </c>
      <c r="C257" t="s">
        <v>29</v>
      </c>
      <c r="D257" t="s">
        <v>26</v>
      </c>
      <c r="E257" t="s">
        <v>30</v>
      </c>
      <c r="F257" t="s">
        <v>28</v>
      </c>
      <c r="G257" t="s">
        <v>22</v>
      </c>
    </row>
    <row r="258" spans="1:7">
      <c r="A258">
        <v>466</v>
      </c>
      <c r="B258" t="s">
        <v>20</v>
      </c>
      <c r="C258" t="s">
        <v>29</v>
      </c>
      <c r="D258" t="s">
        <v>26</v>
      </c>
      <c r="E258" t="s">
        <v>30</v>
      </c>
      <c r="F258" t="s">
        <v>28</v>
      </c>
      <c r="G258" t="s">
        <v>23</v>
      </c>
    </row>
    <row r="259" spans="1:7">
      <c r="A259">
        <v>467</v>
      </c>
      <c r="B259" t="s">
        <v>20</v>
      </c>
      <c r="C259" t="s">
        <v>29</v>
      </c>
      <c r="D259" t="s">
        <v>26</v>
      </c>
      <c r="E259" t="s">
        <v>30</v>
      </c>
      <c r="F259" t="s">
        <v>28</v>
      </c>
      <c r="G259" t="s">
        <v>24</v>
      </c>
    </row>
    <row r="260" spans="1:7">
      <c r="A260">
        <v>468</v>
      </c>
      <c r="B260" t="s">
        <v>20</v>
      </c>
      <c r="C260" t="s">
        <v>29</v>
      </c>
      <c r="D260" t="s">
        <v>26</v>
      </c>
      <c r="E260" t="s">
        <v>30</v>
      </c>
      <c r="F260" t="s">
        <v>28</v>
      </c>
      <c r="G260" t="s">
        <v>25</v>
      </c>
    </row>
    <row r="261" spans="1:7">
      <c r="A261">
        <v>469</v>
      </c>
      <c r="B261" t="s">
        <v>20</v>
      </c>
      <c r="C261" t="s">
        <v>29</v>
      </c>
      <c r="D261" t="s">
        <v>26</v>
      </c>
      <c r="E261" t="s">
        <v>30</v>
      </c>
      <c r="F261" t="s">
        <v>28</v>
      </c>
      <c r="G261" t="s">
        <v>26</v>
      </c>
    </row>
    <row r="262" spans="1:7">
      <c r="A262">
        <v>470</v>
      </c>
      <c r="B262" t="s">
        <v>20</v>
      </c>
      <c r="C262" t="s">
        <v>29</v>
      </c>
      <c r="D262" t="s">
        <v>26</v>
      </c>
      <c r="E262" t="s">
        <v>30</v>
      </c>
      <c r="F262" t="s">
        <v>28</v>
      </c>
      <c r="G262" t="s">
        <v>27</v>
      </c>
    </row>
    <row r="263" spans="1:7">
      <c r="A263">
        <v>471</v>
      </c>
      <c r="B263" t="s">
        <v>20</v>
      </c>
      <c r="C263" t="s">
        <v>29</v>
      </c>
      <c r="D263" t="s">
        <v>26</v>
      </c>
      <c r="E263" t="s">
        <v>30</v>
      </c>
      <c r="F263" t="s">
        <v>29</v>
      </c>
      <c r="G263" t="s">
        <v>22</v>
      </c>
    </row>
    <row r="264" spans="1:7">
      <c r="A264">
        <v>472</v>
      </c>
      <c r="B264" t="s">
        <v>20</v>
      </c>
      <c r="C264" t="s">
        <v>29</v>
      </c>
      <c r="D264" t="s">
        <v>26</v>
      </c>
      <c r="E264" t="s">
        <v>30</v>
      </c>
      <c r="F264" t="s">
        <v>29</v>
      </c>
      <c r="G264" t="s">
        <v>23</v>
      </c>
    </row>
    <row r="265" spans="1:7">
      <c r="A265">
        <v>473</v>
      </c>
      <c r="B265" t="s">
        <v>20</v>
      </c>
      <c r="C265" t="s">
        <v>29</v>
      </c>
      <c r="D265" t="s">
        <v>26</v>
      </c>
      <c r="E265" t="s">
        <v>30</v>
      </c>
      <c r="F265" t="s">
        <v>29</v>
      </c>
      <c r="G265" t="s">
        <v>24</v>
      </c>
    </row>
    <row r="266" spans="1:7">
      <c r="A266">
        <v>474</v>
      </c>
      <c r="B266" t="s">
        <v>20</v>
      </c>
      <c r="C266" t="s">
        <v>29</v>
      </c>
      <c r="D266" t="s">
        <v>26</v>
      </c>
      <c r="E266" t="s">
        <v>30</v>
      </c>
      <c r="F266" t="s">
        <v>29</v>
      </c>
      <c r="G266" t="s">
        <v>31</v>
      </c>
    </row>
    <row r="267" spans="1:7">
      <c r="A267">
        <v>475</v>
      </c>
      <c r="B267" t="s">
        <v>20</v>
      </c>
      <c r="C267" t="s">
        <v>29</v>
      </c>
      <c r="D267" t="s">
        <v>26</v>
      </c>
      <c r="E267" t="s">
        <v>30</v>
      </c>
      <c r="F267" t="s">
        <v>29</v>
      </c>
      <c r="G267" t="s">
        <v>25</v>
      </c>
    </row>
    <row r="268" spans="1:7">
      <c r="A268">
        <v>476</v>
      </c>
      <c r="B268" t="s">
        <v>20</v>
      </c>
      <c r="C268" t="s">
        <v>29</v>
      </c>
      <c r="D268" t="s">
        <v>26</v>
      </c>
      <c r="E268" t="s">
        <v>30</v>
      </c>
      <c r="F268" t="s">
        <v>29</v>
      </c>
      <c r="G268" t="s">
        <v>26</v>
      </c>
    </row>
    <row r="269" spans="1:7">
      <c r="A269">
        <v>488</v>
      </c>
      <c r="B269" t="s">
        <v>30</v>
      </c>
      <c r="C269" t="s">
        <v>21</v>
      </c>
      <c r="D269" t="s">
        <v>22</v>
      </c>
      <c r="E269" t="s">
        <v>30</v>
      </c>
      <c r="F269" t="s">
        <v>29</v>
      </c>
      <c r="G269" t="s">
        <v>22</v>
      </c>
    </row>
    <row r="270" spans="1:7">
      <c r="A270">
        <v>489</v>
      </c>
      <c r="B270" t="s">
        <v>30</v>
      </c>
      <c r="C270" t="s">
        <v>21</v>
      </c>
      <c r="D270" t="s">
        <v>22</v>
      </c>
      <c r="E270" t="s">
        <v>30</v>
      </c>
      <c r="F270" t="s">
        <v>29</v>
      </c>
      <c r="G270" t="s">
        <v>23</v>
      </c>
    </row>
    <row r="271" spans="1:7">
      <c r="A271">
        <v>490</v>
      </c>
      <c r="B271" t="s">
        <v>30</v>
      </c>
      <c r="C271" t="s">
        <v>21</v>
      </c>
      <c r="D271" t="s">
        <v>22</v>
      </c>
      <c r="E271" t="s">
        <v>30</v>
      </c>
      <c r="F271" t="s">
        <v>29</v>
      </c>
      <c r="G271" t="s">
        <v>24</v>
      </c>
    </row>
    <row r="272" spans="1:7">
      <c r="A272">
        <v>491</v>
      </c>
      <c r="B272" t="s">
        <v>30</v>
      </c>
      <c r="C272" t="s">
        <v>21</v>
      </c>
      <c r="D272" t="s">
        <v>22</v>
      </c>
      <c r="E272" t="s">
        <v>30</v>
      </c>
      <c r="F272" t="s">
        <v>29</v>
      </c>
      <c r="G272" t="s">
        <v>31</v>
      </c>
    </row>
    <row r="273" spans="1:7">
      <c r="A273">
        <v>492</v>
      </c>
      <c r="B273" t="s">
        <v>30</v>
      </c>
      <c r="C273" t="s">
        <v>21</v>
      </c>
      <c r="D273" t="s">
        <v>22</v>
      </c>
      <c r="E273" t="s">
        <v>30</v>
      </c>
      <c r="F273" t="s">
        <v>29</v>
      </c>
      <c r="G273" t="s">
        <v>25</v>
      </c>
    </row>
    <row r="274" spans="1:7">
      <c r="A274">
        <v>493</v>
      </c>
      <c r="B274" t="s">
        <v>30</v>
      </c>
      <c r="C274" t="s">
        <v>21</v>
      </c>
      <c r="D274" t="s">
        <v>22</v>
      </c>
      <c r="E274" t="s">
        <v>30</v>
      </c>
      <c r="F274" t="s">
        <v>29</v>
      </c>
      <c r="G274" t="s">
        <v>26</v>
      </c>
    </row>
    <row r="275" spans="1:7">
      <c r="A275">
        <v>504</v>
      </c>
      <c r="B275" t="s">
        <v>30</v>
      </c>
      <c r="C275" t="s">
        <v>21</v>
      </c>
      <c r="D275" t="s">
        <v>23</v>
      </c>
      <c r="E275" t="s">
        <v>30</v>
      </c>
      <c r="F275" t="s">
        <v>29</v>
      </c>
      <c r="G275" t="s">
        <v>22</v>
      </c>
    </row>
    <row r="276" spans="1:7">
      <c r="A276">
        <v>505</v>
      </c>
      <c r="B276" t="s">
        <v>30</v>
      </c>
      <c r="C276" t="s">
        <v>21</v>
      </c>
      <c r="D276" t="s">
        <v>23</v>
      </c>
      <c r="E276" t="s">
        <v>30</v>
      </c>
      <c r="F276" t="s">
        <v>29</v>
      </c>
      <c r="G276" t="s">
        <v>23</v>
      </c>
    </row>
    <row r="277" spans="1:7">
      <c r="A277">
        <v>506</v>
      </c>
      <c r="B277" t="s">
        <v>30</v>
      </c>
      <c r="C277" t="s">
        <v>21</v>
      </c>
      <c r="D277" t="s">
        <v>23</v>
      </c>
      <c r="E277" t="s">
        <v>30</v>
      </c>
      <c r="F277" t="s">
        <v>29</v>
      </c>
      <c r="G277" t="s">
        <v>24</v>
      </c>
    </row>
    <row r="278" spans="1:7">
      <c r="A278">
        <v>507</v>
      </c>
      <c r="B278" t="s">
        <v>30</v>
      </c>
      <c r="C278" t="s">
        <v>21</v>
      </c>
      <c r="D278" t="s">
        <v>23</v>
      </c>
      <c r="E278" t="s">
        <v>30</v>
      </c>
      <c r="F278" t="s">
        <v>29</v>
      </c>
      <c r="G278" t="s">
        <v>31</v>
      </c>
    </row>
    <row r="279" spans="1:7">
      <c r="A279">
        <v>508</v>
      </c>
      <c r="B279" t="s">
        <v>30</v>
      </c>
      <c r="C279" t="s">
        <v>21</v>
      </c>
      <c r="D279" t="s">
        <v>23</v>
      </c>
      <c r="E279" t="s">
        <v>30</v>
      </c>
      <c r="F279" t="s">
        <v>29</v>
      </c>
      <c r="G279" t="s">
        <v>25</v>
      </c>
    </row>
    <row r="280" spans="1:7">
      <c r="A280">
        <v>509</v>
      </c>
      <c r="B280" t="s">
        <v>30</v>
      </c>
      <c r="C280" t="s">
        <v>21</v>
      </c>
      <c r="D280" t="s">
        <v>23</v>
      </c>
      <c r="E280" t="s">
        <v>30</v>
      </c>
      <c r="F280" t="s">
        <v>29</v>
      </c>
      <c r="G280" t="s">
        <v>26</v>
      </c>
    </row>
    <row r="281" spans="1:7">
      <c r="A281">
        <v>519</v>
      </c>
      <c r="B281" t="s">
        <v>30</v>
      </c>
      <c r="C281" t="s">
        <v>21</v>
      </c>
      <c r="D281" t="s">
        <v>24</v>
      </c>
      <c r="E281" t="s">
        <v>30</v>
      </c>
      <c r="F281" t="s">
        <v>29</v>
      </c>
      <c r="G281" t="s">
        <v>22</v>
      </c>
    </row>
    <row r="282" spans="1:7">
      <c r="A282">
        <v>520</v>
      </c>
      <c r="B282" t="s">
        <v>30</v>
      </c>
      <c r="C282" t="s">
        <v>21</v>
      </c>
      <c r="D282" t="s">
        <v>24</v>
      </c>
      <c r="E282" t="s">
        <v>30</v>
      </c>
      <c r="F282" t="s">
        <v>29</v>
      </c>
      <c r="G282" t="s">
        <v>23</v>
      </c>
    </row>
    <row r="283" spans="1:7">
      <c r="A283">
        <v>521</v>
      </c>
      <c r="B283" t="s">
        <v>30</v>
      </c>
      <c r="C283" t="s">
        <v>21</v>
      </c>
      <c r="D283" t="s">
        <v>24</v>
      </c>
      <c r="E283" t="s">
        <v>30</v>
      </c>
      <c r="F283" t="s">
        <v>29</v>
      </c>
      <c r="G283" t="s">
        <v>24</v>
      </c>
    </row>
    <row r="284" spans="1:7">
      <c r="A284">
        <v>522</v>
      </c>
      <c r="B284" t="s">
        <v>30</v>
      </c>
      <c r="C284" t="s">
        <v>21</v>
      </c>
      <c r="D284" t="s">
        <v>24</v>
      </c>
      <c r="E284" t="s">
        <v>30</v>
      </c>
      <c r="F284" t="s">
        <v>29</v>
      </c>
      <c r="G284" t="s">
        <v>31</v>
      </c>
    </row>
    <row r="285" spans="1:7">
      <c r="A285">
        <v>523</v>
      </c>
      <c r="B285" t="s">
        <v>30</v>
      </c>
      <c r="C285" t="s">
        <v>21</v>
      </c>
      <c r="D285" t="s">
        <v>24</v>
      </c>
      <c r="E285" t="s">
        <v>30</v>
      </c>
      <c r="F285" t="s">
        <v>29</v>
      </c>
      <c r="G285" t="s">
        <v>25</v>
      </c>
    </row>
    <row r="286" spans="1:7">
      <c r="A286">
        <v>524</v>
      </c>
      <c r="B286" t="s">
        <v>30</v>
      </c>
      <c r="C286" t="s">
        <v>21</v>
      </c>
      <c r="D286" t="s">
        <v>24</v>
      </c>
      <c r="E286" t="s">
        <v>30</v>
      </c>
      <c r="F286" t="s">
        <v>29</v>
      </c>
      <c r="G286" t="s">
        <v>26</v>
      </c>
    </row>
    <row r="287" spans="1:7">
      <c r="A287">
        <v>533</v>
      </c>
      <c r="B287" t="s">
        <v>30</v>
      </c>
      <c r="C287" t="s">
        <v>21</v>
      </c>
      <c r="D287" t="s">
        <v>25</v>
      </c>
      <c r="E287" t="s">
        <v>30</v>
      </c>
      <c r="F287" t="s">
        <v>29</v>
      </c>
      <c r="G287" t="s">
        <v>22</v>
      </c>
    </row>
    <row r="288" spans="1:7">
      <c r="A288">
        <v>534</v>
      </c>
      <c r="B288" t="s">
        <v>30</v>
      </c>
      <c r="C288" t="s">
        <v>21</v>
      </c>
      <c r="D288" t="s">
        <v>25</v>
      </c>
      <c r="E288" t="s">
        <v>30</v>
      </c>
      <c r="F288" t="s">
        <v>29</v>
      </c>
      <c r="G288" t="s">
        <v>23</v>
      </c>
    </row>
    <row r="289" spans="1:7">
      <c r="A289">
        <v>535</v>
      </c>
      <c r="B289" t="s">
        <v>30</v>
      </c>
      <c r="C289" t="s">
        <v>21</v>
      </c>
      <c r="D289" t="s">
        <v>25</v>
      </c>
      <c r="E289" t="s">
        <v>30</v>
      </c>
      <c r="F289" t="s">
        <v>29</v>
      </c>
      <c r="G289" t="s">
        <v>24</v>
      </c>
    </row>
    <row r="290" spans="1:7">
      <c r="A290">
        <v>536</v>
      </c>
      <c r="B290" t="s">
        <v>30</v>
      </c>
      <c r="C290" t="s">
        <v>21</v>
      </c>
      <c r="D290" t="s">
        <v>25</v>
      </c>
      <c r="E290" t="s">
        <v>30</v>
      </c>
      <c r="F290" t="s">
        <v>29</v>
      </c>
      <c r="G290" t="s">
        <v>31</v>
      </c>
    </row>
    <row r="291" spans="1:7">
      <c r="A291">
        <v>537</v>
      </c>
      <c r="B291" t="s">
        <v>30</v>
      </c>
      <c r="C291" t="s">
        <v>21</v>
      </c>
      <c r="D291" t="s">
        <v>25</v>
      </c>
      <c r="E291" t="s">
        <v>30</v>
      </c>
      <c r="F291" t="s">
        <v>29</v>
      </c>
      <c r="G291" t="s">
        <v>25</v>
      </c>
    </row>
    <row r="292" spans="1:7">
      <c r="A292">
        <v>538</v>
      </c>
      <c r="B292" t="s">
        <v>30</v>
      </c>
      <c r="C292" t="s">
        <v>21</v>
      </c>
      <c r="D292" t="s">
        <v>25</v>
      </c>
      <c r="E292" t="s">
        <v>30</v>
      </c>
      <c r="F292" t="s">
        <v>29</v>
      </c>
      <c r="G292" t="s">
        <v>26</v>
      </c>
    </row>
    <row r="293" spans="1:7">
      <c r="A293">
        <v>546</v>
      </c>
      <c r="B293" t="s">
        <v>30</v>
      </c>
      <c r="C293" t="s">
        <v>21</v>
      </c>
      <c r="D293" t="s">
        <v>26</v>
      </c>
      <c r="E293" t="s">
        <v>30</v>
      </c>
      <c r="F293" t="s">
        <v>29</v>
      </c>
      <c r="G293" t="s">
        <v>22</v>
      </c>
    </row>
    <row r="294" spans="1:7">
      <c r="A294">
        <v>547</v>
      </c>
      <c r="B294" t="s">
        <v>30</v>
      </c>
      <c r="C294" t="s">
        <v>21</v>
      </c>
      <c r="D294" t="s">
        <v>26</v>
      </c>
      <c r="E294" t="s">
        <v>30</v>
      </c>
      <c r="F294" t="s">
        <v>29</v>
      </c>
      <c r="G294" t="s">
        <v>23</v>
      </c>
    </row>
    <row r="295" spans="1:7">
      <c r="A295">
        <v>548</v>
      </c>
      <c r="B295" t="s">
        <v>30</v>
      </c>
      <c r="C295" t="s">
        <v>21</v>
      </c>
      <c r="D295" t="s">
        <v>26</v>
      </c>
      <c r="E295" t="s">
        <v>30</v>
      </c>
      <c r="F295" t="s">
        <v>29</v>
      </c>
      <c r="G295" t="s">
        <v>24</v>
      </c>
    </row>
    <row r="296" spans="1:7">
      <c r="A296">
        <v>549</v>
      </c>
      <c r="B296" t="s">
        <v>30</v>
      </c>
      <c r="C296" t="s">
        <v>21</v>
      </c>
      <c r="D296" t="s">
        <v>26</v>
      </c>
      <c r="E296" t="s">
        <v>30</v>
      </c>
      <c r="F296" t="s">
        <v>29</v>
      </c>
      <c r="G296" t="s">
        <v>31</v>
      </c>
    </row>
    <row r="297" spans="1:7">
      <c r="A297">
        <v>550</v>
      </c>
      <c r="B297" t="s">
        <v>30</v>
      </c>
      <c r="C297" t="s">
        <v>21</v>
      </c>
      <c r="D297" t="s">
        <v>26</v>
      </c>
      <c r="E297" t="s">
        <v>30</v>
      </c>
      <c r="F297" t="s">
        <v>29</v>
      </c>
      <c r="G297" t="s">
        <v>25</v>
      </c>
    </row>
    <row r="298" spans="1:7">
      <c r="A298">
        <v>551</v>
      </c>
      <c r="B298" t="s">
        <v>30</v>
      </c>
      <c r="C298" t="s">
        <v>21</v>
      </c>
      <c r="D298" t="s">
        <v>26</v>
      </c>
      <c r="E298" t="s">
        <v>30</v>
      </c>
      <c r="F298" t="s">
        <v>29</v>
      </c>
      <c r="G298" t="s">
        <v>26</v>
      </c>
    </row>
    <row r="299" spans="1:7">
      <c r="A299">
        <v>558</v>
      </c>
      <c r="B299" t="s">
        <v>30</v>
      </c>
      <c r="C299" t="s">
        <v>21</v>
      </c>
      <c r="D299" t="s">
        <v>27</v>
      </c>
      <c r="E299" t="s">
        <v>30</v>
      </c>
      <c r="F299" t="s">
        <v>29</v>
      </c>
      <c r="G299" t="s">
        <v>22</v>
      </c>
    </row>
    <row r="300" spans="1:7">
      <c r="A300">
        <v>559</v>
      </c>
      <c r="B300" t="s">
        <v>30</v>
      </c>
      <c r="C300" t="s">
        <v>21</v>
      </c>
      <c r="D300" t="s">
        <v>27</v>
      </c>
      <c r="E300" t="s">
        <v>30</v>
      </c>
      <c r="F300" t="s">
        <v>29</v>
      </c>
      <c r="G300" t="s">
        <v>23</v>
      </c>
    </row>
    <row r="301" spans="1:7">
      <c r="A301">
        <v>560</v>
      </c>
      <c r="B301" t="s">
        <v>30</v>
      </c>
      <c r="C301" t="s">
        <v>21</v>
      </c>
      <c r="D301" t="s">
        <v>27</v>
      </c>
      <c r="E301" t="s">
        <v>30</v>
      </c>
      <c r="F301" t="s">
        <v>29</v>
      </c>
      <c r="G301" t="s">
        <v>24</v>
      </c>
    </row>
    <row r="302" spans="1:7">
      <c r="A302">
        <v>561</v>
      </c>
      <c r="B302" t="s">
        <v>30</v>
      </c>
      <c r="C302" t="s">
        <v>21</v>
      </c>
      <c r="D302" t="s">
        <v>27</v>
      </c>
      <c r="E302" t="s">
        <v>30</v>
      </c>
      <c r="F302" t="s">
        <v>29</v>
      </c>
      <c r="G302" t="s">
        <v>31</v>
      </c>
    </row>
    <row r="303" spans="1:7">
      <c r="A303">
        <v>562</v>
      </c>
      <c r="B303" t="s">
        <v>30</v>
      </c>
      <c r="C303" t="s">
        <v>21</v>
      </c>
      <c r="D303" t="s">
        <v>27</v>
      </c>
      <c r="E303" t="s">
        <v>30</v>
      </c>
      <c r="F303" t="s">
        <v>29</v>
      </c>
      <c r="G303" t="s">
        <v>25</v>
      </c>
    </row>
    <row r="304" spans="1:7">
      <c r="A304">
        <v>563</v>
      </c>
      <c r="B304" t="s">
        <v>30</v>
      </c>
      <c r="C304" t="s">
        <v>21</v>
      </c>
      <c r="D304" t="s">
        <v>27</v>
      </c>
      <c r="E304" t="s">
        <v>30</v>
      </c>
      <c r="F304" t="s">
        <v>29</v>
      </c>
      <c r="G304" t="s">
        <v>26</v>
      </c>
    </row>
    <row r="305" spans="1:7">
      <c r="A305">
        <v>569</v>
      </c>
      <c r="B305" t="s">
        <v>30</v>
      </c>
      <c r="C305" t="s">
        <v>28</v>
      </c>
      <c r="D305" t="s">
        <v>22</v>
      </c>
      <c r="E305" t="s">
        <v>30</v>
      </c>
      <c r="F305" t="s">
        <v>29</v>
      </c>
      <c r="G305" t="s">
        <v>22</v>
      </c>
    </row>
    <row r="306" spans="1:7">
      <c r="A306">
        <v>570</v>
      </c>
      <c r="B306" t="s">
        <v>30</v>
      </c>
      <c r="C306" t="s">
        <v>28</v>
      </c>
      <c r="D306" t="s">
        <v>22</v>
      </c>
      <c r="E306" t="s">
        <v>30</v>
      </c>
      <c r="F306" t="s">
        <v>29</v>
      </c>
      <c r="G306" t="s">
        <v>23</v>
      </c>
    </row>
    <row r="307" spans="1:7">
      <c r="A307">
        <v>571</v>
      </c>
      <c r="B307" t="s">
        <v>30</v>
      </c>
      <c r="C307" t="s">
        <v>28</v>
      </c>
      <c r="D307" t="s">
        <v>22</v>
      </c>
      <c r="E307" t="s">
        <v>30</v>
      </c>
      <c r="F307" t="s">
        <v>29</v>
      </c>
      <c r="G307" t="s">
        <v>24</v>
      </c>
    </row>
    <row r="308" spans="1:7">
      <c r="A308">
        <v>572</v>
      </c>
      <c r="B308" t="s">
        <v>30</v>
      </c>
      <c r="C308" t="s">
        <v>28</v>
      </c>
      <c r="D308" t="s">
        <v>22</v>
      </c>
      <c r="E308" t="s">
        <v>30</v>
      </c>
      <c r="F308" t="s">
        <v>29</v>
      </c>
      <c r="G308" t="s">
        <v>31</v>
      </c>
    </row>
    <row r="309" spans="1:7">
      <c r="A309">
        <v>573</v>
      </c>
      <c r="B309" t="s">
        <v>30</v>
      </c>
      <c r="C309" t="s">
        <v>28</v>
      </c>
      <c r="D309" t="s">
        <v>22</v>
      </c>
      <c r="E309" t="s">
        <v>30</v>
      </c>
      <c r="F309" t="s">
        <v>29</v>
      </c>
      <c r="G309" t="s">
        <v>25</v>
      </c>
    </row>
    <row r="310" spans="1:7">
      <c r="A310">
        <v>574</v>
      </c>
      <c r="B310" t="s">
        <v>30</v>
      </c>
      <c r="C310" t="s">
        <v>28</v>
      </c>
      <c r="D310" t="s">
        <v>22</v>
      </c>
      <c r="E310" t="s">
        <v>30</v>
      </c>
      <c r="F310" t="s">
        <v>29</v>
      </c>
      <c r="G310" t="s">
        <v>26</v>
      </c>
    </row>
    <row r="311" spans="1:7">
      <c r="A311">
        <v>579</v>
      </c>
      <c r="B311" t="s">
        <v>30</v>
      </c>
      <c r="C311" t="s">
        <v>28</v>
      </c>
      <c r="D311" t="s">
        <v>23</v>
      </c>
      <c r="E311" t="s">
        <v>30</v>
      </c>
      <c r="F311" t="s">
        <v>29</v>
      </c>
      <c r="G311" t="s">
        <v>22</v>
      </c>
    </row>
    <row r="312" spans="1:7">
      <c r="A312">
        <v>580</v>
      </c>
      <c r="B312" t="s">
        <v>30</v>
      </c>
      <c r="C312" t="s">
        <v>28</v>
      </c>
      <c r="D312" t="s">
        <v>23</v>
      </c>
      <c r="E312" t="s">
        <v>30</v>
      </c>
      <c r="F312" t="s">
        <v>29</v>
      </c>
      <c r="G312" t="s">
        <v>23</v>
      </c>
    </row>
    <row r="313" spans="1:7">
      <c r="A313">
        <v>581</v>
      </c>
      <c r="B313" t="s">
        <v>30</v>
      </c>
      <c r="C313" t="s">
        <v>28</v>
      </c>
      <c r="D313" t="s">
        <v>23</v>
      </c>
      <c r="E313" t="s">
        <v>30</v>
      </c>
      <c r="F313" t="s">
        <v>29</v>
      </c>
      <c r="G313" t="s">
        <v>24</v>
      </c>
    </row>
    <row r="314" spans="1:7">
      <c r="A314">
        <v>582</v>
      </c>
      <c r="B314" t="s">
        <v>30</v>
      </c>
      <c r="C314" t="s">
        <v>28</v>
      </c>
      <c r="D314" t="s">
        <v>23</v>
      </c>
      <c r="E314" t="s">
        <v>30</v>
      </c>
      <c r="F314" t="s">
        <v>29</v>
      </c>
      <c r="G314" t="s">
        <v>31</v>
      </c>
    </row>
    <row r="315" spans="1:7">
      <c r="A315">
        <v>583</v>
      </c>
      <c r="B315" t="s">
        <v>30</v>
      </c>
      <c r="C315" t="s">
        <v>28</v>
      </c>
      <c r="D315" t="s">
        <v>23</v>
      </c>
      <c r="E315" t="s">
        <v>30</v>
      </c>
      <c r="F315" t="s">
        <v>29</v>
      </c>
      <c r="G315" t="s">
        <v>25</v>
      </c>
    </row>
    <row r="316" spans="1:7">
      <c r="A316">
        <v>584</v>
      </c>
      <c r="B316" t="s">
        <v>30</v>
      </c>
      <c r="C316" t="s">
        <v>28</v>
      </c>
      <c r="D316" t="s">
        <v>23</v>
      </c>
      <c r="E316" t="s">
        <v>30</v>
      </c>
      <c r="F316" t="s">
        <v>29</v>
      </c>
      <c r="G316" t="s">
        <v>26</v>
      </c>
    </row>
    <row r="317" spans="1:7">
      <c r="A317">
        <v>588</v>
      </c>
      <c r="B317" t="s">
        <v>30</v>
      </c>
      <c r="C317" t="s">
        <v>28</v>
      </c>
      <c r="D317" t="s">
        <v>24</v>
      </c>
      <c r="E317" t="s">
        <v>30</v>
      </c>
      <c r="F317" t="s">
        <v>29</v>
      </c>
      <c r="G317" t="s">
        <v>22</v>
      </c>
    </row>
    <row r="318" spans="1:7">
      <c r="A318">
        <v>589</v>
      </c>
      <c r="B318" t="s">
        <v>30</v>
      </c>
      <c r="C318" t="s">
        <v>28</v>
      </c>
      <c r="D318" t="s">
        <v>24</v>
      </c>
      <c r="E318" t="s">
        <v>30</v>
      </c>
      <c r="F318" t="s">
        <v>29</v>
      </c>
      <c r="G318" t="s">
        <v>23</v>
      </c>
    </row>
    <row r="319" spans="1:7">
      <c r="A319">
        <v>590</v>
      </c>
      <c r="B319" t="s">
        <v>30</v>
      </c>
      <c r="C319" t="s">
        <v>28</v>
      </c>
      <c r="D319" t="s">
        <v>24</v>
      </c>
      <c r="E319" t="s">
        <v>30</v>
      </c>
      <c r="F319" t="s">
        <v>29</v>
      </c>
      <c r="G319" t="s">
        <v>24</v>
      </c>
    </row>
    <row r="320" spans="1:7">
      <c r="A320">
        <v>591</v>
      </c>
      <c r="B320" t="s">
        <v>30</v>
      </c>
      <c r="C320" t="s">
        <v>28</v>
      </c>
      <c r="D320" t="s">
        <v>24</v>
      </c>
      <c r="E320" t="s">
        <v>30</v>
      </c>
      <c r="F320" t="s">
        <v>29</v>
      </c>
      <c r="G320" t="s">
        <v>31</v>
      </c>
    </row>
    <row r="321" spans="1:7">
      <c r="A321">
        <v>592</v>
      </c>
      <c r="B321" t="s">
        <v>30</v>
      </c>
      <c r="C321" t="s">
        <v>28</v>
      </c>
      <c r="D321" t="s">
        <v>24</v>
      </c>
      <c r="E321" t="s">
        <v>30</v>
      </c>
      <c r="F321" t="s">
        <v>29</v>
      </c>
      <c r="G321" t="s">
        <v>25</v>
      </c>
    </row>
    <row r="322" spans="1:7">
      <c r="A322">
        <v>593</v>
      </c>
      <c r="B322" t="s">
        <v>30</v>
      </c>
      <c r="C322" t="s">
        <v>28</v>
      </c>
      <c r="D322" t="s">
        <v>24</v>
      </c>
      <c r="E322" t="s">
        <v>30</v>
      </c>
      <c r="F322" t="s">
        <v>29</v>
      </c>
      <c r="G322" t="s">
        <v>26</v>
      </c>
    </row>
    <row r="323" spans="1:7">
      <c r="A323">
        <v>596</v>
      </c>
      <c r="B323" t="s">
        <v>30</v>
      </c>
      <c r="C323" t="s">
        <v>28</v>
      </c>
      <c r="D323" t="s">
        <v>25</v>
      </c>
      <c r="E323" t="s">
        <v>30</v>
      </c>
      <c r="F323" t="s">
        <v>29</v>
      </c>
      <c r="G323" t="s">
        <v>22</v>
      </c>
    </row>
    <row r="324" spans="1:7">
      <c r="A324">
        <v>597</v>
      </c>
      <c r="B324" t="s">
        <v>30</v>
      </c>
      <c r="C324" t="s">
        <v>28</v>
      </c>
      <c r="D324" t="s">
        <v>25</v>
      </c>
      <c r="E324" t="s">
        <v>30</v>
      </c>
      <c r="F324" t="s">
        <v>29</v>
      </c>
      <c r="G324" t="s">
        <v>23</v>
      </c>
    </row>
    <row r="325" spans="1:7">
      <c r="A325">
        <v>598</v>
      </c>
      <c r="B325" t="s">
        <v>30</v>
      </c>
      <c r="C325" t="s">
        <v>28</v>
      </c>
      <c r="D325" t="s">
        <v>25</v>
      </c>
      <c r="E325" t="s">
        <v>30</v>
      </c>
      <c r="F325" t="s">
        <v>29</v>
      </c>
      <c r="G325" t="s">
        <v>24</v>
      </c>
    </row>
    <row r="326" spans="1:7">
      <c r="A326">
        <v>599</v>
      </c>
      <c r="B326" t="s">
        <v>30</v>
      </c>
      <c r="C326" t="s">
        <v>28</v>
      </c>
      <c r="D326" t="s">
        <v>25</v>
      </c>
      <c r="E326" t="s">
        <v>30</v>
      </c>
      <c r="F326" t="s">
        <v>29</v>
      </c>
      <c r="G326" t="s">
        <v>31</v>
      </c>
    </row>
    <row r="327" spans="1:7">
      <c r="A327">
        <v>600</v>
      </c>
      <c r="B327" t="s">
        <v>30</v>
      </c>
      <c r="C327" t="s">
        <v>28</v>
      </c>
      <c r="D327" t="s">
        <v>25</v>
      </c>
      <c r="E327" t="s">
        <v>30</v>
      </c>
      <c r="F327" t="s">
        <v>29</v>
      </c>
      <c r="G327" t="s">
        <v>25</v>
      </c>
    </row>
    <row r="328" spans="1:7">
      <c r="A328">
        <v>601</v>
      </c>
      <c r="B328" t="s">
        <v>30</v>
      </c>
      <c r="C328" t="s">
        <v>28</v>
      </c>
      <c r="D328" t="s">
        <v>25</v>
      </c>
      <c r="E328" t="s">
        <v>30</v>
      </c>
      <c r="F328" t="s">
        <v>29</v>
      </c>
      <c r="G328" t="s">
        <v>26</v>
      </c>
    </row>
    <row r="329" spans="1:7">
      <c r="A329">
        <v>603</v>
      </c>
      <c r="B329" t="s">
        <v>30</v>
      </c>
      <c r="C329" t="s">
        <v>28</v>
      </c>
      <c r="D329" t="s">
        <v>26</v>
      </c>
      <c r="E329" t="s">
        <v>30</v>
      </c>
      <c r="F329" t="s">
        <v>29</v>
      </c>
      <c r="G329" t="s">
        <v>22</v>
      </c>
    </row>
    <row r="330" spans="1:7">
      <c r="A330">
        <v>604</v>
      </c>
      <c r="B330" t="s">
        <v>30</v>
      </c>
      <c r="C330" t="s">
        <v>28</v>
      </c>
      <c r="D330" t="s">
        <v>26</v>
      </c>
      <c r="E330" t="s">
        <v>30</v>
      </c>
      <c r="F330" t="s">
        <v>29</v>
      </c>
      <c r="G330" t="s">
        <v>23</v>
      </c>
    </row>
    <row r="331" spans="1:7">
      <c r="A331">
        <v>605</v>
      </c>
      <c r="B331" t="s">
        <v>30</v>
      </c>
      <c r="C331" t="s">
        <v>28</v>
      </c>
      <c r="D331" t="s">
        <v>26</v>
      </c>
      <c r="E331" t="s">
        <v>30</v>
      </c>
      <c r="F331" t="s">
        <v>29</v>
      </c>
      <c r="G331" t="s">
        <v>24</v>
      </c>
    </row>
    <row r="332" spans="1:7">
      <c r="A332">
        <v>606</v>
      </c>
      <c r="B332" t="s">
        <v>30</v>
      </c>
      <c r="C332" t="s">
        <v>28</v>
      </c>
      <c r="D332" t="s">
        <v>26</v>
      </c>
      <c r="E332" t="s">
        <v>30</v>
      </c>
      <c r="F332" t="s">
        <v>29</v>
      </c>
      <c r="G332" t="s">
        <v>31</v>
      </c>
    </row>
    <row r="333" spans="1:7">
      <c r="A333">
        <v>607</v>
      </c>
      <c r="B333" t="s">
        <v>30</v>
      </c>
      <c r="C333" t="s">
        <v>28</v>
      </c>
      <c r="D333" t="s">
        <v>26</v>
      </c>
      <c r="E333" t="s">
        <v>30</v>
      </c>
      <c r="F333" t="s">
        <v>29</v>
      </c>
      <c r="G333" t="s">
        <v>25</v>
      </c>
    </row>
    <row r="334" spans="1:7">
      <c r="A334">
        <v>608</v>
      </c>
      <c r="B334" t="s">
        <v>30</v>
      </c>
      <c r="C334" t="s">
        <v>28</v>
      </c>
      <c r="D334" t="s">
        <v>26</v>
      </c>
      <c r="E334" t="s">
        <v>30</v>
      </c>
      <c r="F334" t="s">
        <v>29</v>
      </c>
      <c r="G334" t="s">
        <v>26</v>
      </c>
    </row>
    <row r="335" spans="1:7">
      <c r="A335">
        <v>609</v>
      </c>
      <c r="B335" t="s">
        <v>30</v>
      </c>
      <c r="C335" t="s">
        <v>28</v>
      </c>
      <c r="D335" t="s">
        <v>27</v>
      </c>
      <c r="E335" t="s">
        <v>30</v>
      </c>
      <c r="F335" t="s">
        <v>29</v>
      </c>
      <c r="G335" t="s">
        <v>22</v>
      </c>
    </row>
    <row r="336" spans="1:7">
      <c r="A336">
        <v>610</v>
      </c>
      <c r="B336" t="s">
        <v>30</v>
      </c>
      <c r="C336" t="s">
        <v>28</v>
      </c>
      <c r="D336" t="s">
        <v>27</v>
      </c>
      <c r="E336" t="s">
        <v>30</v>
      </c>
      <c r="F336" t="s">
        <v>29</v>
      </c>
      <c r="G336" t="s">
        <v>23</v>
      </c>
    </row>
    <row r="337" spans="1:7">
      <c r="A337">
        <v>611</v>
      </c>
      <c r="B337" t="s">
        <v>30</v>
      </c>
      <c r="C337" t="s">
        <v>28</v>
      </c>
      <c r="D337" t="s">
        <v>27</v>
      </c>
      <c r="E337" t="s">
        <v>30</v>
      </c>
      <c r="F337" t="s">
        <v>29</v>
      </c>
      <c r="G337" t="s">
        <v>24</v>
      </c>
    </row>
    <row r="338" spans="1:7">
      <c r="A338">
        <v>612</v>
      </c>
      <c r="B338" t="s">
        <v>30</v>
      </c>
      <c r="C338" t="s">
        <v>28</v>
      </c>
      <c r="D338" t="s">
        <v>27</v>
      </c>
      <c r="E338" t="s">
        <v>30</v>
      </c>
      <c r="F338" t="s">
        <v>29</v>
      </c>
      <c r="G338" t="s">
        <v>31</v>
      </c>
    </row>
    <row r="339" spans="1:7">
      <c r="A339">
        <v>613</v>
      </c>
      <c r="B339" t="s">
        <v>30</v>
      </c>
      <c r="C339" t="s">
        <v>28</v>
      </c>
      <c r="D339" t="s">
        <v>27</v>
      </c>
      <c r="E339" t="s">
        <v>30</v>
      </c>
      <c r="F339" t="s">
        <v>29</v>
      </c>
      <c r="G339" t="s">
        <v>25</v>
      </c>
    </row>
    <row r="340" spans="1:7">
      <c r="A340">
        <v>614</v>
      </c>
      <c r="B340" t="s">
        <v>30</v>
      </c>
      <c r="C340" t="s">
        <v>28</v>
      </c>
      <c r="D340" t="s">
        <v>27</v>
      </c>
      <c r="E340" t="s">
        <v>30</v>
      </c>
      <c r="F340" t="s">
        <v>29</v>
      </c>
      <c r="G340" t="s">
        <v>26</v>
      </c>
    </row>
    <row r="341" spans="1:7">
      <c r="A341">
        <v>615</v>
      </c>
      <c r="B341" t="s">
        <v>30</v>
      </c>
      <c r="C341" t="s">
        <v>29</v>
      </c>
      <c r="D341" t="s">
        <v>22</v>
      </c>
      <c r="E341" t="s">
        <v>30</v>
      </c>
      <c r="F341" t="s">
        <v>29</v>
      </c>
      <c r="G341" t="s">
        <v>23</v>
      </c>
    </row>
    <row r="342" spans="1:7">
      <c r="A342">
        <v>616</v>
      </c>
      <c r="B342" t="s">
        <v>30</v>
      </c>
      <c r="C342" t="s">
        <v>29</v>
      </c>
      <c r="D342" t="s">
        <v>22</v>
      </c>
      <c r="E342" t="s">
        <v>30</v>
      </c>
      <c r="F342" t="s">
        <v>29</v>
      </c>
      <c r="G342" t="s">
        <v>24</v>
      </c>
    </row>
    <row r="343" spans="1:7">
      <c r="A343">
        <v>617</v>
      </c>
      <c r="B343" t="s">
        <v>30</v>
      </c>
      <c r="C343" t="s">
        <v>29</v>
      </c>
      <c r="D343" t="s">
        <v>22</v>
      </c>
      <c r="E343" t="s">
        <v>30</v>
      </c>
      <c r="F343" t="s">
        <v>29</v>
      </c>
      <c r="G343" t="s">
        <v>31</v>
      </c>
    </row>
    <row r="344" spans="1:7">
      <c r="A344">
        <v>618</v>
      </c>
      <c r="B344" t="s">
        <v>30</v>
      </c>
      <c r="C344" t="s">
        <v>29</v>
      </c>
      <c r="D344" t="s">
        <v>22</v>
      </c>
      <c r="E344" t="s">
        <v>30</v>
      </c>
      <c r="F344" t="s">
        <v>29</v>
      </c>
      <c r="G344" t="s">
        <v>25</v>
      </c>
    </row>
    <row r="345" spans="1:7">
      <c r="A345">
        <v>619</v>
      </c>
      <c r="B345" t="s">
        <v>30</v>
      </c>
      <c r="C345" t="s">
        <v>29</v>
      </c>
      <c r="D345" t="s">
        <v>22</v>
      </c>
      <c r="E345" t="s">
        <v>30</v>
      </c>
      <c r="F345" t="s">
        <v>29</v>
      </c>
      <c r="G345" t="s">
        <v>26</v>
      </c>
    </row>
    <row r="346" spans="1:7">
      <c r="A346">
        <v>620</v>
      </c>
      <c r="B346" t="s">
        <v>30</v>
      </c>
      <c r="C346" t="s">
        <v>29</v>
      </c>
      <c r="D346" t="s">
        <v>23</v>
      </c>
      <c r="E346" t="s">
        <v>30</v>
      </c>
      <c r="F346" t="s">
        <v>29</v>
      </c>
      <c r="G346" t="s">
        <v>24</v>
      </c>
    </row>
    <row r="347" spans="1:7">
      <c r="A347">
        <v>621</v>
      </c>
      <c r="B347" t="s">
        <v>30</v>
      </c>
      <c r="C347" t="s">
        <v>29</v>
      </c>
      <c r="D347" t="s">
        <v>23</v>
      </c>
      <c r="E347" t="s">
        <v>30</v>
      </c>
      <c r="F347" t="s">
        <v>29</v>
      </c>
      <c r="G347" t="s">
        <v>31</v>
      </c>
    </row>
    <row r="348" spans="1:7">
      <c r="A348">
        <v>622</v>
      </c>
      <c r="B348" t="s">
        <v>30</v>
      </c>
      <c r="C348" t="s">
        <v>29</v>
      </c>
      <c r="D348" t="s">
        <v>23</v>
      </c>
      <c r="E348" t="s">
        <v>30</v>
      </c>
      <c r="F348" t="s">
        <v>29</v>
      </c>
      <c r="G348" t="s">
        <v>25</v>
      </c>
    </row>
    <row r="349" spans="1:7">
      <c r="A349">
        <v>623</v>
      </c>
      <c r="B349" t="s">
        <v>30</v>
      </c>
      <c r="C349" t="s">
        <v>29</v>
      </c>
      <c r="D349" t="s">
        <v>23</v>
      </c>
      <c r="E349" t="s">
        <v>30</v>
      </c>
      <c r="F349" t="s">
        <v>29</v>
      </c>
      <c r="G349" t="s">
        <v>26</v>
      </c>
    </row>
    <row r="350" spans="1:7">
      <c r="A350">
        <v>624</v>
      </c>
      <c r="B350" t="s">
        <v>30</v>
      </c>
      <c r="C350" t="s">
        <v>29</v>
      </c>
      <c r="D350" t="s">
        <v>24</v>
      </c>
      <c r="E350" t="s">
        <v>30</v>
      </c>
      <c r="F350" t="s">
        <v>29</v>
      </c>
      <c r="G350" t="s">
        <v>31</v>
      </c>
    </row>
    <row r="351" spans="1:7">
      <c r="A351">
        <v>625</v>
      </c>
      <c r="B351" t="s">
        <v>30</v>
      </c>
      <c r="C351" t="s">
        <v>29</v>
      </c>
      <c r="D351" t="s">
        <v>24</v>
      </c>
      <c r="E351" t="s">
        <v>30</v>
      </c>
      <c r="F351" t="s">
        <v>29</v>
      </c>
      <c r="G351" t="s">
        <v>25</v>
      </c>
    </row>
    <row r="352" spans="1:7">
      <c r="A352">
        <v>626</v>
      </c>
      <c r="B352" t="s">
        <v>30</v>
      </c>
      <c r="C352" t="s">
        <v>29</v>
      </c>
      <c r="D352" t="s">
        <v>24</v>
      </c>
      <c r="E352" t="s">
        <v>30</v>
      </c>
      <c r="F352" t="s">
        <v>29</v>
      </c>
      <c r="G352" t="s">
        <v>26</v>
      </c>
    </row>
    <row r="353" spans="1:7">
      <c r="A353">
        <v>627</v>
      </c>
      <c r="B353" t="s">
        <v>30</v>
      </c>
      <c r="C353" t="s">
        <v>29</v>
      </c>
      <c r="D353" t="s">
        <v>31</v>
      </c>
      <c r="E353" t="s">
        <v>30</v>
      </c>
      <c r="F353" t="s">
        <v>29</v>
      </c>
      <c r="G353" t="s">
        <v>25</v>
      </c>
    </row>
    <row r="354" spans="1:7">
      <c r="A354">
        <v>628</v>
      </c>
      <c r="B354" t="s">
        <v>30</v>
      </c>
      <c r="C354" t="s">
        <v>29</v>
      </c>
      <c r="D354" t="s">
        <v>31</v>
      </c>
      <c r="E354" t="s">
        <v>30</v>
      </c>
      <c r="F354" t="s">
        <v>29</v>
      </c>
      <c r="G354" t="s">
        <v>26</v>
      </c>
    </row>
    <row r="355" spans="1:7">
      <c r="A355">
        <v>629</v>
      </c>
      <c r="B355" t="s">
        <v>30</v>
      </c>
      <c r="C355" t="s">
        <v>29</v>
      </c>
      <c r="D355" t="s">
        <v>25</v>
      </c>
      <c r="E355" t="s">
        <v>30</v>
      </c>
      <c r="F355" t="s">
        <v>29</v>
      </c>
      <c r="G355" t="s">
        <v>26</v>
      </c>
    </row>
    <row r="356" spans="1:7">
      <c r="A356">
        <v>642</v>
      </c>
      <c r="B356" t="s">
        <v>20</v>
      </c>
      <c r="C356" t="s">
        <v>29</v>
      </c>
      <c r="D356" t="s">
        <v>22</v>
      </c>
      <c r="E356" t="s">
        <v>20</v>
      </c>
      <c r="F356" t="s">
        <v>29</v>
      </c>
      <c r="G356" t="s">
        <v>22</v>
      </c>
    </row>
    <row r="357" spans="1:7">
      <c r="A357">
        <v>643</v>
      </c>
      <c r="B357" t="s">
        <v>20</v>
      </c>
      <c r="C357" t="s">
        <v>29</v>
      </c>
      <c r="D357" t="s">
        <v>23</v>
      </c>
      <c r="E357" t="s">
        <v>20</v>
      </c>
      <c r="F357" t="s">
        <v>29</v>
      </c>
      <c r="G357" t="s">
        <v>23</v>
      </c>
    </row>
    <row r="358" spans="1:7">
      <c r="A358">
        <v>644</v>
      </c>
      <c r="B358" t="s">
        <v>20</v>
      </c>
      <c r="C358" t="s">
        <v>29</v>
      </c>
      <c r="D358" t="s">
        <v>24</v>
      </c>
      <c r="E358" t="s">
        <v>20</v>
      </c>
      <c r="F358" t="s">
        <v>29</v>
      </c>
      <c r="G358" t="s">
        <v>24</v>
      </c>
    </row>
    <row r="359" spans="1:7">
      <c r="A359">
        <v>645</v>
      </c>
      <c r="B359" t="s">
        <v>20</v>
      </c>
      <c r="C359" t="s">
        <v>29</v>
      </c>
      <c r="D359" t="s">
        <v>31</v>
      </c>
      <c r="E359" t="s">
        <v>20</v>
      </c>
      <c r="F359" t="s">
        <v>29</v>
      </c>
      <c r="G359" t="s">
        <v>31</v>
      </c>
    </row>
    <row r="360" spans="1:7">
      <c r="A360">
        <v>646</v>
      </c>
      <c r="B360" t="s">
        <v>20</v>
      </c>
      <c r="C360" t="s">
        <v>29</v>
      </c>
      <c r="D360" t="s">
        <v>25</v>
      </c>
      <c r="E360" t="s">
        <v>20</v>
      </c>
      <c r="F360" t="s">
        <v>29</v>
      </c>
      <c r="G360" t="s">
        <v>25</v>
      </c>
    </row>
    <row r="361" spans="1:7">
      <c r="A361">
        <v>647</v>
      </c>
      <c r="B361" t="s">
        <v>20</v>
      </c>
      <c r="C361" t="s">
        <v>29</v>
      </c>
      <c r="D361" t="s">
        <v>26</v>
      </c>
      <c r="E361" t="s">
        <v>20</v>
      </c>
      <c r="F361" t="s">
        <v>29</v>
      </c>
      <c r="G361" t="s">
        <v>26</v>
      </c>
    </row>
    <row r="362" spans="1:7">
      <c r="A362">
        <v>660</v>
      </c>
      <c r="B362" t="s">
        <v>30</v>
      </c>
      <c r="C362" t="s">
        <v>29</v>
      </c>
      <c r="D362" t="s">
        <v>22</v>
      </c>
      <c r="E362" t="s">
        <v>30</v>
      </c>
      <c r="F362" t="s">
        <v>29</v>
      </c>
      <c r="G362" t="s">
        <v>22</v>
      </c>
    </row>
    <row r="363" spans="1:7">
      <c r="A363">
        <v>661</v>
      </c>
      <c r="B363" t="s">
        <v>30</v>
      </c>
      <c r="C363" t="s">
        <v>29</v>
      </c>
      <c r="D363" t="s">
        <v>23</v>
      </c>
      <c r="E363" t="s">
        <v>30</v>
      </c>
      <c r="F363" t="s">
        <v>29</v>
      </c>
      <c r="G363" t="s">
        <v>23</v>
      </c>
    </row>
    <row r="364" spans="1:7">
      <c r="A364">
        <v>662</v>
      </c>
      <c r="B364" t="s">
        <v>30</v>
      </c>
      <c r="C364" t="s">
        <v>29</v>
      </c>
      <c r="D364" t="s">
        <v>24</v>
      </c>
      <c r="E364" t="s">
        <v>30</v>
      </c>
      <c r="F364" t="s">
        <v>29</v>
      </c>
      <c r="G364" t="s">
        <v>24</v>
      </c>
    </row>
    <row r="365" spans="1:7">
      <c r="A365">
        <v>663</v>
      </c>
      <c r="B365" t="s">
        <v>30</v>
      </c>
      <c r="C365" t="s">
        <v>29</v>
      </c>
      <c r="D365" t="s">
        <v>31</v>
      </c>
      <c r="E365" t="s">
        <v>30</v>
      </c>
      <c r="F365" t="s">
        <v>29</v>
      </c>
      <c r="G365" t="s">
        <v>31</v>
      </c>
    </row>
    <row r="366" spans="1:7">
      <c r="A366">
        <v>664</v>
      </c>
      <c r="B366" t="s">
        <v>30</v>
      </c>
      <c r="C366" t="s">
        <v>29</v>
      </c>
      <c r="D366" t="s">
        <v>25</v>
      </c>
      <c r="E366" t="s">
        <v>30</v>
      </c>
      <c r="F366" t="s">
        <v>29</v>
      </c>
      <c r="G366" t="s">
        <v>25</v>
      </c>
    </row>
    <row r="367" spans="1:7">
      <c r="A367">
        <v>665</v>
      </c>
      <c r="B367" t="s">
        <v>30</v>
      </c>
      <c r="C367" t="s">
        <v>29</v>
      </c>
      <c r="D367" t="s">
        <v>26</v>
      </c>
      <c r="E367" t="s">
        <v>30</v>
      </c>
      <c r="F367" t="s">
        <v>29</v>
      </c>
      <c r="G367" t="s">
        <v>26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28E1-A638-EE48-9819-47E03ED0D00E}">
  <dimension ref="A1:AB365"/>
  <sheetViews>
    <sheetView zoomScaleNormal="100" workbookViewId="0">
      <selection activeCell="N73" sqref="N73"/>
    </sheetView>
  </sheetViews>
  <sheetFormatPr baseColWidth="10" defaultRowHeight="20"/>
  <cols>
    <col min="8" max="16" width="5.7109375" customWidth="1"/>
    <col min="17" max="17" width="10.7109375" customWidth="1"/>
    <col min="18" max="18" width="5.7109375" customWidth="1"/>
    <col min="19" max="19" width="13.7109375" customWidth="1"/>
    <col min="20" max="28" width="5.7109375" customWidth="1"/>
  </cols>
  <sheetData>
    <row r="1" spans="1:28">
      <c r="A1" t="s">
        <v>26</v>
      </c>
      <c r="T1" t="s">
        <v>26</v>
      </c>
      <c r="U1" t="s">
        <v>26</v>
      </c>
      <c r="V1" t="s">
        <v>25</v>
      </c>
      <c r="W1" t="s">
        <v>26</v>
      </c>
      <c r="X1" t="s">
        <v>25</v>
      </c>
      <c r="Y1" t="s">
        <v>26</v>
      </c>
      <c r="Z1" t="s">
        <v>26</v>
      </c>
      <c r="AA1" t="s">
        <v>25</v>
      </c>
      <c r="AB1" t="s">
        <v>25</v>
      </c>
    </row>
    <row r="2" spans="1:28">
      <c r="A2" t="s">
        <v>41</v>
      </c>
      <c r="B2" t="s">
        <v>16</v>
      </c>
      <c r="E2" t="s">
        <v>18</v>
      </c>
      <c r="H2" t="s">
        <v>0</v>
      </c>
      <c r="I2" t="s">
        <v>2</v>
      </c>
      <c r="J2" t="s">
        <v>4</v>
      </c>
      <c r="K2" t="s">
        <v>6</v>
      </c>
      <c r="L2" t="s">
        <v>8</v>
      </c>
      <c r="M2" t="s">
        <v>10</v>
      </c>
      <c r="N2" t="s">
        <v>12</v>
      </c>
      <c r="O2" t="s">
        <v>14</v>
      </c>
      <c r="T2" t="s">
        <v>25</v>
      </c>
      <c r="U2" t="s">
        <v>22</v>
      </c>
      <c r="V2" t="s">
        <v>22</v>
      </c>
      <c r="W2" t="s">
        <v>23</v>
      </c>
      <c r="X2" t="s">
        <v>23</v>
      </c>
      <c r="Y2" t="s">
        <v>24</v>
      </c>
      <c r="Z2" t="s">
        <v>27</v>
      </c>
      <c r="AA2" t="s">
        <v>24</v>
      </c>
      <c r="AB2" t="s">
        <v>27</v>
      </c>
    </row>
    <row r="3" spans="1:28">
      <c r="A3">
        <v>102</v>
      </c>
      <c r="B3" t="s">
        <v>20</v>
      </c>
      <c r="C3" t="s">
        <v>21</v>
      </c>
      <c r="D3" t="s">
        <v>25</v>
      </c>
      <c r="E3" t="s">
        <v>20</v>
      </c>
      <c r="F3" t="s">
        <v>21</v>
      </c>
      <c r="G3" t="s">
        <v>26</v>
      </c>
      <c r="H3">
        <v>0.98468231390100802</v>
      </c>
      <c r="I3">
        <v>0.98323459569854799</v>
      </c>
      <c r="J3">
        <v>0.980351279603769</v>
      </c>
      <c r="K3">
        <v>0.98086802156956598</v>
      </c>
      <c r="L3">
        <v>0.97691201537501904</v>
      </c>
      <c r="M3">
        <v>0.97382592955138603</v>
      </c>
      <c r="N3">
        <v>0.98710811602695503</v>
      </c>
      <c r="O3">
        <v>0.97680861481260695</v>
      </c>
      <c r="R3">
        <v>4</v>
      </c>
      <c r="S3" t="s">
        <v>44</v>
      </c>
      <c r="T3">
        <f>QUARTILE($H$3:$O$38,$R3)</f>
        <v>0.99850119904076695</v>
      </c>
      <c r="U3">
        <f>QUARTILE($H$42:$O$77,$R3)</f>
        <v>0.78816388467374798</v>
      </c>
      <c r="V3">
        <f>QUARTILE($H$81:$O$116,$R3)</f>
        <v>0.77847721822541904</v>
      </c>
      <c r="W3">
        <f>QUARTILE($H$120:$O$155,$R3)</f>
        <v>3.3687405159332301E-2</v>
      </c>
      <c r="X3">
        <f>QUARTILE($H$159:$O$194,$R3)</f>
        <v>3.3273381294964002E-2</v>
      </c>
      <c r="Y3">
        <f>QUARTILE($H$237:$O$272,$R3)</f>
        <v>0.78057663125948396</v>
      </c>
      <c r="Z3">
        <f>QUARTILE($H$276:$O$299,$R3)</f>
        <v>0.36813353566009099</v>
      </c>
      <c r="AA3">
        <f>QUARTILE($H$303:$O$338,$R3)</f>
        <v>0.77096447841726601</v>
      </c>
      <c r="AB3">
        <f>QUARTILE($H$342:$O$365,$R3)</f>
        <v>0.36360911270983198</v>
      </c>
    </row>
    <row r="4" spans="1:28">
      <c r="A4">
        <v>108</v>
      </c>
      <c r="B4" t="s">
        <v>20</v>
      </c>
      <c r="C4" t="s">
        <v>21</v>
      </c>
      <c r="D4" t="s">
        <v>25</v>
      </c>
      <c r="E4" t="s">
        <v>20</v>
      </c>
      <c r="F4" t="s">
        <v>28</v>
      </c>
      <c r="G4" t="s">
        <v>26</v>
      </c>
      <c r="H4">
        <v>0.81498955559905095</v>
      </c>
      <c r="I4">
        <v>0.84021541277468004</v>
      </c>
      <c r="J4">
        <v>0.69089306322878596</v>
      </c>
      <c r="K4">
        <v>0.75474660187249598</v>
      </c>
      <c r="L4">
        <v>0.67715421942694498</v>
      </c>
      <c r="M4">
        <v>0.57419277799645596</v>
      </c>
      <c r="N4">
        <v>0.95366487818303403</v>
      </c>
      <c r="O4">
        <v>0.60898143095044199</v>
      </c>
      <c r="R4">
        <v>3</v>
      </c>
      <c r="S4" t="s">
        <v>45</v>
      </c>
      <c r="T4">
        <f t="shared" ref="T4:T7" si="0">QUARTILE($H$3:$O$38,$R4)</f>
        <v>0.91198240712743994</v>
      </c>
      <c r="U4">
        <f t="shared" ref="U4:U7" si="1">QUARTILE($H$42:$O$77,$R4)</f>
        <v>0.1017316664894055</v>
      </c>
      <c r="V4">
        <f t="shared" ref="V4:V7" si="2">QUARTILE($H$81:$O$116,$R4)</f>
        <v>9.9390054498202957E-2</v>
      </c>
      <c r="W4">
        <f t="shared" ref="W4:W7" si="3">QUARTILE($H$120:$O$155,$R4)</f>
        <v>2.04438816527239E-2</v>
      </c>
      <c r="X4">
        <f t="shared" ref="X4:X7" si="4">QUARTILE($H$159:$O$194,$R4)</f>
        <v>2.0120975408990473E-2</v>
      </c>
      <c r="Y4">
        <f t="shared" ref="Y4:Y7" si="5">QUARTILE($H$237:$O$272,$R4)</f>
        <v>0.54310733926514554</v>
      </c>
      <c r="Z4">
        <f t="shared" ref="Z4:Z7" si="6">QUARTILE($H$276:$O$299,$R4)</f>
        <v>0.18963623415673325</v>
      </c>
      <c r="AA4">
        <f t="shared" ref="AA4:AA7" si="7">QUARTILE($H$303:$O$338,$R4)</f>
        <v>0.53758403906697683</v>
      </c>
      <c r="AB4">
        <f t="shared" ref="AB4:AB7" si="8">QUARTILE($H$342:$O$365,$R4)</f>
        <v>0.18716842158827227</v>
      </c>
    </row>
    <row r="5" spans="1:28">
      <c r="A5">
        <v>115</v>
      </c>
      <c r="B5" t="s">
        <v>20</v>
      </c>
      <c r="C5" t="s">
        <v>21</v>
      </c>
      <c r="D5" t="s">
        <v>25</v>
      </c>
      <c r="E5" t="s">
        <v>20</v>
      </c>
      <c r="F5" t="s">
        <v>29</v>
      </c>
      <c r="G5" t="s">
        <v>26</v>
      </c>
      <c r="H5">
        <v>0.14061777688250099</v>
      </c>
      <c r="I5">
        <v>0.138396225334117</v>
      </c>
      <c r="J5">
        <v>0.117671280752952</v>
      </c>
      <c r="K5">
        <v>0.12740362538203501</v>
      </c>
      <c r="L5">
        <v>9.8673766159218704E-2</v>
      </c>
      <c r="M5">
        <v>8.2145161669243003E-2</v>
      </c>
      <c r="N5">
        <v>0.15351745232097799</v>
      </c>
      <c r="O5">
        <v>9.7700386878856793E-2</v>
      </c>
      <c r="R5">
        <v>2</v>
      </c>
      <c r="S5" t="s">
        <v>46</v>
      </c>
      <c r="T5">
        <f t="shared" si="0"/>
        <v>0.62552085870663099</v>
      </c>
      <c r="U5">
        <f t="shared" si="1"/>
        <v>1.7232621569220251E-2</v>
      </c>
      <c r="V5">
        <f t="shared" si="2"/>
        <v>1.6925184897003599E-2</v>
      </c>
      <c r="W5">
        <f t="shared" si="3"/>
        <v>1.52682800369959E-2</v>
      </c>
      <c r="X5">
        <f t="shared" si="4"/>
        <v>1.510013128386295E-2</v>
      </c>
      <c r="Y5">
        <f t="shared" si="5"/>
        <v>0.35371593584495353</v>
      </c>
      <c r="Z5">
        <f t="shared" si="6"/>
        <v>0.13711743287056949</v>
      </c>
      <c r="AA5">
        <f t="shared" si="7"/>
        <v>0.349840497500154</v>
      </c>
      <c r="AB5">
        <f t="shared" si="8"/>
        <v>0.13559256270636699</v>
      </c>
    </row>
    <row r="6" spans="1:28">
      <c r="A6">
        <v>120</v>
      </c>
      <c r="B6" t="s">
        <v>20</v>
      </c>
      <c r="C6" t="s">
        <v>21</v>
      </c>
      <c r="D6" t="s">
        <v>25</v>
      </c>
      <c r="E6" t="s">
        <v>30</v>
      </c>
      <c r="F6" t="s">
        <v>21</v>
      </c>
      <c r="G6" t="s">
        <v>26</v>
      </c>
      <c r="H6">
        <v>0.92732452939179</v>
      </c>
      <c r="I6">
        <v>0.91752120115263802</v>
      </c>
      <c r="J6">
        <v>0.84929088364824801</v>
      </c>
      <c r="K6">
        <v>0.88155512453158003</v>
      </c>
      <c r="L6">
        <v>0.77543155767090199</v>
      </c>
      <c r="M6">
        <v>0.68624976842112695</v>
      </c>
      <c r="N6">
        <v>0.96542631116319899</v>
      </c>
      <c r="O6">
        <v>0.80275218757787603</v>
      </c>
      <c r="R6">
        <v>1</v>
      </c>
      <c r="S6" t="s">
        <v>47</v>
      </c>
      <c r="T6">
        <f t="shared" si="0"/>
        <v>0.12944274853873899</v>
      </c>
      <c r="U6">
        <f t="shared" si="1"/>
        <v>9.7137224545401808E-3</v>
      </c>
      <c r="V6">
        <f t="shared" si="2"/>
        <v>9.5549396460458142E-3</v>
      </c>
      <c r="W6">
        <f t="shared" si="3"/>
        <v>3.8199244370310699E-3</v>
      </c>
      <c r="X6">
        <f t="shared" si="4"/>
        <v>3.7278234695208375E-3</v>
      </c>
      <c r="Y6">
        <f t="shared" si="5"/>
        <v>0.10185622006548425</v>
      </c>
      <c r="Z6">
        <f t="shared" si="6"/>
        <v>4.5549067558047954E-2</v>
      </c>
      <c r="AA6">
        <f t="shared" si="7"/>
        <v>9.967355143970448E-2</v>
      </c>
      <c r="AB6">
        <f t="shared" si="8"/>
        <v>4.4473945895042673E-2</v>
      </c>
    </row>
    <row r="7" spans="1:28">
      <c r="A7">
        <v>126</v>
      </c>
      <c r="B7" t="s">
        <v>20</v>
      </c>
      <c r="C7" t="s">
        <v>21</v>
      </c>
      <c r="D7" t="s">
        <v>25</v>
      </c>
      <c r="E7" t="s">
        <v>30</v>
      </c>
      <c r="F7" t="s">
        <v>28</v>
      </c>
      <c r="G7" t="s">
        <v>26</v>
      </c>
      <c r="H7">
        <v>0.92097702729386799</v>
      </c>
      <c r="I7">
        <v>0.91013614245237395</v>
      </c>
      <c r="J7">
        <v>0.820667739271146</v>
      </c>
      <c r="K7">
        <v>0.86042811643470596</v>
      </c>
      <c r="L7">
        <v>0.74001456455894499</v>
      </c>
      <c r="M7">
        <v>0.63658054833422995</v>
      </c>
      <c r="N7">
        <v>0.97597421623205305</v>
      </c>
      <c r="O7">
        <v>0.76124667646158195</v>
      </c>
      <c r="R7">
        <v>0</v>
      </c>
      <c r="S7" t="s">
        <v>48</v>
      </c>
      <c r="T7">
        <f t="shared" si="0"/>
        <v>6.8232140518717802E-2</v>
      </c>
      <c r="U7">
        <f t="shared" si="1"/>
        <v>1.3773886237008299E-3</v>
      </c>
      <c r="V7">
        <f t="shared" si="2"/>
        <v>1.3417920136228601E-3</v>
      </c>
      <c r="W7">
        <f t="shared" si="3"/>
        <v>1.3901797412496E-3</v>
      </c>
      <c r="X7">
        <f t="shared" si="4"/>
        <v>1.35040663361081E-3</v>
      </c>
      <c r="Y7">
        <f t="shared" si="5"/>
        <v>3.1387159356471399E-2</v>
      </c>
      <c r="Z7">
        <f t="shared" si="6"/>
        <v>1.28299647212644E-2</v>
      </c>
      <c r="AA7">
        <f t="shared" si="7"/>
        <v>3.0587456909834599E-2</v>
      </c>
      <c r="AB7">
        <f t="shared" si="8"/>
        <v>1.2521889607243699E-2</v>
      </c>
    </row>
    <row r="8" spans="1:28">
      <c r="A8">
        <v>133</v>
      </c>
      <c r="B8" t="s">
        <v>20</v>
      </c>
      <c r="C8" t="s">
        <v>21</v>
      </c>
      <c r="D8" t="s">
        <v>25</v>
      </c>
      <c r="E8" t="s">
        <v>30</v>
      </c>
      <c r="F8" t="s">
        <v>29</v>
      </c>
      <c r="G8" t="s">
        <v>26</v>
      </c>
      <c r="H8">
        <v>0.15893296045796401</v>
      </c>
      <c r="I8">
        <v>0.15660390609136099</v>
      </c>
      <c r="J8">
        <v>0.132492060615373</v>
      </c>
      <c r="K8">
        <v>0.143190906848879</v>
      </c>
      <c r="L8">
        <v>0.109560952601422</v>
      </c>
      <c r="M8">
        <v>8.9341657405828695E-2</v>
      </c>
      <c r="N8">
        <v>0.17520533880903399</v>
      </c>
      <c r="O8">
        <v>0.10892552485</v>
      </c>
    </row>
    <row r="9" spans="1:28">
      <c r="A9">
        <v>138</v>
      </c>
      <c r="B9" t="s">
        <v>20</v>
      </c>
      <c r="C9" t="s">
        <v>21</v>
      </c>
      <c r="D9" t="s">
        <v>26</v>
      </c>
      <c r="E9" t="s">
        <v>20</v>
      </c>
      <c r="F9" t="s">
        <v>28</v>
      </c>
      <c r="G9" t="s">
        <v>25</v>
      </c>
      <c r="H9">
        <v>0.82075155245348097</v>
      </c>
      <c r="I9">
        <v>0.84292156826571596</v>
      </c>
      <c r="J9">
        <v>0.69620812293300205</v>
      </c>
      <c r="K9">
        <v>0.756421650422473</v>
      </c>
      <c r="L9">
        <v>0.68288610171936603</v>
      </c>
      <c r="M9">
        <v>0.57962911332164402</v>
      </c>
      <c r="N9">
        <v>0.97080174623689297</v>
      </c>
      <c r="O9">
        <v>0.61446116907903203</v>
      </c>
      <c r="T9" t="s">
        <v>26</v>
      </c>
      <c r="U9" t="s">
        <v>26</v>
      </c>
      <c r="V9" t="s">
        <v>25</v>
      </c>
      <c r="W9" t="s">
        <v>26</v>
      </c>
      <c r="X9" t="s">
        <v>25</v>
      </c>
      <c r="Y9" t="s">
        <v>26</v>
      </c>
      <c r="Z9" t="s">
        <v>26</v>
      </c>
      <c r="AA9" t="s">
        <v>25</v>
      </c>
      <c r="AB9" t="s">
        <v>25</v>
      </c>
    </row>
    <row r="10" spans="1:28">
      <c r="A10">
        <v>145</v>
      </c>
      <c r="B10" t="s">
        <v>20</v>
      </c>
      <c r="C10" t="s">
        <v>21</v>
      </c>
      <c r="D10" t="s">
        <v>26</v>
      </c>
      <c r="E10" t="s">
        <v>20</v>
      </c>
      <c r="F10" t="s">
        <v>29</v>
      </c>
      <c r="G10" t="s">
        <v>25</v>
      </c>
      <c r="H10">
        <v>0.135771191231354</v>
      </c>
      <c r="I10">
        <v>0.13381037345704599</v>
      </c>
      <c r="J10">
        <v>0.11381221102094601</v>
      </c>
      <c r="K10">
        <v>0.12344835700996901</v>
      </c>
      <c r="L10">
        <v>9.5573405552367097E-2</v>
      </c>
      <c r="M10">
        <v>7.96894430660368E-2</v>
      </c>
      <c r="N10">
        <v>0.14797733561734</v>
      </c>
      <c r="O10">
        <v>9.4808305576298699E-2</v>
      </c>
      <c r="T10" t="s">
        <v>25</v>
      </c>
      <c r="U10" t="s">
        <v>22</v>
      </c>
      <c r="V10" t="s">
        <v>22</v>
      </c>
      <c r="W10" t="s">
        <v>23</v>
      </c>
      <c r="X10" t="s">
        <v>23</v>
      </c>
      <c r="Y10" t="s">
        <v>24</v>
      </c>
      <c r="Z10" t="s">
        <v>27</v>
      </c>
      <c r="AA10" t="s">
        <v>24</v>
      </c>
      <c r="AB10" t="s">
        <v>27</v>
      </c>
    </row>
    <row r="11" spans="1:28" ht="147">
      <c r="A11">
        <v>150</v>
      </c>
      <c r="B11" t="s">
        <v>20</v>
      </c>
      <c r="C11" t="s">
        <v>21</v>
      </c>
      <c r="D11" t="s">
        <v>26</v>
      </c>
      <c r="E11" t="s">
        <v>30</v>
      </c>
      <c r="F11" t="s">
        <v>21</v>
      </c>
      <c r="G11" t="s">
        <v>25</v>
      </c>
      <c r="H11">
        <v>0.94788859252831303</v>
      </c>
      <c r="I11">
        <v>0.93858887210452802</v>
      </c>
      <c r="J11">
        <v>0.86542218513235303</v>
      </c>
      <c r="K11">
        <v>0.90028046346009905</v>
      </c>
      <c r="L11">
        <v>0.78945492133728501</v>
      </c>
      <c r="M11">
        <v>0.69812544089566497</v>
      </c>
      <c r="N11">
        <v>0.99020480854852999</v>
      </c>
      <c r="O11">
        <v>0.81640608725838804</v>
      </c>
      <c r="T11" s="2" t="s">
        <v>53</v>
      </c>
      <c r="U11" s="2" t="s">
        <v>54</v>
      </c>
      <c r="V11" s="2" t="s">
        <v>55</v>
      </c>
      <c r="W11" s="2" t="s">
        <v>56</v>
      </c>
      <c r="X11" s="2" t="s">
        <v>57</v>
      </c>
      <c r="Y11" s="2" t="s">
        <v>58</v>
      </c>
      <c r="Z11" s="2" t="s">
        <v>59</v>
      </c>
      <c r="AA11" s="2" t="s">
        <v>60</v>
      </c>
      <c r="AB11" s="2" t="s">
        <v>61</v>
      </c>
    </row>
    <row r="12" spans="1:28">
      <c r="A12">
        <v>156</v>
      </c>
      <c r="B12" t="s">
        <v>20</v>
      </c>
      <c r="C12" t="s">
        <v>21</v>
      </c>
      <c r="D12" t="s">
        <v>26</v>
      </c>
      <c r="E12" t="s">
        <v>30</v>
      </c>
      <c r="F12" t="s">
        <v>28</v>
      </c>
      <c r="G12" t="s">
        <v>25</v>
      </c>
      <c r="H12">
        <v>0.938417940196419</v>
      </c>
      <c r="I12">
        <v>0.92728275757315404</v>
      </c>
      <c r="J12">
        <v>0.83274927583330804</v>
      </c>
      <c r="K12">
        <v>0.87566828673261299</v>
      </c>
      <c r="L12">
        <v>0.75093120657324197</v>
      </c>
      <c r="M12">
        <v>0.64599865488104102</v>
      </c>
      <c r="N12">
        <v>0.99614380051251705</v>
      </c>
      <c r="O12">
        <v>0.77135344449190901</v>
      </c>
      <c r="S12" t="s">
        <v>49</v>
      </c>
      <c r="T12">
        <f>T3-T4</f>
        <v>8.6518791913327009E-2</v>
      </c>
      <c r="U12">
        <f t="shared" ref="U12:AB12" si="9">U3-U4</f>
        <v>0.68643221818434252</v>
      </c>
      <c r="V12">
        <f t="shared" si="9"/>
        <v>0.67908716372721611</v>
      </c>
      <c r="W12">
        <f t="shared" si="9"/>
        <v>1.3243523506608401E-2</v>
      </c>
      <c r="X12">
        <f t="shared" si="9"/>
        <v>1.315240588597353E-2</v>
      </c>
      <c r="Y12">
        <f t="shared" si="9"/>
        <v>0.23746929199433842</v>
      </c>
      <c r="Z12">
        <f t="shared" si="9"/>
        <v>0.17849730150335774</v>
      </c>
      <c r="AA12">
        <f t="shared" si="9"/>
        <v>0.23338043935028918</v>
      </c>
      <c r="AB12">
        <f t="shared" si="9"/>
        <v>0.17644069112155972</v>
      </c>
    </row>
    <row r="13" spans="1:28">
      <c r="A13">
        <v>163</v>
      </c>
      <c r="B13" t="s">
        <v>20</v>
      </c>
      <c r="C13" t="s">
        <v>21</v>
      </c>
      <c r="D13" t="s">
        <v>26</v>
      </c>
      <c r="E13" t="s">
        <v>30</v>
      </c>
      <c r="F13" t="s">
        <v>29</v>
      </c>
      <c r="G13" t="s">
        <v>25</v>
      </c>
      <c r="H13">
        <v>0.15368931233040101</v>
      </c>
      <c r="I13">
        <v>0.15175622989995999</v>
      </c>
      <c r="J13">
        <v>0.12830411973317199</v>
      </c>
      <c r="K13">
        <v>0.13914055491084801</v>
      </c>
      <c r="L13">
        <v>0.106208883124047</v>
      </c>
      <c r="M13">
        <v>8.6743032020887206E-2</v>
      </c>
      <c r="N13">
        <v>0.16911383297357799</v>
      </c>
      <c r="O13">
        <v>0.105811996384874</v>
      </c>
      <c r="S13" t="s">
        <v>50</v>
      </c>
      <c r="T13">
        <f>T4-T5</f>
        <v>0.28646154842080895</v>
      </c>
      <c r="U13">
        <f t="shared" ref="U13:AB13" si="10">U4-U5</f>
        <v>8.4499044920185257E-2</v>
      </c>
      <c r="V13">
        <f t="shared" si="10"/>
        <v>8.2464869601199364E-2</v>
      </c>
      <c r="W13">
        <f t="shared" si="10"/>
        <v>5.175601615728E-3</v>
      </c>
      <c r="X13">
        <f t="shared" si="10"/>
        <v>5.0208441251275229E-3</v>
      </c>
      <c r="Y13">
        <f t="shared" si="10"/>
        <v>0.18939140342019201</v>
      </c>
      <c r="Z13">
        <f t="shared" si="10"/>
        <v>5.2518801286163763E-2</v>
      </c>
      <c r="AA13">
        <f t="shared" si="10"/>
        <v>0.18774354156682282</v>
      </c>
      <c r="AB13">
        <f t="shared" si="10"/>
        <v>5.1575858881905273E-2</v>
      </c>
    </row>
    <row r="14" spans="1:28">
      <c r="A14">
        <v>279</v>
      </c>
      <c r="B14" t="s">
        <v>20</v>
      </c>
      <c r="C14" t="s">
        <v>28</v>
      </c>
      <c r="D14" t="s">
        <v>25</v>
      </c>
      <c r="E14" t="s">
        <v>20</v>
      </c>
      <c r="F14" t="s">
        <v>28</v>
      </c>
      <c r="G14" t="s">
        <v>26</v>
      </c>
      <c r="H14">
        <v>0.983715362233198</v>
      </c>
      <c r="I14">
        <v>0.98228011372372304</v>
      </c>
      <c r="J14">
        <v>0.97878057140919505</v>
      </c>
      <c r="K14">
        <v>0.98025298601178601</v>
      </c>
      <c r="L14">
        <v>0.97571876389779499</v>
      </c>
      <c r="M14">
        <v>0.972457680955638</v>
      </c>
      <c r="N14">
        <v>0.98523767345733604</v>
      </c>
      <c r="O14">
        <v>0.97562757322469296</v>
      </c>
      <c r="S14" t="s">
        <v>51</v>
      </c>
      <c r="T14">
        <f>T5-T6</f>
        <v>0.49607811016789199</v>
      </c>
      <c r="U14">
        <f t="shared" ref="U14:AB14" si="11">U5-U6</f>
        <v>7.51889911468007E-3</v>
      </c>
      <c r="V14">
        <f t="shared" si="11"/>
        <v>7.370245250957785E-3</v>
      </c>
      <c r="W14">
        <f t="shared" si="11"/>
        <v>1.144835559996483E-2</v>
      </c>
      <c r="X14">
        <f t="shared" si="11"/>
        <v>1.1372307814342113E-2</v>
      </c>
      <c r="Y14">
        <f t="shared" si="11"/>
        <v>0.25185971577946931</v>
      </c>
      <c r="Z14">
        <f t="shared" si="11"/>
        <v>9.1568365312521535E-2</v>
      </c>
      <c r="AA14">
        <f t="shared" si="11"/>
        <v>0.25016694606044954</v>
      </c>
      <c r="AB14">
        <f t="shared" si="11"/>
        <v>9.1118616811324327E-2</v>
      </c>
    </row>
    <row r="15" spans="1:28">
      <c r="A15">
        <v>286</v>
      </c>
      <c r="B15" t="s">
        <v>20</v>
      </c>
      <c r="C15" t="s">
        <v>28</v>
      </c>
      <c r="D15" t="s">
        <v>25</v>
      </c>
      <c r="E15" t="s">
        <v>20</v>
      </c>
      <c r="F15" t="s">
        <v>29</v>
      </c>
      <c r="G15" t="s">
        <v>26</v>
      </c>
      <c r="H15">
        <v>0.13664841719253101</v>
      </c>
      <c r="I15">
        <v>0.12691145129482301</v>
      </c>
      <c r="J15">
        <v>0.11525379768897399</v>
      </c>
      <c r="K15">
        <v>0.110168065458082</v>
      </c>
      <c r="L15">
        <v>8.7912067040802899E-2</v>
      </c>
      <c r="M15">
        <v>7.0755676616774205E-2</v>
      </c>
      <c r="N15">
        <v>0.15234796689456601</v>
      </c>
      <c r="O15">
        <v>8.8966450866658803E-2</v>
      </c>
      <c r="S15" s="1">
        <v>0.25</v>
      </c>
      <c r="T15">
        <f>T6</f>
        <v>0.12944274853873899</v>
      </c>
      <c r="U15">
        <f t="shared" ref="U15:AB15" si="12">U6</f>
        <v>9.7137224545401808E-3</v>
      </c>
      <c r="V15">
        <f t="shared" si="12"/>
        <v>9.5549396460458142E-3</v>
      </c>
      <c r="W15">
        <f t="shared" si="12"/>
        <v>3.8199244370310699E-3</v>
      </c>
      <c r="X15">
        <f t="shared" si="12"/>
        <v>3.7278234695208375E-3</v>
      </c>
      <c r="Y15">
        <f t="shared" si="12"/>
        <v>0.10185622006548425</v>
      </c>
      <c r="Z15">
        <f t="shared" si="12"/>
        <v>4.5549067558047954E-2</v>
      </c>
      <c r="AA15">
        <f t="shared" si="12"/>
        <v>9.967355143970448E-2</v>
      </c>
      <c r="AB15">
        <f t="shared" si="12"/>
        <v>4.4473945895042673E-2</v>
      </c>
    </row>
    <row r="16" spans="1:28">
      <c r="A16">
        <v>291</v>
      </c>
      <c r="B16" t="s">
        <v>20</v>
      </c>
      <c r="C16" t="s">
        <v>28</v>
      </c>
      <c r="D16" t="s">
        <v>25</v>
      </c>
      <c r="E16" t="s">
        <v>30</v>
      </c>
      <c r="F16" t="s">
        <v>21</v>
      </c>
      <c r="G16" t="s">
        <v>26</v>
      </c>
      <c r="H16">
        <v>0.79425850930514696</v>
      </c>
      <c r="I16">
        <v>0.807572287218288</v>
      </c>
      <c r="J16">
        <v>0.66624675886698204</v>
      </c>
      <c r="K16">
        <v>0.71053655062389398</v>
      </c>
      <c r="L16">
        <v>0.59259411192170497</v>
      </c>
      <c r="M16">
        <v>0.46957193816654003</v>
      </c>
      <c r="N16">
        <v>0.94935873150696504</v>
      </c>
      <c r="O16">
        <v>0.56467024079348405</v>
      </c>
      <c r="S16" t="s">
        <v>52</v>
      </c>
      <c r="T16">
        <f>T6-T7</f>
        <v>6.1210608020021193E-2</v>
      </c>
      <c r="U16">
        <f t="shared" ref="U16:AB16" si="13">U6-U7</f>
        <v>8.33633383083935E-3</v>
      </c>
      <c r="V16">
        <f t="shared" si="13"/>
        <v>8.2131476324229548E-3</v>
      </c>
      <c r="W16">
        <f t="shared" si="13"/>
        <v>2.4297446957814699E-3</v>
      </c>
      <c r="X16">
        <f t="shared" si="13"/>
        <v>2.3774168359100272E-3</v>
      </c>
      <c r="Y16">
        <f t="shared" si="13"/>
        <v>7.0469060709012848E-2</v>
      </c>
      <c r="Z16">
        <f t="shared" si="13"/>
        <v>3.2719102836783552E-2</v>
      </c>
      <c r="AA16">
        <f t="shared" si="13"/>
        <v>6.9086094529869885E-2</v>
      </c>
      <c r="AB16">
        <f t="shared" si="13"/>
        <v>3.1952056287798972E-2</v>
      </c>
    </row>
    <row r="17" spans="1:15">
      <c r="A17">
        <v>297</v>
      </c>
      <c r="B17" t="s">
        <v>20</v>
      </c>
      <c r="C17" t="s">
        <v>28</v>
      </c>
      <c r="D17" t="s">
        <v>25</v>
      </c>
      <c r="E17" t="s">
        <v>30</v>
      </c>
      <c r="F17" t="s">
        <v>28</v>
      </c>
      <c r="G17" t="s">
        <v>26</v>
      </c>
      <c r="H17">
        <v>0.79242739834328602</v>
      </c>
      <c r="I17">
        <v>0.80338975180337602</v>
      </c>
      <c r="J17">
        <v>0.66757363851344598</v>
      </c>
      <c r="K17">
        <v>0.70235019502326002</v>
      </c>
      <c r="L17">
        <v>0.58412976013699802</v>
      </c>
      <c r="M17">
        <v>0.455480913377176</v>
      </c>
      <c r="N17">
        <v>0.95795516255451796</v>
      </c>
      <c r="O17">
        <v>0.56300518008899503</v>
      </c>
    </row>
    <row r="18" spans="1:15">
      <c r="A18">
        <v>304</v>
      </c>
      <c r="B18" t="s">
        <v>20</v>
      </c>
      <c r="C18" t="s">
        <v>28</v>
      </c>
      <c r="D18" t="s">
        <v>25</v>
      </c>
      <c r="E18" t="s">
        <v>30</v>
      </c>
      <c r="F18" t="s">
        <v>29</v>
      </c>
      <c r="G18" t="s">
        <v>26</v>
      </c>
      <c r="H18">
        <v>0.15438983036656501</v>
      </c>
      <c r="I18">
        <v>0.14245663463956099</v>
      </c>
      <c r="J18">
        <v>0.12982229147392799</v>
      </c>
      <c r="K18">
        <v>0.122295179819054</v>
      </c>
      <c r="L18">
        <v>9.7950419134962996E-2</v>
      </c>
      <c r="M18">
        <v>7.7321107860595303E-2</v>
      </c>
      <c r="N18">
        <v>0.17387063655030799</v>
      </c>
      <c r="O18">
        <v>9.8647834965183104E-2</v>
      </c>
    </row>
    <row r="19" spans="1:15">
      <c r="A19">
        <v>310</v>
      </c>
      <c r="B19" t="s">
        <v>20</v>
      </c>
      <c r="C19" t="s">
        <v>28</v>
      </c>
      <c r="D19" t="s">
        <v>26</v>
      </c>
      <c r="E19" t="s">
        <v>20</v>
      </c>
      <c r="F19" t="s">
        <v>29</v>
      </c>
      <c r="G19" t="s">
        <v>25</v>
      </c>
      <c r="H19">
        <v>0.13159388481394499</v>
      </c>
      <c r="I19">
        <v>0.12241866934819</v>
      </c>
      <c r="J19">
        <v>0.111121985227396</v>
      </c>
      <c r="K19">
        <v>0.106440047267661</v>
      </c>
      <c r="L19">
        <v>8.4697638871612899E-2</v>
      </c>
      <c r="M19">
        <v>6.8232140518717802E-2</v>
      </c>
      <c r="N19">
        <v>0.146571792506698</v>
      </c>
      <c r="O19">
        <v>8.5931576498709403E-2</v>
      </c>
    </row>
    <row r="20" spans="1:15">
      <c r="A20">
        <v>315</v>
      </c>
      <c r="B20" t="s">
        <v>20</v>
      </c>
      <c r="C20" t="s">
        <v>28</v>
      </c>
      <c r="D20" t="s">
        <v>26</v>
      </c>
      <c r="E20" t="s">
        <v>30</v>
      </c>
      <c r="F20" t="s">
        <v>21</v>
      </c>
      <c r="G20" t="s">
        <v>25</v>
      </c>
      <c r="H20">
        <v>0.80785920867760797</v>
      </c>
      <c r="I20">
        <v>0.82758236904487903</v>
      </c>
      <c r="J20">
        <v>0.67503990544843195</v>
      </c>
      <c r="K20">
        <v>0.72731911740639998</v>
      </c>
      <c r="L20">
        <v>0.60170096488900404</v>
      </c>
      <c r="M20">
        <v>0.47608824775504599</v>
      </c>
      <c r="N20">
        <v>0.97273135142624301</v>
      </c>
      <c r="O20">
        <v>0.57163248615215301</v>
      </c>
    </row>
    <row r="21" spans="1:15">
      <c r="A21">
        <v>321</v>
      </c>
      <c r="B21" t="s">
        <v>20</v>
      </c>
      <c r="C21" t="s">
        <v>28</v>
      </c>
      <c r="D21" t="s">
        <v>26</v>
      </c>
      <c r="E21" t="s">
        <v>30</v>
      </c>
      <c r="F21" t="s">
        <v>28</v>
      </c>
      <c r="G21" t="s">
        <v>25</v>
      </c>
      <c r="H21">
        <v>0.79686853311047301</v>
      </c>
      <c r="I21">
        <v>0.81251035458644805</v>
      </c>
      <c r="J21">
        <v>0.66946431533863304</v>
      </c>
      <c r="K21">
        <v>0.71044086033168996</v>
      </c>
      <c r="L21">
        <v>0.58622082777634199</v>
      </c>
      <c r="M21">
        <v>0.45692893848316302</v>
      </c>
      <c r="N21">
        <v>0.959333429395543</v>
      </c>
      <c r="O21">
        <v>0.56437041716922998</v>
      </c>
    </row>
    <row r="22" spans="1:15">
      <c r="A22">
        <v>328</v>
      </c>
      <c r="B22" t="s">
        <v>20</v>
      </c>
      <c r="C22" t="s">
        <v>28</v>
      </c>
      <c r="D22" t="s">
        <v>26</v>
      </c>
      <c r="E22" t="s">
        <v>30</v>
      </c>
      <c r="F22" t="s">
        <v>29</v>
      </c>
      <c r="G22" t="s">
        <v>25</v>
      </c>
      <c r="H22">
        <v>0.148951631039698</v>
      </c>
      <c r="I22">
        <v>0.13775087964493901</v>
      </c>
      <c r="J22">
        <v>0.12543454084307601</v>
      </c>
      <c r="K22">
        <v>0.118525907749786</v>
      </c>
      <c r="L22">
        <v>9.4476193398857697E-2</v>
      </c>
      <c r="M22">
        <v>7.4689253975261799E-2</v>
      </c>
      <c r="N22">
        <v>0.167511671100848</v>
      </c>
      <c r="O22">
        <v>9.5496956201689395E-2</v>
      </c>
    </row>
    <row r="23" spans="1:15">
      <c r="A23">
        <v>440</v>
      </c>
      <c r="B23" t="s">
        <v>20</v>
      </c>
      <c r="C23" t="s">
        <v>29</v>
      </c>
      <c r="D23" t="s">
        <v>25</v>
      </c>
      <c r="E23" t="s">
        <v>20</v>
      </c>
      <c r="F23" t="s">
        <v>29</v>
      </c>
      <c r="G23" t="s">
        <v>26</v>
      </c>
      <c r="H23">
        <v>0.974958043478242</v>
      </c>
      <c r="I23">
        <v>0.97449664300354899</v>
      </c>
      <c r="J23">
        <v>0.97214720012352795</v>
      </c>
      <c r="K23">
        <v>0.97304138930575901</v>
      </c>
      <c r="L23">
        <v>0.97093423603489903</v>
      </c>
      <c r="M23">
        <v>0.96877278020467095</v>
      </c>
      <c r="N23">
        <v>0.97650107611894399</v>
      </c>
      <c r="O23">
        <v>0.97015658002042104</v>
      </c>
    </row>
    <row r="24" spans="1:15">
      <c r="A24">
        <v>445</v>
      </c>
      <c r="B24" t="s">
        <v>20</v>
      </c>
      <c r="C24" t="s">
        <v>29</v>
      </c>
      <c r="D24" t="s">
        <v>25</v>
      </c>
      <c r="E24" t="s">
        <v>30</v>
      </c>
      <c r="F24" t="s">
        <v>21</v>
      </c>
      <c r="G24" t="s">
        <v>26</v>
      </c>
      <c r="H24">
        <v>0.132480829663395</v>
      </c>
      <c r="I24">
        <v>0.13086873538118901</v>
      </c>
      <c r="J24">
        <v>0.11003229392460299</v>
      </c>
      <c r="K24">
        <v>0.120572251441835</v>
      </c>
      <c r="L24">
        <v>9.1126149359747499E-2</v>
      </c>
      <c r="M24">
        <v>7.4534031547960095E-2</v>
      </c>
      <c r="N24">
        <v>0.14472701717397901</v>
      </c>
      <c r="O24">
        <v>9.1461770686991795E-2</v>
      </c>
    </row>
    <row r="25" spans="1:15">
      <c r="A25">
        <v>451</v>
      </c>
      <c r="B25" t="s">
        <v>20</v>
      </c>
      <c r="C25" t="s">
        <v>29</v>
      </c>
      <c r="D25" t="s">
        <v>25</v>
      </c>
      <c r="E25" t="s">
        <v>30</v>
      </c>
      <c r="F25" t="s">
        <v>28</v>
      </c>
      <c r="G25" t="s">
        <v>26</v>
      </c>
      <c r="H25">
        <v>0.13375607734846701</v>
      </c>
      <c r="I25">
        <v>0.13223585573023899</v>
      </c>
      <c r="J25">
        <v>0.110980253361898</v>
      </c>
      <c r="K25">
        <v>0.121662484162132</v>
      </c>
      <c r="L25">
        <v>9.2032551420918304E-2</v>
      </c>
      <c r="M25">
        <v>7.5078346623412298E-2</v>
      </c>
      <c r="N25">
        <v>0.146308253173452</v>
      </c>
      <c r="O25">
        <v>9.1732918534273705E-2</v>
      </c>
    </row>
    <row r="26" spans="1:15">
      <c r="A26">
        <v>458</v>
      </c>
      <c r="B26" t="s">
        <v>20</v>
      </c>
      <c r="C26" t="s">
        <v>29</v>
      </c>
      <c r="D26" t="s">
        <v>25</v>
      </c>
      <c r="E26" t="s">
        <v>30</v>
      </c>
      <c r="F26" t="s">
        <v>29</v>
      </c>
      <c r="G26" t="s">
        <v>26</v>
      </c>
      <c r="H26">
        <v>0.82733175414464499</v>
      </c>
      <c r="I26">
        <v>0.81598953698405197</v>
      </c>
      <c r="J26">
        <v>0.77851740482198495</v>
      </c>
      <c r="K26">
        <v>0.78693287637679199</v>
      </c>
      <c r="L26">
        <v>0.76950756160603095</v>
      </c>
      <c r="M26">
        <v>0.72352367651226102</v>
      </c>
      <c r="N26">
        <v>0.85562436860367996</v>
      </c>
      <c r="O26">
        <v>0.75781964281666403</v>
      </c>
    </row>
    <row r="27" spans="1:15">
      <c r="A27">
        <v>462</v>
      </c>
      <c r="B27" t="s">
        <v>20</v>
      </c>
      <c r="C27" t="s">
        <v>29</v>
      </c>
      <c r="D27" t="s">
        <v>26</v>
      </c>
      <c r="E27" t="s">
        <v>30</v>
      </c>
      <c r="F27" t="s">
        <v>21</v>
      </c>
      <c r="G27" t="s">
        <v>25</v>
      </c>
      <c r="H27">
        <v>0.13712647510614301</v>
      </c>
      <c r="I27">
        <v>0.13526638721824799</v>
      </c>
      <c r="J27">
        <v>0.113703951099018</v>
      </c>
      <c r="K27">
        <v>0.124346310995415</v>
      </c>
      <c r="L27">
        <v>9.4013271483413999E-2</v>
      </c>
      <c r="M27">
        <v>7.6775772490836197E-2</v>
      </c>
      <c r="N27">
        <v>0.150053976250449</v>
      </c>
      <c r="O27">
        <v>9.42212426497573E-2</v>
      </c>
    </row>
    <row r="28" spans="1:15">
      <c r="A28">
        <v>468</v>
      </c>
      <c r="B28" t="s">
        <v>20</v>
      </c>
      <c r="C28" t="s">
        <v>29</v>
      </c>
      <c r="D28" t="s">
        <v>26</v>
      </c>
      <c r="E28" t="s">
        <v>30</v>
      </c>
      <c r="F28" t="s">
        <v>28</v>
      </c>
      <c r="G28" t="s">
        <v>25</v>
      </c>
      <c r="H28">
        <v>0.13888321301661199</v>
      </c>
      <c r="I28">
        <v>0.13718364415633699</v>
      </c>
      <c r="J28">
        <v>0.115064409640451</v>
      </c>
      <c r="K28">
        <v>0.12599582781461999</v>
      </c>
      <c r="L28">
        <v>9.52759948005278E-2</v>
      </c>
      <c r="M28">
        <v>7.7675394220305297E-2</v>
      </c>
      <c r="N28">
        <v>0.152123065851025</v>
      </c>
      <c r="O28">
        <v>9.4878337566333001E-2</v>
      </c>
    </row>
    <row r="29" spans="1:15">
      <c r="A29">
        <v>475</v>
      </c>
      <c r="B29" t="s">
        <v>20</v>
      </c>
      <c r="C29" t="s">
        <v>29</v>
      </c>
      <c r="D29" t="s">
        <v>26</v>
      </c>
      <c r="E29" t="s">
        <v>30</v>
      </c>
      <c r="F29" t="s">
        <v>29</v>
      </c>
      <c r="G29" t="s">
        <v>25</v>
      </c>
      <c r="H29">
        <v>0.86379663833715903</v>
      </c>
      <c r="I29">
        <v>0.85081596160879802</v>
      </c>
      <c r="J29">
        <v>0.81097032333930597</v>
      </c>
      <c r="K29">
        <v>0.81821539391144504</v>
      </c>
      <c r="L29">
        <v>0.80117218226849596</v>
      </c>
      <c r="M29">
        <v>0.75199914190578998</v>
      </c>
      <c r="N29">
        <v>0.89605073767542198</v>
      </c>
      <c r="O29">
        <v>0.78756481462396899</v>
      </c>
    </row>
    <row r="30" spans="1:15">
      <c r="A30">
        <v>525</v>
      </c>
      <c r="B30" t="s">
        <v>30</v>
      </c>
      <c r="C30" t="s">
        <v>21</v>
      </c>
      <c r="D30" t="s">
        <v>25</v>
      </c>
      <c r="E30" t="s">
        <v>30</v>
      </c>
      <c r="F30" t="s">
        <v>21</v>
      </c>
      <c r="G30" t="s">
        <v>26</v>
      </c>
      <c r="H30">
        <v>0.98527168384588604</v>
      </c>
      <c r="I30">
        <v>0.98439133709392102</v>
      </c>
      <c r="J30">
        <v>0.981108672194131</v>
      </c>
      <c r="K30">
        <v>0.98226145633810902</v>
      </c>
      <c r="L30">
        <v>0.97794356799577797</v>
      </c>
      <c r="M30">
        <v>0.97537264766120302</v>
      </c>
      <c r="N30">
        <v>0.98770983213429198</v>
      </c>
      <c r="O30">
        <v>0.97796981728812105</v>
      </c>
    </row>
    <row r="31" spans="1:15">
      <c r="A31">
        <v>531</v>
      </c>
      <c r="B31" t="s">
        <v>30</v>
      </c>
      <c r="C31" t="s">
        <v>21</v>
      </c>
      <c r="D31" t="s">
        <v>25</v>
      </c>
      <c r="E31" t="s">
        <v>30</v>
      </c>
      <c r="F31" t="s">
        <v>28</v>
      </c>
      <c r="G31" t="s">
        <v>26</v>
      </c>
      <c r="H31">
        <v>0.96306447104527104</v>
      </c>
      <c r="I31">
        <v>0.95490601545256604</v>
      </c>
      <c r="J31">
        <v>0.90138555383332697</v>
      </c>
      <c r="K31">
        <v>0.92375975995201898</v>
      </c>
      <c r="L31">
        <v>0.86803099854894294</v>
      </c>
      <c r="M31">
        <v>0.80750259162450799</v>
      </c>
      <c r="N31">
        <v>0.99850119904076695</v>
      </c>
      <c r="O31">
        <v>0.87274984300754599</v>
      </c>
    </row>
    <row r="32" spans="1:15">
      <c r="A32">
        <v>538</v>
      </c>
      <c r="B32" t="s">
        <v>30</v>
      </c>
      <c r="C32" t="s">
        <v>21</v>
      </c>
      <c r="D32" t="s">
        <v>25</v>
      </c>
      <c r="E32" t="s">
        <v>30</v>
      </c>
      <c r="F32" t="s">
        <v>29</v>
      </c>
      <c r="G32" t="s">
        <v>26</v>
      </c>
      <c r="H32">
        <v>0.15582413847319199</v>
      </c>
      <c r="I32">
        <v>0.15442592974507799</v>
      </c>
      <c r="J32">
        <v>0.130662710878655</v>
      </c>
      <c r="K32">
        <v>0.142107713443652</v>
      </c>
      <c r="L32">
        <v>0.10900778263239801</v>
      </c>
      <c r="M32">
        <v>8.9756475016313494E-2</v>
      </c>
      <c r="N32">
        <v>0.17125256673511199</v>
      </c>
      <c r="O32">
        <v>0.108565712004485</v>
      </c>
    </row>
    <row r="33" spans="1:15">
      <c r="A33">
        <v>543</v>
      </c>
      <c r="B33" t="s">
        <v>30</v>
      </c>
      <c r="C33" t="s">
        <v>21</v>
      </c>
      <c r="D33" t="s">
        <v>26</v>
      </c>
      <c r="E33" t="s">
        <v>30</v>
      </c>
      <c r="F33" t="s">
        <v>28</v>
      </c>
      <c r="G33" t="s">
        <v>25</v>
      </c>
      <c r="H33">
        <v>0.94366111564536503</v>
      </c>
      <c r="I33">
        <v>0.93687237079207197</v>
      </c>
      <c r="J33">
        <v>0.88508541281222197</v>
      </c>
      <c r="K33">
        <v>0.90833679606108597</v>
      </c>
      <c r="L33">
        <v>0.85451054105667501</v>
      </c>
      <c r="M33">
        <v>0.79596999215494302</v>
      </c>
      <c r="N33">
        <v>0.974275576581904</v>
      </c>
      <c r="O33">
        <v>0.85979845879038597</v>
      </c>
    </row>
    <row r="34" spans="1:15">
      <c r="A34">
        <v>550</v>
      </c>
      <c r="B34" t="s">
        <v>30</v>
      </c>
      <c r="C34" t="s">
        <v>21</v>
      </c>
      <c r="D34" t="s">
        <v>26</v>
      </c>
      <c r="E34" t="s">
        <v>30</v>
      </c>
      <c r="F34" t="s">
        <v>29</v>
      </c>
      <c r="G34" t="s">
        <v>25</v>
      </c>
      <c r="H34">
        <v>0.150768763244579</v>
      </c>
      <c r="I34">
        <v>0.14968221149080499</v>
      </c>
      <c r="J34">
        <v>0.12661556309042099</v>
      </c>
      <c r="K34">
        <v>0.13807812902323699</v>
      </c>
      <c r="L34">
        <v>0.105795999451381</v>
      </c>
      <c r="M34">
        <v>8.7262856853071294E-2</v>
      </c>
      <c r="N34">
        <v>0.165403343205662</v>
      </c>
      <c r="O34">
        <v>0.10550913136342401</v>
      </c>
    </row>
    <row r="35" spans="1:15">
      <c r="A35">
        <v>594</v>
      </c>
      <c r="B35" t="s">
        <v>30</v>
      </c>
      <c r="C35" t="s">
        <v>28</v>
      </c>
      <c r="D35" t="s">
        <v>25</v>
      </c>
      <c r="E35" t="s">
        <v>30</v>
      </c>
      <c r="F35" t="s">
        <v>28</v>
      </c>
      <c r="G35" t="s">
        <v>26</v>
      </c>
      <c r="H35">
        <v>0.98251485279356798</v>
      </c>
      <c r="I35">
        <v>0.98158855846524895</v>
      </c>
      <c r="J35">
        <v>0.97779030430057801</v>
      </c>
      <c r="K35">
        <v>0.97948332262309201</v>
      </c>
      <c r="L35">
        <v>0.97543038006206195</v>
      </c>
      <c r="M35">
        <v>0.972951990935502</v>
      </c>
      <c r="N35">
        <v>0.98492016558249496</v>
      </c>
      <c r="O35">
        <v>0.97472336449834396</v>
      </c>
    </row>
    <row r="36" spans="1:15">
      <c r="A36">
        <v>601</v>
      </c>
      <c r="B36" t="s">
        <v>30</v>
      </c>
      <c r="C36" t="s">
        <v>28</v>
      </c>
      <c r="D36" t="s">
        <v>25</v>
      </c>
      <c r="E36" t="s">
        <v>30</v>
      </c>
      <c r="F36" t="s">
        <v>29</v>
      </c>
      <c r="G36" t="s">
        <v>26</v>
      </c>
      <c r="H36">
        <v>0.15785685848530501</v>
      </c>
      <c r="I36">
        <v>0.15650668663009501</v>
      </c>
      <c r="J36">
        <v>0.13208006679845199</v>
      </c>
      <c r="K36">
        <v>0.14387363959553701</v>
      </c>
      <c r="L36">
        <v>0.11116755643934401</v>
      </c>
      <c r="M36">
        <v>9.2396073411207993E-2</v>
      </c>
      <c r="N36">
        <v>0.173613963039014</v>
      </c>
      <c r="O36">
        <v>0.109349661829637</v>
      </c>
    </row>
    <row r="37" spans="1:15">
      <c r="A37">
        <v>607</v>
      </c>
      <c r="B37" t="s">
        <v>30</v>
      </c>
      <c r="C37" t="s">
        <v>28</v>
      </c>
      <c r="D37" t="s">
        <v>26</v>
      </c>
      <c r="E37" t="s">
        <v>30</v>
      </c>
      <c r="F37" t="s">
        <v>29</v>
      </c>
      <c r="G37" t="s">
        <v>25</v>
      </c>
      <c r="H37">
        <v>0.15222475666855001</v>
      </c>
      <c r="I37">
        <v>0.15117317249714199</v>
      </c>
      <c r="J37">
        <v>0.12755403119747999</v>
      </c>
      <c r="K37">
        <v>0.13925974000423899</v>
      </c>
      <c r="L37">
        <v>0.107484468595429</v>
      </c>
      <c r="M37">
        <v>8.9443795388581201E-2</v>
      </c>
      <c r="N37">
        <v>0.16721048140153599</v>
      </c>
      <c r="O37">
        <v>0.10584670176727</v>
      </c>
    </row>
    <row r="38" spans="1:15">
      <c r="A38">
        <v>629</v>
      </c>
      <c r="B38" t="s">
        <v>30</v>
      </c>
      <c r="C38" t="s">
        <v>29</v>
      </c>
      <c r="D38" t="s">
        <v>25</v>
      </c>
      <c r="E38" t="s">
        <v>30</v>
      </c>
      <c r="F38" t="s">
        <v>29</v>
      </c>
      <c r="G38" t="s">
        <v>26</v>
      </c>
      <c r="H38">
        <v>0.97604634771451804</v>
      </c>
      <c r="I38">
        <v>0.97550810040661096</v>
      </c>
      <c r="J38">
        <v>0.97298001208004803</v>
      </c>
      <c r="K38">
        <v>0.97386882950998499</v>
      </c>
      <c r="L38">
        <v>0.97158472787366301</v>
      </c>
      <c r="M38">
        <v>0.96923894956706902</v>
      </c>
      <c r="N38">
        <v>0.97786255710054704</v>
      </c>
      <c r="O38">
        <v>0.97069333023000304</v>
      </c>
    </row>
    <row r="40" spans="1:15">
      <c r="A40" t="s">
        <v>26</v>
      </c>
    </row>
    <row r="41" spans="1:15">
      <c r="A41" t="s">
        <v>22</v>
      </c>
      <c r="B41" t="s">
        <v>17</v>
      </c>
      <c r="E41" t="s">
        <v>19</v>
      </c>
      <c r="H41" t="s">
        <v>1</v>
      </c>
      <c r="I41" t="s">
        <v>3</v>
      </c>
      <c r="J41" t="s">
        <v>5</v>
      </c>
      <c r="K41" t="s">
        <v>7</v>
      </c>
      <c r="L41" t="s">
        <v>9</v>
      </c>
      <c r="M41" t="s">
        <v>11</v>
      </c>
      <c r="N41" t="s">
        <v>13</v>
      </c>
      <c r="O41" t="s">
        <v>15</v>
      </c>
    </row>
    <row r="42" spans="1:15">
      <c r="A42">
        <v>3</v>
      </c>
      <c r="B42" t="s">
        <v>20</v>
      </c>
      <c r="C42" t="s">
        <v>21</v>
      </c>
      <c r="D42" t="s">
        <v>22</v>
      </c>
      <c r="E42" t="s">
        <v>20</v>
      </c>
      <c r="F42" t="s">
        <v>21</v>
      </c>
      <c r="G42" t="s">
        <v>26</v>
      </c>
      <c r="H42">
        <v>1.73655554558543E-2</v>
      </c>
      <c r="I42">
        <v>1.6767945857821698E-2</v>
      </c>
      <c r="J42">
        <v>1.4704665496900899E-2</v>
      </c>
      <c r="K42">
        <v>1.5291196330159899E-2</v>
      </c>
      <c r="L42">
        <v>1.1177836282118801E-2</v>
      </c>
      <c r="M42">
        <v>8.6066648410561396E-3</v>
      </c>
      <c r="N42">
        <v>1.8699910952804901E-2</v>
      </c>
      <c r="O42">
        <v>1.1920467052464599E-2</v>
      </c>
    </row>
    <row r="43" spans="1:15">
      <c r="A43">
        <v>9</v>
      </c>
      <c r="B43" t="s">
        <v>20</v>
      </c>
      <c r="C43" t="s">
        <v>21</v>
      </c>
      <c r="D43" t="s">
        <v>22</v>
      </c>
      <c r="E43" t="s">
        <v>20</v>
      </c>
      <c r="F43" t="s">
        <v>28</v>
      </c>
      <c r="G43" t="s">
        <v>26</v>
      </c>
      <c r="H43">
        <v>1.7317206838994601E-2</v>
      </c>
      <c r="I43">
        <v>1.6818624071992E-2</v>
      </c>
      <c r="J43">
        <v>1.48367942213431E-2</v>
      </c>
      <c r="K43">
        <v>1.5298533625293299E-2</v>
      </c>
      <c r="L43">
        <v>1.1346477475394599E-2</v>
      </c>
      <c r="M43">
        <v>8.9785003109662202E-3</v>
      </c>
      <c r="N43">
        <v>1.8879232843871701E-2</v>
      </c>
      <c r="O43">
        <v>1.21280035317404E-2</v>
      </c>
    </row>
    <row r="44" spans="1:15">
      <c r="A44">
        <v>16</v>
      </c>
      <c r="B44" t="s">
        <v>20</v>
      </c>
      <c r="C44" t="s">
        <v>21</v>
      </c>
      <c r="D44" t="s">
        <v>22</v>
      </c>
      <c r="E44" t="s">
        <v>20</v>
      </c>
      <c r="F44" t="s">
        <v>29</v>
      </c>
      <c r="G44" t="s">
        <v>26</v>
      </c>
      <c r="H44">
        <v>2.63780411364336E-3</v>
      </c>
      <c r="I44">
        <v>2.53567275346486E-3</v>
      </c>
      <c r="J44">
        <v>2.26624600638027E-3</v>
      </c>
      <c r="K44">
        <v>2.3077322808168301E-3</v>
      </c>
      <c r="L44">
        <v>1.7403173616408699E-3</v>
      </c>
      <c r="M44">
        <v>1.3773886237008299E-3</v>
      </c>
      <c r="N44">
        <v>2.8337531486145998E-3</v>
      </c>
      <c r="O44">
        <v>1.8623378001885601E-3</v>
      </c>
    </row>
    <row r="45" spans="1:15">
      <c r="A45">
        <v>21</v>
      </c>
      <c r="B45" t="s">
        <v>20</v>
      </c>
      <c r="C45" t="s">
        <v>21</v>
      </c>
      <c r="D45" t="s">
        <v>22</v>
      </c>
      <c r="E45" t="s">
        <v>30</v>
      </c>
      <c r="F45" t="s">
        <v>21</v>
      </c>
      <c r="G45" t="s">
        <v>26</v>
      </c>
      <c r="H45">
        <v>1.7732723295911801E-2</v>
      </c>
      <c r="I45">
        <v>1.7127622097673E-2</v>
      </c>
      <c r="J45">
        <v>1.4906858735946899E-2</v>
      </c>
      <c r="K45">
        <v>1.56249234744939E-2</v>
      </c>
      <c r="L45">
        <v>1.1266585936098099E-2</v>
      </c>
      <c r="M45">
        <v>8.7908230921239401E-3</v>
      </c>
      <c r="N45">
        <v>1.91198786039453E-2</v>
      </c>
      <c r="O45">
        <v>1.19844323744734E-2</v>
      </c>
    </row>
    <row r="46" spans="1:15">
      <c r="A46">
        <v>27</v>
      </c>
      <c r="B46" t="s">
        <v>20</v>
      </c>
      <c r="C46" t="s">
        <v>21</v>
      </c>
      <c r="D46" t="s">
        <v>22</v>
      </c>
      <c r="E46" t="s">
        <v>30</v>
      </c>
      <c r="F46" t="s">
        <v>28</v>
      </c>
      <c r="G46" t="s">
        <v>26</v>
      </c>
      <c r="H46">
        <v>1.76881130829705E-2</v>
      </c>
      <c r="I46">
        <v>1.6915988503213401E-2</v>
      </c>
      <c r="J46">
        <v>1.5007003632616899E-2</v>
      </c>
      <c r="K46">
        <v>1.5410514672332299E-2</v>
      </c>
      <c r="L46">
        <v>1.14750902266636E-2</v>
      </c>
      <c r="M46">
        <v>9.0624014653988803E-3</v>
      </c>
      <c r="N46">
        <v>1.8913239267487201E-2</v>
      </c>
      <c r="O46">
        <v>1.2205964790563901E-2</v>
      </c>
    </row>
    <row r="47" spans="1:15">
      <c r="A47">
        <v>34</v>
      </c>
      <c r="B47" t="s">
        <v>20</v>
      </c>
      <c r="C47" t="s">
        <v>21</v>
      </c>
      <c r="D47" t="s">
        <v>22</v>
      </c>
      <c r="E47" t="s">
        <v>30</v>
      </c>
      <c r="F47" t="s">
        <v>29</v>
      </c>
      <c r="G47" t="s">
        <v>26</v>
      </c>
      <c r="H47">
        <v>3.0046226301381198E-3</v>
      </c>
      <c r="I47">
        <v>2.8786735347461202E-3</v>
      </c>
      <c r="J47">
        <v>2.5348888635857701E-3</v>
      </c>
      <c r="K47">
        <v>2.6093134944395599E-3</v>
      </c>
      <c r="L47">
        <v>1.9805324096624499E-3</v>
      </c>
      <c r="M47">
        <v>1.53958951193384E-3</v>
      </c>
      <c r="N47">
        <v>3.2340862422997902E-3</v>
      </c>
      <c r="O47">
        <v>2.0525940951519901E-3</v>
      </c>
    </row>
    <row r="48" spans="1:15">
      <c r="A48">
        <v>135</v>
      </c>
      <c r="B48" t="s">
        <v>20</v>
      </c>
      <c r="C48" t="s">
        <v>21</v>
      </c>
      <c r="D48" t="s">
        <v>26</v>
      </c>
      <c r="E48" t="s">
        <v>20</v>
      </c>
      <c r="F48" t="s">
        <v>28</v>
      </c>
      <c r="G48" t="s">
        <v>22</v>
      </c>
      <c r="H48">
        <v>1.8713161930373999E-2</v>
      </c>
      <c r="I48">
        <v>1.8229236406772799E-2</v>
      </c>
      <c r="J48">
        <v>1.5934945109766199E-2</v>
      </c>
      <c r="K48">
        <v>1.6784508537752901E-2</v>
      </c>
      <c r="L48">
        <v>1.2177333821430301E-2</v>
      </c>
      <c r="M48">
        <v>9.7010322948752007E-3</v>
      </c>
      <c r="N48">
        <v>2.0184030869694201E-2</v>
      </c>
      <c r="O48">
        <v>1.31366948756913E-2</v>
      </c>
    </row>
    <row r="49" spans="1:15">
      <c r="A49">
        <v>141</v>
      </c>
      <c r="B49" t="s">
        <v>20</v>
      </c>
      <c r="C49" t="s">
        <v>21</v>
      </c>
      <c r="D49" t="s">
        <v>26</v>
      </c>
      <c r="E49" t="s">
        <v>20</v>
      </c>
      <c r="F49" t="s">
        <v>29</v>
      </c>
      <c r="G49" t="s">
        <v>22</v>
      </c>
      <c r="H49">
        <v>0.56216433911750596</v>
      </c>
      <c r="I49">
        <v>0.54371567337927695</v>
      </c>
      <c r="J49">
        <v>0.467828315832504</v>
      </c>
      <c r="K49">
        <v>0.48800864883216699</v>
      </c>
      <c r="L49">
        <v>0.35564367991454499</v>
      </c>
      <c r="M49">
        <v>0.27253326690742602</v>
      </c>
      <c r="N49">
        <v>0.62273671712674294</v>
      </c>
      <c r="O49">
        <v>0.378427555693572</v>
      </c>
    </row>
    <row r="50" spans="1:15">
      <c r="A50">
        <v>147</v>
      </c>
      <c r="B50" t="s">
        <v>20</v>
      </c>
      <c r="C50" t="s">
        <v>21</v>
      </c>
      <c r="D50" t="s">
        <v>26</v>
      </c>
      <c r="E50" t="s">
        <v>30</v>
      </c>
      <c r="F50" t="s">
        <v>21</v>
      </c>
      <c r="G50" t="s">
        <v>22</v>
      </c>
      <c r="H50">
        <v>1.7763028519346101E-2</v>
      </c>
      <c r="I50">
        <v>1.7262323681169801E-2</v>
      </c>
      <c r="J50">
        <v>1.5151908010680301E-2</v>
      </c>
      <c r="K50">
        <v>1.59087694446849E-2</v>
      </c>
      <c r="L50">
        <v>1.15352718812876E-2</v>
      </c>
      <c r="M50">
        <v>9.0811761852543707E-3</v>
      </c>
      <c r="N50">
        <v>1.8996734936182799E-2</v>
      </c>
      <c r="O50">
        <v>1.2404289919043E-2</v>
      </c>
    </row>
    <row r="51" spans="1:15">
      <c r="A51">
        <v>153</v>
      </c>
      <c r="B51" t="s">
        <v>20</v>
      </c>
      <c r="C51" t="s">
        <v>21</v>
      </c>
      <c r="D51" t="s">
        <v>26</v>
      </c>
      <c r="E51" t="s">
        <v>30</v>
      </c>
      <c r="F51" t="s">
        <v>28</v>
      </c>
      <c r="G51" t="s">
        <v>22</v>
      </c>
      <c r="H51">
        <v>1.9293972757201801E-2</v>
      </c>
      <c r="I51">
        <v>1.89785706758899E-2</v>
      </c>
      <c r="J51">
        <v>1.6524660971956501E-2</v>
      </c>
      <c r="K51">
        <v>1.75932671389172E-2</v>
      </c>
      <c r="L51">
        <v>1.26990271917967E-2</v>
      </c>
      <c r="M51">
        <v>1.00730187011302E-2</v>
      </c>
      <c r="N51">
        <v>2.07776788364499E-2</v>
      </c>
      <c r="O51">
        <v>1.3714375214454899E-2</v>
      </c>
    </row>
    <row r="52" spans="1:15">
      <c r="A52">
        <v>159</v>
      </c>
      <c r="B52" t="s">
        <v>20</v>
      </c>
      <c r="C52" t="s">
        <v>21</v>
      </c>
      <c r="D52" t="s">
        <v>26</v>
      </c>
      <c r="E52" t="s">
        <v>30</v>
      </c>
      <c r="F52" t="s">
        <v>29</v>
      </c>
      <c r="G52" t="s">
        <v>22</v>
      </c>
      <c r="H52">
        <v>0.67686334651408797</v>
      </c>
      <c r="I52">
        <v>0.65033952883259705</v>
      </c>
      <c r="J52">
        <v>0.55475611657537305</v>
      </c>
      <c r="K52">
        <v>0.57090097931566197</v>
      </c>
      <c r="L52">
        <v>0.42901550424038998</v>
      </c>
      <c r="M52">
        <v>0.32686674790474202</v>
      </c>
      <c r="N52">
        <v>0.77085188483229405</v>
      </c>
      <c r="O52">
        <v>0.44044420724579397</v>
      </c>
    </row>
    <row r="53" spans="1:15">
      <c r="A53">
        <v>198</v>
      </c>
      <c r="B53" t="s">
        <v>20</v>
      </c>
      <c r="C53" t="s">
        <v>28</v>
      </c>
      <c r="D53" t="s">
        <v>22</v>
      </c>
      <c r="E53" t="s">
        <v>20</v>
      </c>
      <c r="F53" t="s">
        <v>28</v>
      </c>
      <c r="G53" t="s">
        <v>26</v>
      </c>
      <c r="H53">
        <v>1.8680314866407501E-2</v>
      </c>
      <c r="I53">
        <v>1.8308722918492899E-2</v>
      </c>
      <c r="J53">
        <v>1.61796355645249E-2</v>
      </c>
      <c r="K53">
        <v>1.6813905553349301E-2</v>
      </c>
      <c r="L53">
        <v>1.26250034753125E-2</v>
      </c>
      <c r="M53">
        <v>1.03038885859685E-2</v>
      </c>
      <c r="N53">
        <v>2.03775846568774E-2</v>
      </c>
      <c r="O53">
        <v>1.34783015053219E-2</v>
      </c>
    </row>
    <row r="54" spans="1:15">
      <c r="A54">
        <v>205</v>
      </c>
      <c r="B54" t="s">
        <v>20</v>
      </c>
      <c r="C54" t="s">
        <v>28</v>
      </c>
      <c r="D54" t="s">
        <v>22</v>
      </c>
      <c r="E54" t="s">
        <v>20</v>
      </c>
      <c r="F54" t="s">
        <v>29</v>
      </c>
      <c r="G54" t="s">
        <v>26</v>
      </c>
      <c r="H54">
        <v>2.8163256832807199E-3</v>
      </c>
      <c r="I54">
        <v>2.7406536055476498E-3</v>
      </c>
      <c r="J54">
        <v>2.42889082857901E-3</v>
      </c>
      <c r="K54">
        <v>2.5032978898385902E-3</v>
      </c>
      <c r="L54">
        <v>1.8963412542213299E-3</v>
      </c>
      <c r="M54">
        <v>1.53634553199068E-3</v>
      </c>
      <c r="N54">
        <v>3.05865419215545E-3</v>
      </c>
      <c r="O54">
        <v>2.0151866365914601E-3</v>
      </c>
    </row>
    <row r="55" spans="1:15">
      <c r="A55">
        <v>210</v>
      </c>
      <c r="B55" t="s">
        <v>20</v>
      </c>
      <c r="C55" t="s">
        <v>28</v>
      </c>
      <c r="D55" t="s">
        <v>22</v>
      </c>
      <c r="E55" t="s">
        <v>30</v>
      </c>
      <c r="F55" t="s">
        <v>21</v>
      </c>
      <c r="G55" t="s">
        <v>26</v>
      </c>
      <c r="H55">
        <v>1.9020965297117699E-2</v>
      </c>
      <c r="I55">
        <v>1.86448687729871E-2</v>
      </c>
      <c r="J55">
        <v>1.61229040864116E-2</v>
      </c>
      <c r="K55">
        <v>1.7202919457270701E-2</v>
      </c>
      <c r="L55">
        <v>1.24289802448115E-2</v>
      </c>
      <c r="M55">
        <v>9.9688944146484396E-3</v>
      </c>
      <c r="N55">
        <v>2.0637329286798099E-2</v>
      </c>
      <c r="O55">
        <v>1.3212449989291299E-2</v>
      </c>
    </row>
    <row r="56" spans="1:15">
      <c r="A56">
        <v>216</v>
      </c>
      <c r="B56" t="s">
        <v>20</v>
      </c>
      <c r="C56" t="s">
        <v>28</v>
      </c>
      <c r="D56" t="s">
        <v>22</v>
      </c>
      <c r="E56" t="s">
        <v>30</v>
      </c>
      <c r="F56" t="s">
        <v>28</v>
      </c>
      <c r="G56" t="s">
        <v>26</v>
      </c>
      <c r="H56">
        <v>1.89102151995705E-2</v>
      </c>
      <c r="I56">
        <v>1.84390092405298E-2</v>
      </c>
      <c r="J56">
        <v>1.6168929649287001E-2</v>
      </c>
      <c r="K56">
        <v>1.69995839224459E-2</v>
      </c>
      <c r="L56">
        <v>1.2615006999706699E-2</v>
      </c>
      <c r="M56">
        <v>1.02009284907755E-2</v>
      </c>
      <c r="N56">
        <v>2.04142900030021E-2</v>
      </c>
      <c r="O56">
        <v>1.3393953584125999E-2</v>
      </c>
    </row>
    <row r="57" spans="1:15">
      <c r="A57">
        <v>223</v>
      </c>
      <c r="B57" t="s">
        <v>20</v>
      </c>
      <c r="C57" t="s">
        <v>28</v>
      </c>
      <c r="D57" t="s">
        <v>22</v>
      </c>
      <c r="E57" t="s">
        <v>30</v>
      </c>
      <c r="F57" t="s">
        <v>29</v>
      </c>
      <c r="G57" t="s">
        <v>26</v>
      </c>
      <c r="H57">
        <v>3.2194606126169901E-3</v>
      </c>
      <c r="I57">
        <v>3.1232796505828199E-3</v>
      </c>
      <c r="J57">
        <v>2.7344399884454001E-3</v>
      </c>
      <c r="K57">
        <v>2.8501416421360202E-3</v>
      </c>
      <c r="L57">
        <v>2.1604392236235399E-3</v>
      </c>
      <c r="M57">
        <v>1.73342436144995E-3</v>
      </c>
      <c r="N57">
        <v>3.4907597535934198E-3</v>
      </c>
      <c r="O57">
        <v>2.2215672738806701E-3</v>
      </c>
    </row>
    <row r="58" spans="1:15">
      <c r="A58">
        <v>306</v>
      </c>
      <c r="B58" t="s">
        <v>20</v>
      </c>
      <c r="C58" t="s">
        <v>28</v>
      </c>
      <c r="D58" t="s">
        <v>26</v>
      </c>
      <c r="E58" t="s">
        <v>20</v>
      </c>
      <c r="F58" t="s">
        <v>29</v>
      </c>
      <c r="G58" t="s">
        <v>22</v>
      </c>
      <c r="H58">
        <v>0.52182249271305203</v>
      </c>
      <c r="I58">
        <v>0.50563492981434699</v>
      </c>
      <c r="J58">
        <v>0.43585756039124501</v>
      </c>
      <c r="K58">
        <v>0.43131829479040101</v>
      </c>
      <c r="L58">
        <v>0.32059855441198398</v>
      </c>
      <c r="M58">
        <v>0.23567417953235101</v>
      </c>
      <c r="N58">
        <v>0.623978721789197</v>
      </c>
      <c r="O58">
        <v>0.329232041616493</v>
      </c>
    </row>
    <row r="59" spans="1:15">
      <c r="A59">
        <v>312</v>
      </c>
      <c r="B59" t="s">
        <v>20</v>
      </c>
      <c r="C59" t="s">
        <v>28</v>
      </c>
      <c r="D59" t="s">
        <v>26</v>
      </c>
      <c r="E59" t="s">
        <v>30</v>
      </c>
      <c r="F59" t="s">
        <v>21</v>
      </c>
      <c r="G59" t="s">
        <v>22</v>
      </c>
      <c r="H59">
        <v>1.7760337507088001E-2</v>
      </c>
      <c r="I59">
        <v>1.7379477902435402E-2</v>
      </c>
      <c r="J59">
        <v>1.50997916765261E-2</v>
      </c>
      <c r="K59">
        <v>1.6020809242446799E-2</v>
      </c>
      <c r="L59">
        <v>1.16370224974492E-2</v>
      </c>
      <c r="M59">
        <v>9.2183269006490091E-3</v>
      </c>
      <c r="N59">
        <v>1.9178903206472801E-2</v>
      </c>
      <c r="O59">
        <v>1.2388640256566399E-2</v>
      </c>
    </row>
    <row r="60" spans="1:15">
      <c r="A60">
        <v>318</v>
      </c>
      <c r="B60" t="s">
        <v>20</v>
      </c>
      <c r="C60" t="s">
        <v>28</v>
      </c>
      <c r="D60" t="s">
        <v>26</v>
      </c>
      <c r="E60" t="s">
        <v>30</v>
      </c>
      <c r="F60" t="s">
        <v>28</v>
      </c>
      <c r="G60" t="s">
        <v>22</v>
      </c>
      <c r="H60">
        <v>1.9242510118486499E-2</v>
      </c>
      <c r="I60">
        <v>1.8968985713952401E-2</v>
      </c>
      <c r="J60">
        <v>1.6490328700405101E-2</v>
      </c>
      <c r="K60">
        <v>1.7506801577508498E-2</v>
      </c>
      <c r="L60">
        <v>1.2985327902528701E-2</v>
      </c>
      <c r="M60">
        <v>1.0608128016752099E-2</v>
      </c>
      <c r="N60">
        <v>2.0976925382079702E-2</v>
      </c>
      <c r="O60">
        <v>1.37563872200205E-2</v>
      </c>
    </row>
    <row r="61" spans="1:15">
      <c r="A61">
        <v>324</v>
      </c>
      <c r="B61" t="s">
        <v>20</v>
      </c>
      <c r="C61" t="s">
        <v>28</v>
      </c>
      <c r="D61" t="s">
        <v>26</v>
      </c>
      <c r="E61" t="s">
        <v>30</v>
      </c>
      <c r="F61" t="s">
        <v>29</v>
      </c>
      <c r="G61" t="s">
        <v>22</v>
      </c>
      <c r="H61">
        <v>0.62590190780032195</v>
      </c>
      <c r="I61">
        <v>0.60020383553235901</v>
      </c>
      <c r="J61">
        <v>0.51485214803635604</v>
      </c>
      <c r="K61">
        <v>0.502833706913141</v>
      </c>
      <c r="L61">
        <v>0.38496980415346099</v>
      </c>
      <c r="M61">
        <v>0.28406551175606698</v>
      </c>
      <c r="N61">
        <v>0.76344012448642196</v>
      </c>
      <c r="O61">
        <v>0.38182761613245297</v>
      </c>
    </row>
    <row r="62" spans="1:15">
      <c r="A62">
        <v>358</v>
      </c>
      <c r="B62" t="s">
        <v>20</v>
      </c>
      <c r="C62" t="s">
        <v>29</v>
      </c>
      <c r="D62" t="s">
        <v>22</v>
      </c>
      <c r="E62" t="s">
        <v>20</v>
      </c>
      <c r="F62" t="s">
        <v>29</v>
      </c>
      <c r="G62" t="s">
        <v>26</v>
      </c>
      <c r="H62">
        <v>8.6967690644736695E-2</v>
      </c>
      <c r="I62">
        <v>8.52802700141118E-2</v>
      </c>
      <c r="J62">
        <v>7.1864906446755902E-2</v>
      </c>
      <c r="K62">
        <v>7.8415147763993095E-2</v>
      </c>
      <c r="L62">
        <v>5.8064539992485099E-2</v>
      </c>
      <c r="M62">
        <v>4.6793746571257802E-2</v>
      </c>
      <c r="N62">
        <v>9.4368477869737302E-2</v>
      </c>
      <c r="O62">
        <v>5.96124638991299E-2</v>
      </c>
    </row>
    <row r="63" spans="1:15">
      <c r="A63">
        <v>363</v>
      </c>
      <c r="B63" t="s">
        <v>20</v>
      </c>
      <c r="C63" t="s">
        <v>29</v>
      </c>
      <c r="D63" t="s">
        <v>22</v>
      </c>
      <c r="E63" t="s">
        <v>30</v>
      </c>
      <c r="F63" t="s">
        <v>21</v>
      </c>
      <c r="G63" t="s">
        <v>26</v>
      </c>
      <c r="H63">
        <v>0.57122666471596295</v>
      </c>
      <c r="I63">
        <v>0.55611539407830701</v>
      </c>
      <c r="J63">
        <v>0.47225371983050002</v>
      </c>
      <c r="K63">
        <v>0.49912624498040897</v>
      </c>
      <c r="L63">
        <v>0.35910202358962101</v>
      </c>
      <c r="M63">
        <v>0.27433762213254298</v>
      </c>
      <c r="N63">
        <v>0.63672230652503703</v>
      </c>
      <c r="O63">
        <v>0.38047866509746903</v>
      </c>
    </row>
    <row r="64" spans="1:15">
      <c r="A64">
        <v>369</v>
      </c>
      <c r="B64" t="s">
        <v>20</v>
      </c>
      <c r="C64" t="s">
        <v>29</v>
      </c>
      <c r="D64" t="s">
        <v>22</v>
      </c>
      <c r="E64" t="s">
        <v>30</v>
      </c>
      <c r="F64" t="s">
        <v>28</v>
      </c>
      <c r="G64" t="s">
        <v>26</v>
      </c>
      <c r="H64">
        <v>0.56825577774972602</v>
      </c>
      <c r="I64">
        <v>0.55116129528866997</v>
      </c>
      <c r="J64">
        <v>0.470843718680171</v>
      </c>
      <c r="K64">
        <v>0.49531078037847598</v>
      </c>
      <c r="L64">
        <v>0.35745837592622398</v>
      </c>
      <c r="M64">
        <v>0.27396817790745398</v>
      </c>
      <c r="N64">
        <v>0.62984088862203502</v>
      </c>
      <c r="O64">
        <v>0.379227920657004</v>
      </c>
    </row>
    <row r="65" spans="1:15">
      <c r="A65">
        <v>376</v>
      </c>
      <c r="B65" t="s">
        <v>20</v>
      </c>
      <c r="C65" t="s">
        <v>29</v>
      </c>
      <c r="D65" t="s">
        <v>22</v>
      </c>
      <c r="E65" t="s">
        <v>30</v>
      </c>
      <c r="F65" t="s">
        <v>29</v>
      </c>
      <c r="G65" t="s">
        <v>26</v>
      </c>
      <c r="H65">
        <v>9.8734313793653494E-2</v>
      </c>
      <c r="I65">
        <v>9.6482126725311507E-2</v>
      </c>
      <c r="J65">
        <v>8.1248858958482897E-2</v>
      </c>
      <c r="K65">
        <v>8.8154433464819604E-2</v>
      </c>
      <c r="L65">
        <v>6.5752006762530693E-2</v>
      </c>
      <c r="M65">
        <v>5.2836579459950801E-2</v>
      </c>
      <c r="N65">
        <v>0.107700205338809</v>
      </c>
      <c r="O65">
        <v>6.6852881948335996E-2</v>
      </c>
    </row>
    <row r="66" spans="1:15">
      <c r="A66">
        <v>459</v>
      </c>
      <c r="B66" t="s">
        <v>20</v>
      </c>
      <c r="C66" t="s">
        <v>29</v>
      </c>
      <c r="D66" t="s">
        <v>26</v>
      </c>
      <c r="E66" t="s">
        <v>30</v>
      </c>
      <c r="F66" t="s">
        <v>21</v>
      </c>
      <c r="G66" t="s">
        <v>22</v>
      </c>
      <c r="H66">
        <v>2.6883915949610102E-3</v>
      </c>
      <c r="I66">
        <v>2.6137267622014801E-3</v>
      </c>
      <c r="J66">
        <v>2.3138216879564299E-3</v>
      </c>
      <c r="K66">
        <v>2.40787690206523E-3</v>
      </c>
      <c r="L66">
        <v>1.7829891587086901E-3</v>
      </c>
      <c r="M66">
        <v>1.42667968567609E-3</v>
      </c>
      <c r="N66">
        <v>2.87873335732277E-3</v>
      </c>
      <c r="O66">
        <v>1.92061343852312E-3</v>
      </c>
    </row>
    <row r="67" spans="1:15">
      <c r="A67">
        <v>465</v>
      </c>
      <c r="B67" t="s">
        <v>20</v>
      </c>
      <c r="C67" t="s">
        <v>29</v>
      </c>
      <c r="D67" t="s">
        <v>26</v>
      </c>
      <c r="E67" t="s">
        <v>30</v>
      </c>
      <c r="F67" t="s">
        <v>28</v>
      </c>
      <c r="G67" t="s">
        <v>22</v>
      </c>
      <c r="H67">
        <v>2.9031347777021899E-3</v>
      </c>
      <c r="I67">
        <v>2.8659389391287099E-3</v>
      </c>
      <c r="J67">
        <v>2.4890037070304499E-3</v>
      </c>
      <c r="K67">
        <v>2.6496883137371E-3</v>
      </c>
      <c r="L67">
        <v>1.94471798716509E-3</v>
      </c>
      <c r="M67">
        <v>1.5549861434103599E-3</v>
      </c>
      <c r="N67">
        <v>3.1486146095717799E-3</v>
      </c>
      <c r="O67">
        <v>2.07439460742016E-3</v>
      </c>
    </row>
    <row r="68" spans="1:15">
      <c r="A68">
        <v>471</v>
      </c>
      <c r="B68" t="s">
        <v>20</v>
      </c>
      <c r="C68" t="s">
        <v>29</v>
      </c>
      <c r="D68" t="s">
        <v>26</v>
      </c>
      <c r="E68" t="s">
        <v>30</v>
      </c>
      <c r="F68" t="s">
        <v>29</v>
      </c>
      <c r="G68" t="s">
        <v>22</v>
      </c>
      <c r="H68">
        <v>0.10718983417285401</v>
      </c>
      <c r="I68">
        <v>0.104486460521934</v>
      </c>
      <c r="J68">
        <v>8.9489949599064297E-2</v>
      </c>
      <c r="K68">
        <v>9.5322121676174598E-2</v>
      </c>
      <c r="L68">
        <v>7.3216814108386097E-2</v>
      </c>
      <c r="M68">
        <v>5.9132951274560197E-2</v>
      </c>
      <c r="N68">
        <v>0.116813602015113</v>
      </c>
      <c r="O68">
        <v>7.5184393852642098E-2</v>
      </c>
    </row>
    <row r="69" spans="1:15">
      <c r="A69">
        <v>480</v>
      </c>
      <c r="B69" t="s">
        <v>30</v>
      </c>
      <c r="C69" t="s">
        <v>21</v>
      </c>
      <c r="D69" t="s">
        <v>22</v>
      </c>
      <c r="E69" t="s">
        <v>30</v>
      </c>
      <c r="F69" t="s">
        <v>21</v>
      </c>
      <c r="G69" t="s">
        <v>26</v>
      </c>
      <c r="H69">
        <v>1.8187137094144299E-2</v>
      </c>
      <c r="I69">
        <v>1.7716903738483499E-2</v>
      </c>
      <c r="J69">
        <v>1.54720467928641E-2</v>
      </c>
      <c r="K69">
        <v>1.63933179505911E-2</v>
      </c>
      <c r="L69">
        <v>1.19602383149118E-2</v>
      </c>
      <c r="M69">
        <v>9.5167393590922904E-3</v>
      </c>
      <c r="N69">
        <v>1.9423368740515898E-2</v>
      </c>
      <c r="O69">
        <v>1.2713735517876201E-2</v>
      </c>
    </row>
    <row r="70" spans="1:15">
      <c r="A70">
        <v>486</v>
      </c>
      <c r="B70" t="s">
        <v>30</v>
      </c>
      <c r="C70" t="s">
        <v>21</v>
      </c>
      <c r="D70" t="s">
        <v>22</v>
      </c>
      <c r="E70" t="s">
        <v>30</v>
      </c>
      <c r="F70" t="s">
        <v>28</v>
      </c>
      <c r="G70" t="s">
        <v>26</v>
      </c>
      <c r="H70">
        <v>1.8137097616358101E-2</v>
      </c>
      <c r="I70">
        <v>1.7560839325531201E-2</v>
      </c>
      <c r="J70">
        <v>1.5641493538105299E-2</v>
      </c>
      <c r="K70">
        <v>1.6267776819661E-2</v>
      </c>
      <c r="L70">
        <v>1.20120113556093E-2</v>
      </c>
      <c r="M70">
        <v>9.7179525077618397E-3</v>
      </c>
      <c r="N70">
        <v>1.9213449414590199E-2</v>
      </c>
      <c r="O70">
        <v>1.3018750075130101E-2</v>
      </c>
    </row>
    <row r="71" spans="1:15">
      <c r="A71">
        <v>493</v>
      </c>
      <c r="B71" t="s">
        <v>30</v>
      </c>
      <c r="C71" t="s">
        <v>21</v>
      </c>
      <c r="D71" t="s">
        <v>22</v>
      </c>
      <c r="E71" t="s">
        <v>30</v>
      </c>
      <c r="F71" t="s">
        <v>29</v>
      </c>
      <c r="G71" t="s">
        <v>26</v>
      </c>
      <c r="H71">
        <v>3.07595471090597E-3</v>
      </c>
      <c r="I71">
        <v>2.9728024511178901E-3</v>
      </c>
      <c r="J71">
        <v>2.6102596844033302E-3</v>
      </c>
      <c r="K71">
        <v>2.7330440741754401E-3</v>
      </c>
      <c r="L71">
        <v>2.0358738938864199E-3</v>
      </c>
      <c r="M71">
        <v>1.6190080362636699E-3</v>
      </c>
      <c r="N71">
        <v>3.2854209445585202E-3</v>
      </c>
      <c r="O71">
        <v>2.14560826525538E-3</v>
      </c>
    </row>
    <row r="72" spans="1:15">
      <c r="A72">
        <v>540</v>
      </c>
      <c r="B72" t="s">
        <v>30</v>
      </c>
      <c r="C72" t="s">
        <v>21</v>
      </c>
      <c r="D72" t="s">
        <v>26</v>
      </c>
      <c r="E72" t="s">
        <v>30</v>
      </c>
      <c r="F72" t="s">
        <v>28</v>
      </c>
      <c r="G72" t="s">
        <v>22</v>
      </c>
      <c r="H72">
        <v>1.9680052717241402E-2</v>
      </c>
      <c r="I72">
        <v>1.93898848963691E-2</v>
      </c>
      <c r="J72">
        <v>1.67631242742559E-2</v>
      </c>
      <c r="K72">
        <v>1.8000176076180301E-2</v>
      </c>
      <c r="L72">
        <v>1.31206112654986E-2</v>
      </c>
      <c r="M72">
        <v>1.0566466917481501E-2</v>
      </c>
      <c r="N72">
        <v>2.1244309559939299E-2</v>
      </c>
      <c r="O72">
        <v>1.3929274644235601E-2</v>
      </c>
    </row>
    <row r="73" spans="1:15">
      <c r="A73">
        <v>546</v>
      </c>
      <c r="B73" t="s">
        <v>30</v>
      </c>
      <c r="C73" t="s">
        <v>21</v>
      </c>
      <c r="D73" t="s">
        <v>26</v>
      </c>
      <c r="E73" t="s">
        <v>30</v>
      </c>
      <c r="F73" t="s">
        <v>29</v>
      </c>
      <c r="G73" t="s">
        <v>22</v>
      </c>
      <c r="H73">
        <v>0.688791098925992</v>
      </c>
      <c r="I73">
        <v>0.66800252138455896</v>
      </c>
      <c r="J73">
        <v>0.56276377593327198</v>
      </c>
      <c r="K73">
        <v>0.58893233994371996</v>
      </c>
      <c r="L73">
        <v>0.43723204832691598</v>
      </c>
      <c r="M73">
        <v>0.33595350588182898</v>
      </c>
      <c r="N73">
        <v>0.78816388467374798</v>
      </c>
      <c r="O73">
        <v>0.44621785023244898</v>
      </c>
    </row>
    <row r="74" spans="1:15">
      <c r="A74">
        <v>567</v>
      </c>
      <c r="B74" t="s">
        <v>30</v>
      </c>
      <c r="C74" t="s">
        <v>28</v>
      </c>
      <c r="D74" t="s">
        <v>22</v>
      </c>
      <c r="E74" t="s">
        <v>30</v>
      </c>
      <c r="F74" t="s">
        <v>28</v>
      </c>
      <c r="G74" t="s">
        <v>26</v>
      </c>
      <c r="H74">
        <v>1.9583884065150998E-2</v>
      </c>
      <c r="I74">
        <v>1.92548547889013E-2</v>
      </c>
      <c r="J74">
        <v>1.68519135848266E-2</v>
      </c>
      <c r="K74">
        <v>1.7923251196754499E-2</v>
      </c>
      <c r="L74">
        <v>1.33101339684397E-2</v>
      </c>
      <c r="M74">
        <v>1.0915635755776899E-2</v>
      </c>
      <c r="N74">
        <v>2.1014710297208E-2</v>
      </c>
      <c r="O74">
        <v>1.41122595297732E-2</v>
      </c>
    </row>
    <row r="75" spans="1:15">
      <c r="A75">
        <v>574</v>
      </c>
      <c r="B75" t="s">
        <v>30</v>
      </c>
      <c r="C75" t="s">
        <v>28</v>
      </c>
      <c r="D75" t="s">
        <v>22</v>
      </c>
      <c r="E75" t="s">
        <v>30</v>
      </c>
      <c r="F75" t="s">
        <v>29</v>
      </c>
      <c r="G75" t="s">
        <v>26</v>
      </c>
      <c r="H75">
        <v>3.3224296966575901E-3</v>
      </c>
      <c r="I75">
        <v>3.2762048824239898E-3</v>
      </c>
      <c r="J75">
        <v>2.8435282535637998E-3</v>
      </c>
      <c r="K75">
        <v>3.0337411697375998E-3</v>
      </c>
      <c r="L75">
        <v>2.2377109800959601E-3</v>
      </c>
      <c r="M75">
        <v>1.7909564020953E-3</v>
      </c>
      <c r="N75">
        <v>3.5934291581108798E-3</v>
      </c>
      <c r="O75">
        <v>2.3572637642400901E-3</v>
      </c>
    </row>
    <row r="76" spans="1:15">
      <c r="A76">
        <v>603</v>
      </c>
      <c r="B76" t="s">
        <v>30</v>
      </c>
      <c r="C76" t="s">
        <v>28</v>
      </c>
      <c r="D76" t="s">
        <v>26</v>
      </c>
      <c r="E76" t="s">
        <v>30</v>
      </c>
      <c r="F76" t="s">
        <v>29</v>
      </c>
      <c r="G76" t="s">
        <v>22</v>
      </c>
      <c r="H76">
        <v>0.68328564721038498</v>
      </c>
      <c r="I76">
        <v>0.65961803361822302</v>
      </c>
      <c r="J76">
        <v>0.55888433828490902</v>
      </c>
      <c r="K76">
        <v>0.58030509935355201</v>
      </c>
      <c r="L76">
        <v>0.43597909140770003</v>
      </c>
      <c r="M76">
        <v>0.33629540697745702</v>
      </c>
      <c r="N76">
        <v>0.77964575202641795</v>
      </c>
      <c r="O76">
        <v>0.44240883414311599</v>
      </c>
    </row>
    <row r="77" spans="1:15">
      <c r="A77">
        <v>619</v>
      </c>
      <c r="B77" t="s">
        <v>30</v>
      </c>
      <c r="C77" t="s">
        <v>29</v>
      </c>
      <c r="D77" t="s">
        <v>22</v>
      </c>
      <c r="E77" t="s">
        <v>30</v>
      </c>
      <c r="F77" t="s">
        <v>29</v>
      </c>
      <c r="G77" t="s">
        <v>26</v>
      </c>
      <c r="H77">
        <v>0.121509845860692</v>
      </c>
      <c r="I77">
        <v>0.11866508612306299</v>
      </c>
      <c r="J77">
        <v>0.10081340181189601</v>
      </c>
      <c r="K77">
        <v>0.107847281311811</v>
      </c>
      <c r="L77">
        <v>8.3494452829594307E-2</v>
      </c>
      <c r="M77">
        <v>6.7150616373203201E-2</v>
      </c>
      <c r="N77">
        <v>0.13331622176591301</v>
      </c>
      <c r="O77">
        <v>8.3901399921050099E-2</v>
      </c>
    </row>
    <row r="79" spans="1:15">
      <c r="A79" t="s">
        <v>25</v>
      </c>
    </row>
    <row r="80" spans="1:15">
      <c r="A80" t="s">
        <v>22</v>
      </c>
      <c r="B80" t="s">
        <v>16</v>
      </c>
      <c r="E80" t="s">
        <v>18</v>
      </c>
      <c r="H80" t="s">
        <v>0</v>
      </c>
      <c r="I80" t="s">
        <v>2</v>
      </c>
      <c r="J80" t="s">
        <v>4</v>
      </c>
      <c r="K80" t="s">
        <v>6</v>
      </c>
      <c r="L80" t="s">
        <v>8</v>
      </c>
      <c r="M80" t="s">
        <v>10</v>
      </c>
      <c r="N80" t="s">
        <v>12</v>
      </c>
      <c r="O80" t="s">
        <v>14</v>
      </c>
    </row>
    <row r="81" spans="1:15">
      <c r="A81">
        <v>2</v>
      </c>
      <c r="B81" t="s">
        <v>20</v>
      </c>
      <c r="C81" t="s">
        <v>21</v>
      </c>
      <c r="D81" t="s">
        <v>22</v>
      </c>
      <c r="E81" t="s">
        <v>20</v>
      </c>
      <c r="F81" t="s">
        <v>21</v>
      </c>
      <c r="G81" t="s">
        <v>25</v>
      </c>
      <c r="H81">
        <v>1.7138462934718799E-2</v>
      </c>
      <c r="I81">
        <v>1.64609819645559E-2</v>
      </c>
      <c r="J81">
        <v>1.45173836361267E-2</v>
      </c>
      <c r="K81">
        <v>1.4941893364768701E-2</v>
      </c>
      <c r="L81">
        <v>1.0991524709153801E-2</v>
      </c>
      <c r="M81">
        <v>8.4790216071171792E-3</v>
      </c>
      <c r="N81">
        <v>1.84588338704951E-2</v>
      </c>
      <c r="O81">
        <v>1.17534895268949E-2</v>
      </c>
    </row>
    <row r="82" spans="1:15">
      <c r="A82">
        <v>8</v>
      </c>
      <c r="B82" t="s">
        <v>20</v>
      </c>
      <c r="C82" t="s">
        <v>21</v>
      </c>
      <c r="D82" t="s">
        <v>22</v>
      </c>
      <c r="E82" t="s">
        <v>20</v>
      </c>
      <c r="F82" t="s">
        <v>28</v>
      </c>
      <c r="G82" t="s">
        <v>25</v>
      </c>
      <c r="H82">
        <v>1.70447830984355E-2</v>
      </c>
      <c r="I82">
        <v>1.6495723536185398E-2</v>
      </c>
      <c r="J82">
        <v>1.45983475667041E-2</v>
      </c>
      <c r="K82">
        <v>1.4951958695989099E-2</v>
      </c>
      <c r="L82">
        <v>1.1102902633549599E-2</v>
      </c>
      <c r="M82">
        <v>8.7624143442017102E-3</v>
      </c>
      <c r="N82">
        <v>1.8600531443755501E-2</v>
      </c>
      <c r="O82">
        <v>1.1873762181510501E-2</v>
      </c>
    </row>
    <row r="83" spans="1:15">
      <c r="A83">
        <v>15</v>
      </c>
      <c r="B83" t="s">
        <v>20</v>
      </c>
      <c r="C83" t="s">
        <v>21</v>
      </c>
      <c r="D83" t="s">
        <v>22</v>
      </c>
      <c r="E83" t="s">
        <v>20</v>
      </c>
      <c r="F83" t="s">
        <v>29</v>
      </c>
      <c r="G83" t="s">
        <v>25</v>
      </c>
      <c r="H83">
        <v>2.5757360979392599E-3</v>
      </c>
      <c r="I83">
        <v>2.47412415642978E-3</v>
      </c>
      <c r="J83">
        <v>2.21458615773318E-3</v>
      </c>
      <c r="K83">
        <v>2.2500753392345799E-3</v>
      </c>
      <c r="L83">
        <v>1.6948801319810101E-3</v>
      </c>
      <c r="M83">
        <v>1.3417920136228601E-3</v>
      </c>
      <c r="N83">
        <v>2.7671629990776098E-3</v>
      </c>
      <c r="O83">
        <v>1.8223515131921E-3</v>
      </c>
    </row>
    <row r="84" spans="1:15">
      <c r="A84">
        <v>20</v>
      </c>
      <c r="B84" t="s">
        <v>20</v>
      </c>
      <c r="C84" t="s">
        <v>21</v>
      </c>
      <c r="D84" t="s">
        <v>22</v>
      </c>
      <c r="E84" t="s">
        <v>30</v>
      </c>
      <c r="F84" t="s">
        <v>21</v>
      </c>
      <c r="G84" t="s">
        <v>25</v>
      </c>
      <c r="H84">
        <v>1.74843662949213E-2</v>
      </c>
      <c r="I84">
        <v>1.68493510123933E-2</v>
      </c>
      <c r="J84">
        <v>1.4661700732352999E-2</v>
      </c>
      <c r="K84">
        <v>1.53170652715799E-2</v>
      </c>
      <c r="L84">
        <v>1.10259430626103E-2</v>
      </c>
      <c r="M84">
        <v>8.6371695342601692E-3</v>
      </c>
      <c r="N84">
        <v>1.8884892086330901E-2</v>
      </c>
      <c r="O84">
        <v>1.17580097640324E-2</v>
      </c>
    </row>
    <row r="85" spans="1:15">
      <c r="A85">
        <v>26</v>
      </c>
      <c r="B85" t="s">
        <v>20</v>
      </c>
      <c r="C85" t="s">
        <v>21</v>
      </c>
      <c r="D85" t="s">
        <v>22</v>
      </c>
      <c r="E85" t="s">
        <v>30</v>
      </c>
      <c r="F85" t="s">
        <v>28</v>
      </c>
      <c r="G85" t="s">
        <v>25</v>
      </c>
      <c r="H85">
        <v>1.74046504402347E-2</v>
      </c>
      <c r="I85">
        <v>1.6585084049671898E-2</v>
      </c>
      <c r="J85">
        <v>1.4728770348043299E-2</v>
      </c>
      <c r="K85">
        <v>1.50499257973241E-2</v>
      </c>
      <c r="L85">
        <v>1.1210761022241E-2</v>
      </c>
      <c r="M85">
        <v>8.8970560573665997E-3</v>
      </c>
      <c r="N85">
        <v>1.8628030751034801E-2</v>
      </c>
      <c r="O85">
        <v>1.1929134640417701E-2</v>
      </c>
    </row>
    <row r="86" spans="1:15">
      <c r="A86">
        <v>33</v>
      </c>
      <c r="B86" t="s">
        <v>20</v>
      </c>
      <c r="C86" t="s">
        <v>21</v>
      </c>
      <c r="D86" t="s">
        <v>22</v>
      </c>
      <c r="E86" t="s">
        <v>30</v>
      </c>
      <c r="F86" t="s">
        <v>29</v>
      </c>
      <c r="G86" t="s">
        <v>25</v>
      </c>
      <c r="H86">
        <v>2.9376939785790098E-3</v>
      </c>
      <c r="I86">
        <v>2.80751847877424E-3</v>
      </c>
      <c r="J86">
        <v>2.4716066241355699E-3</v>
      </c>
      <c r="K86">
        <v>2.5397903290715999E-3</v>
      </c>
      <c r="L86">
        <v>1.9247211602963501E-3</v>
      </c>
      <c r="M86">
        <v>1.4995738009512499E-3</v>
      </c>
      <c r="N86">
        <v>3.1624918427789698E-3</v>
      </c>
      <c r="O86">
        <v>1.99495300075981E-3</v>
      </c>
    </row>
    <row r="87" spans="1:15">
      <c r="A87">
        <v>104</v>
      </c>
      <c r="B87" t="s">
        <v>20</v>
      </c>
      <c r="C87" t="s">
        <v>21</v>
      </c>
      <c r="D87" t="s">
        <v>25</v>
      </c>
      <c r="E87" t="s">
        <v>20</v>
      </c>
      <c r="F87" t="s">
        <v>28</v>
      </c>
      <c r="G87" t="s">
        <v>22</v>
      </c>
      <c r="H87">
        <v>1.8472789974494301E-2</v>
      </c>
      <c r="I87">
        <v>1.7914762852641399E-2</v>
      </c>
      <c r="J87">
        <v>1.5739208434711299E-2</v>
      </c>
      <c r="K87">
        <v>1.64346926563993E-2</v>
      </c>
      <c r="L87">
        <v>1.1999348848416301E-2</v>
      </c>
      <c r="M87">
        <v>9.5727484806943392E-3</v>
      </c>
      <c r="N87">
        <v>1.99238206856138E-2</v>
      </c>
      <c r="O87">
        <v>1.2988091861796501E-2</v>
      </c>
    </row>
    <row r="88" spans="1:15">
      <c r="A88">
        <v>110</v>
      </c>
      <c r="B88" t="s">
        <v>20</v>
      </c>
      <c r="C88" t="s">
        <v>21</v>
      </c>
      <c r="D88" t="s">
        <v>25</v>
      </c>
      <c r="E88" t="s">
        <v>20</v>
      </c>
      <c r="F88" t="s">
        <v>29</v>
      </c>
      <c r="G88" t="s">
        <v>22</v>
      </c>
      <c r="H88">
        <v>0.55487681482811002</v>
      </c>
      <c r="I88">
        <v>0.53668101119990597</v>
      </c>
      <c r="J88">
        <v>0.46194778313011903</v>
      </c>
      <c r="K88">
        <v>0.48173429587037497</v>
      </c>
      <c r="L88">
        <v>0.35082661618476202</v>
      </c>
      <c r="M88">
        <v>0.26874616202030199</v>
      </c>
      <c r="N88">
        <v>0.61470846762379105</v>
      </c>
      <c r="O88">
        <v>0.37360447683228898</v>
      </c>
    </row>
    <row r="89" spans="1:15">
      <c r="A89">
        <v>116</v>
      </c>
      <c r="B89" t="s">
        <v>20</v>
      </c>
      <c r="C89" t="s">
        <v>21</v>
      </c>
      <c r="D89" t="s">
        <v>25</v>
      </c>
      <c r="E89" t="s">
        <v>30</v>
      </c>
      <c r="F89" t="s">
        <v>21</v>
      </c>
      <c r="G89" t="s">
        <v>22</v>
      </c>
      <c r="H89">
        <v>1.75258574060079E-2</v>
      </c>
      <c r="I89">
        <v>1.69877416467413E-2</v>
      </c>
      <c r="J89">
        <v>1.4964333125253601E-2</v>
      </c>
      <c r="K89">
        <v>1.56144132911022E-2</v>
      </c>
      <c r="L89">
        <v>1.13511506671493E-2</v>
      </c>
      <c r="M89">
        <v>8.9696953722194599E-3</v>
      </c>
      <c r="N89">
        <v>1.8751831233518899E-2</v>
      </c>
      <c r="O89">
        <v>1.22451426027665E-2</v>
      </c>
    </row>
    <row r="90" spans="1:15">
      <c r="A90">
        <v>122</v>
      </c>
      <c r="B90" t="s">
        <v>20</v>
      </c>
      <c r="C90" t="s">
        <v>21</v>
      </c>
      <c r="D90" t="s">
        <v>25</v>
      </c>
      <c r="E90" t="s">
        <v>30</v>
      </c>
      <c r="F90" t="s">
        <v>28</v>
      </c>
      <c r="G90" t="s">
        <v>22</v>
      </c>
      <c r="H90">
        <v>1.9029247208497298E-2</v>
      </c>
      <c r="I90">
        <v>1.8660063648199301E-2</v>
      </c>
      <c r="J90">
        <v>1.62998410232809E-2</v>
      </c>
      <c r="K90">
        <v>1.7243023249084902E-2</v>
      </c>
      <c r="L90">
        <v>1.2500715985738301E-2</v>
      </c>
      <c r="M90">
        <v>9.9237825466560008E-3</v>
      </c>
      <c r="N90">
        <v>2.0509815411661199E-2</v>
      </c>
      <c r="O90">
        <v>1.3519491643771E-2</v>
      </c>
    </row>
    <row r="91" spans="1:15">
      <c r="A91">
        <v>128</v>
      </c>
      <c r="B91" t="s">
        <v>20</v>
      </c>
      <c r="C91" t="s">
        <v>21</v>
      </c>
      <c r="D91" t="s">
        <v>25</v>
      </c>
      <c r="E91" t="s">
        <v>30</v>
      </c>
      <c r="F91" t="s">
        <v>29</v>
      </c>
      <c r="G91" t="s">
        <v>22</v>
      </c>
      <c r="H91">
        <v>0.66823947483895696</v>
      </c>
      <c r="I91">
        <v>0.64171347741649898</v>
      </c>
      <c r="J91">
        <v>0.54743398620990502</v>
      </c>
      <c r="K91">
        <v>0.56325630965874296</v>
      </c>
      <c r="L91">
        <v>0.42267381375148699</v>
      </c>
      <c r="M91">
        <v>0.32182719860387099</v>
      </c>
      <c r="N91">
        <v>0.760914151772634</v>
      </c>
      <c r="O91">
        <v>0.43429038388510399</v>
      </c>
    </row>
    <row r="92" spans="1:15">
      <c r="A92">
        <v>197</v>
      </c>
      <c r="B92" t="s">
        <v>20</v>
      </c>
      <c r="C92" t="s">
        <v>28</v>
      </c>
      <c r="D92" t="s">
        <v>22</v>
      </c>
      <c r="E92" t="s">
        <v>20</v>
      </c>
      <c r="F92" t="s">
        <v>28</v>
      </c>
      <c r="G92" t="s">
        <v>25</v>
      </c>
      <c r="H92">
        <v>1.8390138164349399E-2</v>
      </c>
      <c r="I92">
        <v>1.7986259096314301E-2</v>
      </c>
      <c r="J92">
        <v>1.5926420757922399E-2</v>
      </c>
      <c r="K92">
        <v>1.64856070696952E-2</v>
      </c>
      <c r="L92">
        <v>1.23954613268362E-2</v>
      </c>
      <c r="M92">
        <v>1.0102704347977999E-2</v>
      </c>
      <c r="N92">
        <v>2.0076764098021799E-2</v>
      </c>
      <c r="O92">
        <v>1.32152994606689E-2</v>
      </c>
    </row>
    <row r="93" spans="1:15">
      <c r="A93">
        <v>204</v>
      </c>
      <c r="B93" t="s">
        <v>20</v>
      </c>
      <c r="C93" t="s">
        <v>28</v>
      </c>
      <c r="D93" t="s">
        <v>22</v>
      </c>
      <c r="E93" t="s">
        <v>20</v>
      </c>
      <c r="F93" t="s">
        <v>29</v>
      </c>
      <c r="G93" t="s">
        <v>25</v>
      </c>
      <c r="H93">
        <v>2.7501019493526698E-3</v>
      </c>
      <c r="I93">
        <v>2.6738949931047399E-3</v>
      </c>
      <c r="J93">
        <v>2.3707185378546401E-3</v>
      </c>
      <c r="K93">
        <v>2.4404975813227901E-3</v>
      </c>
      <c r="L93">
        <v>1.8509204622447399E-3</v>
      </c>
      <c r="M93">
        <v>1.5001369389604699E-3</v>
      </c>
      <c r="N93">
        <v>2.9867791101155102E-3</v>
      </c>
      <c r="O93">
        <v>1.96576938232048E-3</v>
      </c>
    </row>
    <row r="94" spans="1:15">
      <c r="A94">
        <v>209</v>
      </c>
      <c r="B94" t="s">
        <v>20</v>
      </c>
      <c r="C94" t="s">
        <v>28</v>
      </c>
      <c r="D94" t="s">
        <v>22</v>
      </c>
      <c r="E94" t="s">
        <v>30</v>
      </c>
      <c r="F94" t="s">
        <v>21</v>
      </c>
      <c r="G94" t="s">
        <v>25</v>
      </c>
      <c r="H94">
        <v>1.87774593502073E-2</v>
      </c>
      <c r="I94">
        <v>1.8340426624701801E-2</v>
      </c>
      <c r="J94">
        <v>1.5898121084210799E-2</v>
      </c>
      <c r="K94">
        <v>1.6862628147265898E-2</v>
      </c>
      <c r="L94">
        <v>1.2240601802177301E-2</v>
      </c>
      <c r="M94">
        <v>9.8290561400155695E-3</v>
      </c>
      <c r="N94">
        <v>2.0383693045563499E-2</v>
      </c>
      <c r="O94">
        <v>1.3033972170223999E-2</v>
      </c>
    </row>
    <row r="95" spans="1:15">
      <c r="A95">
        <v>215</v>
      </c>
      <c r="B95" t="s">
        <v>20</v>
      </c>
      <c r="C95" t="s">
        <v>28</v>
      </c>
      <c r="D95" t="s">
        <v>22</v>
      </c>
      <c r="E95" t="s">
        <v>30</v>
      </c>
      <c r="F95" t="s">
        <v>28</v>
      </c>
      <c r="G95" t="s">
        <v>25</v>
      </c>
      <c r="H95">
        <v>1.86277837216169E-2</v>
      </c>
      <c r="I95">
        <v>1.80889415668226E-2</v>
      </c>
      <c r="J95">
        <v>1.5899626506881301E-2</v>
      </c>
      <c r="K95">
        <v>1.6618340728379099E-2</v>
      </c>
      <c r="L95">
        <v>1.23893410305551E-2</v>
      </c>
      <c r="M95">
        <v>1.0034039722666499E-2</v>
      </c>
      <c r="N95">
        <v>2.0106445890005899E-2</v>
      </c>
      <c r="O95">
        <v>1.31660346935449E-2</v>
      </c>
    </row>
    <row r="96" spans="1:15">
      <c r="A96">
        <v>222</v>
      </c>
      <c r="B96" t="s">
        <v>20</v>
      </c>
      <c r="C96" t="s">
        <v>28</v>
      </c>
      <c r="D96" t="s">
        <v>22</v>
      </c>
      <c r="E96" t="s">
        <v>30</v>
      </c>
      <c r="F96" t="s">
        <v>29</v>
      </c>
      <c r="G96" t="s">
        <v>25</v>
      </c>
      <c r="H96">
        <v>3.1477620906181702E-3</v>
      </c>
      <c r="I96">
        <v>3.0508254717360899E-3</v>
      </c>
      <c r="J96">
        <v>2.6768406093150101E-3</v>
      </c>
      <c r="K96">
        <v>2.7819911637504799E-3</v>
      </c>
      <c r="L96">
        <v>2.1106574554241499E-3</v>
      </c>
      <c r="M96">
        <v>1.69570919870321E-3</v>
      </c>
      <c r="N96">
        <v>3.4134832588725399E-3</v>
      </c>
      <c r="O96">
        <v>2.1719575531985199E-3</v>
      </c>
    </row>
    <row r="97" spans="1:15">
      <c r="A97">
        <v>281</v>
      </c>
      <c r="B97" t="s">
        <v>20</v>
      </c>
      <c r="C97" t="s">
        <v>28</v>
      </c>
      <c r="D97" t="s">
        <v>25</v>
      </c>
      <c r="E97" t="s">
        <v>20</v>
      </c>
      <c r="F97" t="s">
        <v>29</v>
      </c>
      <c r="G97" t="s">
        <v>22</v>
      </c>
      <c r="H97">
        <v>0.51495789011746995</v>
      </c>
      <c r="I97">
        <v>0.49866306503093999</v>
      </c>
      <c r="J97">
        <v>0.43005339570176598</v>
      </c>
      <c r="K97">
        <v>0.42540386309870099</v>
      </c>
      <c r="L97">
        <v>0.31633122937061098</v>
      </c>
      <c r="M97">
        <v>0.23254034804955401</v>
      </c>
      <c r="N97">
        <v>0.61544634616907201</v>
      </c>
      <c r="O97">
        <v>0.32503175474553903</v>
      </c>
    </row>
    <row r="98" spans="1:15">
      <c r="A98">
        <v>287</v>
      </c>
      <c r="B98" t="s">
        <v>20</v>
      </c>
      <c r="C98" t="s">
        <v>28</v>
      </c>
      <c r="D98" t="s">
        <v>25</v>
      </c>
      <c r="E98" t="s">
        <v>30</v>
      </c>
      <c r="F98" t="s">
        <v>21</v>
      </c>
      <c r="G98" t="s">
        <v>22</v>
      </c>
      <c r="H98">
        <v>1.7485463178781298E-2</v>
      </c>
      <c r="I98">
        <v>1.7051723490790201E-2</v>
      </c>
      <c r="J98">
        <v>1.48574502438067E-2</v>
      </c>
      <c r="K98">
        <v>1.5668108238836399E-2</v>
      </c>
      <c r="L98">
        <v>1.1397963260996799E-2</v>
      </c>
      <c r="M98">
        <v>9.0187333374364392E-3</v>
      </c>
      <c r="N98">
        <v>1.8895777974608799E-2</v>
      </c>
      <c r="O98">
        <v>1.2109063450934401E-2</v>
      </c>
    </row>
    <row r="99" spans="1:15">
      <c r="A99">
        <v>293</v>
      </c>
      <c r="B99" t="s">
        <v>20</v>
      </c>
      <c r="C99" t="s">
        <v>28</v>
      </c>
      <c r="D99" t="s">
        <v>25</v>
      </c>
      <c r="E99" t="s">
        <v>30</v>
      </c>
      <c r="F99" t="s">
        <v>28</v>
      </c>
      <c r="G99" t="s">
        <v>22</v>
      </c>
      <c r="H99">
        <v>1.8933406950948001E-2</v>
      </c>
      <c r="I99">
        <v>1.8607577323943001E-2</v>
      </c>
      <c r="J99">
        <v>1.6211024949532901E-2</v>
      </c>
      <c r="K99">
        <v>1.7121789498483898E-2</v>
      </c>
      <c r="L99">
        <v>1.2741943404859599E-2</v>
      </c>
      <c r="M99">
        <v>1.04094687566863E-2</v>
      </c>
      <c r="N99">
        <v>2.0667257159728301E-2</v>
      </c>
      <c r="O99">
        <v>1.34640007660616E-2</v>
      </c>
    </row>
    <row r="100" spans="1:15">
      <c r="A100">
        <v>299</v>
      </c>
      <c r="B100" t="s">
        <v>20</v>
      </c>
      <c r="C100" t="s">
        <v>28</v>
      </c>
      <c r="D100" t="s">
        <v>25</v>
      </c>
      <c r="E100" t="s">
        <v>30</v>
      </c>
      <c r="F100" t="s">
        <v>29</v>
      </c>
      <c r="G100" t="s">
        <v>22</v>
      </c>
      <c r="H100">
        <v>0.61780065455318101</v>
      </c>
      <c r="I100">
        <v>0.59193704368894196</v>
      </c>
      <c r="J100">
        <v>0.50839424052399496</v>
      </c>
      <c r="K100">
        <v>0.496021302127647</v>
      </c>
      <c r="L100">
        <v>0.38013857323148897</v>
      </c>
      <c r="M100">
        <v>0.28063148281200201</v>
      </c>
      <c r="N100">
        <v>0.75316946732768097</v>
      </c>
      <c r="O100">
        <v>0.37711655548379203</v>
      </c>
    </row>
    <row r="101" spans="1:15">
      <c r="A101">
        <v>357</v>
      </c>
      <c r="B101" t="s">
        <v>20</v>
      </c>
      <c r="C101" t="s">
        <v>29</v>
      </c>
      <c r="D101" t="s">
        <v>22</v>
      </c>
      <c r="E101" t="s">
        <v>20</v>
      </c>
      <c r="F101" t="s">
        <v>29</v>
      </c>
      <c r="G101" t="s">
        <v>25</v>
      </c>
      <c r="H101">
        <v>8.4929475338376803E-2</v>
      </c>
      <c r="I101">
        <v>8.3279556999122303E-2</v>
      </c>
      <c r="J101">
        <v>7.0115678980348803E-2</v>
      </c>
      <c r="K101">
        <v>7.6576411675880501E-2</v>
      </c>
      <c r="L101">
        <v>5.6675651915808797E-2</v>
      </c>
      <c r="M101">
        <v>4.5686239193096799E-2</v>
      </c>
      <c r="N101">
        <v>9.2150920191505198E-2</v>
      </c>
      <c r="O101">
        <v>5.8191586951027399E-2</v>
      </c>
    </row>
    <row r="102" spans="1:15">
      <c r="A102">
        <v>362</v>
      </c>
      <c r="B102" t="s">
        <v>20</v>
      </c>
      <c r="C102" t="s">
        <v>29</v>
      </c>
      <c r="D102" t="s">
        <v>22</v>
      </c>
      <c r="E102" t="s">
        <v>30</v>
      </c>
      <c r="F102" t="s">
        <v>21</v>
      </c>
      <c r="G102" t="s">
        <v>25</v>
      </c>
      <c r="H102">
        <v>0.56413237039792097</v>
      </c>
      <c r="I102">
        <v>0.54915976508640496</v>
      </c>
      <c r="J102">
        <v>0.46674874559978202</v>
      </c>
      <c r="K102">
        <v>0.49281295784407902</v>
      </c>
      <c r="L102">
        <v>0.35441465041394599</v>
      </c>
      <c r="M102">
        <v>0.27058504732448702</v>
      </c>
      <c r="N102">
        <v>0.62889688249400399</v>
      </c>
      <c r="O102">
        <v>0.37560893644655002</v>
      </c>
    </row>
    <row r="103" spans="1:15">
      <c r="A103">
        <v>368</v>
      </c>
      <c r="B103" t="s">
        <v>20</v>
      </c>
      <c r="C103" t="s">
        <v>29</v>
      </c>
      <c r="D103" t="s">
        <v>22</v>
      </c>
      <c r="E103" t="s">
        <v>30</v>
      </c>
      <c r="F103" t="s">
        <v>28</v>
      </c>
      <c r="G103" t="s">
        <v>25</v>
      </c>
      <c r="H103">
        <v>0.55954109259337104</v>
      </c>
      <c r="I103">
        <v>0.54256086432156103</v>
      </c>
      <c r="J103">
        <v>0.46367371552562803</v>
      </c>
      <c r="K103">
        <v>0.48739645252800101</v>
      </c>
      <c r="L103">
        <v>0.35182338411002201</v>
      </c>
      <c r="M103">
        <v>0.269374978448921</v>
      </c>
      <c r="N103">
        <v>0.62034299231224099</v>
      </c>
      <c r="O103">
        <v>0.37313009455061602</v>
      </c>
    </row>
    <row r="104" spans="1:15">
      <c r="A104">
        <v>375</v>
      </c>
      <c r="B104" t="s">
        <v>20</v>
      </c>
      <c r="C104" t="s">
        <v>29</v>
      </c>
      <c r="D104" t="s">
        <v>22</v>
      </c>
      <c r="E104" t="s">
        <v>30</v>
      </c>
      <c r="F104" t="s">
        <v>29</v>
      </c>
      <c r="G104" t="s">
        <v>25</v>
      </c>
      <c r="H104">
        <v>9.6569017065856605E-2</v>
      </c>
      <c r="I104">
        <v>9.4416447286748403E-2</v>
      </c>
      <c r="J104">
        <v>7.9406293530571895E-2</v>
      </c>
      <c r="K104">
        <v>8.6307126218526195E-2</v>
      </c>
      <c r="L104">
        <v>6.4271997144802695E-2</v>
      </c>
      <c r="M104">
        <v>5.1660096330386998E-2</v>
      </c>
      <c r="N104">
        <v>0.105315998192861</v>
      </c>
      <c r="O104">
        <v>6.5348616776789797E-2</v>
      </c>
    </row>
    <row r="105" spans="1:15">
      <c r="A105">
        <v>441</v>
      </c>
      <c r="B105" t="s">
        <v>20</v>
      </c>
      <c r="C105" t="s">
        <v>29</v>
      </c>
      <c r="D105" t="s">
        <v>25</v>
      </c>
      <c r="E105" t="s">
        <v>30</v>
      </c>
      <c r="F105" t="s">
        <v>21</v>
      </c>
      <c r="G105" t="s">
        <v>22</v>
      </c>
      <c r="H105">
        <v>2.6259868230796499E-3</v>
      </c>
      <c r="I105">
        <v>2.54515989074718E-3</v>
      </c>
      <c r="J105">
        <v>2.2626418253367301E-3</v>
      </c>
      <c r="K105">
        <v>2.3397336634203101E-3</v>
      </c>
      <c r="L105">
        <v>1.7380167803607001E-3</v>
      </c>
      <c r="M105">
        <v>1.3878147960484099E-3</v>
      </c>
      <c r="N105">
        <v>2.8110862212851898E-3</v>
      </c>
      <c r="O105">
        <v>1.8787876673723399E-3</v>
      </c>
    </row>
    <row r="106" spans="1:15">
      <c r="A106">
        <v>447</v>
      </c>
      <c r="B106" t="s">
        <v>20</v>
      </c>
      <c r="C106" t="s">
        <v>29</v>
      </c>
      <c r="D106" t="s">
        <v>25</v>
      </c>
      <c r="E106" t="s">
        <v>30</v>
      </c>
      <c r="F106" t="s">
        <v>28</v>
      </c>
      <c r="G106" t="s">
        <v>22</v>
      </c>
      <c r="H106">
        <v>2.8352073218636401E-3</v>
      </c>
      <c r="I106">
        <v>2.7929941391228101E-3</v>
      </c>
      <c r="J106">
        <v>2.4310961262435401E-3</v>
      </c>
      <c r="K106">
        <v>2.5783270106216499E-3</v>
      </c>
      <c r="L106">
        <v>1.89360053069585E-3</v>
      </c>
      <c r="M106">
        <v>1.5157495775601499E-3</v>
      </c>
      <c r="N106">
        <v>3.0746255545306802E-3</v>
      </c>
      <c r="O106">
        <v>2.0243720556634799E-3</v>
      </c>
    </row>
    <row r="107" spans="1:15">
      <c r="A107">
        <v>453</v>
      </c>
      <c r="B107" t="s">
        <v>20</v>
      </c>
      <c r="C107" t="s">
        <v>29</v>
      </c>
      <c r="D107" t="s">
        <v>25</v>
      </c>
      <c r="E107" t="s">
        <v>30</v>
      </c>
      <c r="F107" t="s">
        <v>29</v>
      </c>
      <c r="G107" t="s">
        <v>22</v>
      </c>
      <c r="H107">
        <v>0.104667828314096</v>
      </c>
      <c r="I107">
        <v>0.10203488391197101</v>
      </c>
      <c r="J107">
        <v>8.7306286690133794E-2</v>
      </c>
      <c r="K107">
        <v>9.3090764552500899E-2</v>
      </c>
      <c r="L107">
        <v>7.1469591319538506E-2</v>
      </c>
      <c r="M107">
        <v>5.7737946027874701E-2</v>
      </c>
      <c r="N107">
        <v>0.114068608073088</v>
      </c>
      <c r="O107">
        <v>7.3366444607862E-2</v>
      </c>
    </row>
    <row r="108" spans="1:15">
      <c r="A108">
        <v>479</v>
      </c>
      <c r="B108" t="s">
        <v>30</v>
      </c>
      <c r="C108" t="s">
        <v>21</v>
      </c>
      <c r="D108" t="s">
        <v>22</v>
      </c>
      <c r="E108" t="s">
        <v>30</v>
      </c>
      <c r="F108" t="s">
        <v>21</v>
      </c>
      <c r="G108" t="s">
        <v>25</v>
      </c>
      <c r="H108">
        <v>1.7923946129838199E-2</v>
      </c>
      <c r="I108">
        <v>1.74574954344234E-2</v>
      </c>
      <c r="J108">
        <v>1.5194556636185901E-2</v>
      </c>
      <c r="K108">
        <v>1.6113627859708001E-2</v>
      </c>
      <c r="L108">
        <v>1.1636047967559101E-2</v>
      </c>
      <c r="M108">
        <v>9.3046303277414394E-3</v>
      </c>
      <c r="N108">
        <v>1.9184652278177401E-2</v>
      </c>
      <c r="O108">
        <v>1.2405707504848699E-2</v>
      </c>
    </row>
    <row r="109" spans="1:15">
      <c r="A109">
        <v>485</v>
      </c>
      <c r="B109" t="s">
        <v>30</v>
      </c>
      <c r="C109" t="s">
        <v>21</v>
      </c>
      <c r="D109" t="s">
        <v>22</v>
      </c>
      <c r="E109" t="s">
        <v>30</v>
      </c>
      <c r="F109" t="s">
        <v>28</v>
      </c>
      <c r="G109" t="s">
        <v>25</v>
      </c>
      <c r="H109">
        <v>1.78447418988892E-2</v>
      </c>
      <c r="I109">
        <v>1.7242126861287101E-2</v>
      </c>
      <c r="J109">
        <v>1.5333725634656801E-2</v>
      </c>
      <c r="K109">
        <v>1.5927610323450001E-2</v>
      </c>
      <c r="L109">
        <v>1.17253567980912E-2</v>
      </c>
      <c r="M109">
        <v>9.5015131421002392E-3</v>
      </c>
      <c r="N109">
        <v>1.8923713778829E-2</v>
      </c>
      <c r="O109">
        <v>1.2676502982306799E-2</v>
      </c>
    </row>
    <row r="110" spans="1:15">
      <c r="A110">
        <v>492</v>
      </c>
      <c r="B110" t="s">
        <v>30</v>
      </c>
      <c r="C110" t="s">
        <v>21</v>
      </c>
      <c r="D110" t="s">
        <v>22</v>
      </c>
      <c r="E110" t="s">
        <v>30</v>
      </c>
      <c r="F110" t="s">
        <v>29</v>
      </c>
      <c r="G110" t="s">
        <v>25</v>
      </c>
      <c r="H110">
        <v>3.00758858536766E-3</v>
      </c>
      <c r="I110">
        <v>2.8973606418076798E-3</v>
      </c>
      <c r="J110">
        <v>2.54397020976948E-3</v>
      </c>
      <c r="K110">
        <v>2.6568926507970301E-3</v>
      </c>
      <c r="L110">
        <v>1.9794489115163398E-3</v>
      </c>
      <c r="M110">
        <v>1.5707747904416399E-3</v>
      </c>
      <c r="N110">
        <v>3.21269012599769E-3</v>
      </c>
      <c r="O110">
        <v>2.0866230961997401E-3</v>
      </c>
    </row>
    <row r="111" spans="1:15">
      <c r="A111">
        <v>527</v>
      </c>
      <c r="B111" t="s">
        <v>30</v>
      </c>
      <c r="C111" t="s">
        <v>21</v>
      </c>
      <c r="D111" t="s">
        <v>25</v>
      </c>
      <c r="E111" t="s">
        <v>30</v>
      </c>
      <c r="F111" t="s">
        <v>28</v>
      </c>
      <c r="G111" t="s">
        <v>22</v>
      </c>
      <c r="H111">
        <v>1.9426133060183402E-2</v>
      </c>
      <c r="I111">
        <v>1.9103043292725701E-2</v>
      </c>
      <c r="J111">
        <v>1.6547784505137601E-2</v>
      </c>
      <c r="K111">
        <v>1.76953816387612E-2</v>
      </c>
      <c r="L111">
        <v>1.2927780576772701E-2</v>
      </c>
      <c r="M111">
        <v>1.04073698195954E-2</v>
      </c>
      <c r="N111">
        <v>2.0983213429256499E-2</v>
      </c>
      <c r="O111">
        <v>1.37470367116618E-2</v>
      </c>
    </row>
    <row r="112" spans="1:15">
      <c r="A112">
        <v>533</v>
      </c>
      <c r="B112" t="s">
        <v>30</v>
      </c>
      <c r="C112" t="s">
        <v>21</v>
      </c>
      <c r="D112" t="s">
        <v>25</v>
      </c>
      <c r="E112" t="s">
        <v>30</v>
      </c>
      <c r="F112" t="s">
        <v>29</v>
      </c>
      <c r="G112" t="s">
        <v>22</v>
      </c>
      <c r="H112">
        <v>0.68025423378363303</v>
      </c>
      <c r="I112">
        <v>0.65932075676231805</v>
      </c>
      <c r="J112">
        <v>0.55580284320909401</v>
      </c>
      <c r="K112">
        <v>0.580993450386179</v>
      </c>
      <c r="L112">
        <v>0.43127354646959198</v>
      </c>
      <c r="M112">
        <v>0.33118883607741101</v>
      </c>
      <c r="N112">
        <v>0.77847721822541904</v>
      </c>
      <c r="O112">
        <v>0.44012908724941502</v>
      </c>
    </row>
    <row r="113" spans="1:15">
      <c r="A113">
        <v>566</v>
      </c>
      <c r="B113" t="s">
        <v>30</v>
      </c>
      <c r="C113" t="s">
        <v>28</v>
      </c>
      <c r="D113" t="s">
        <v>22</v>
      </c>
      <c r="E113" t="s">
        <v>30</v>
      </c>
      <c r="F113" t="s">
        <v>28</v>
      </c>
      <c r="G113" t="s">
        <v>25</v>
      </c>
      <c r="H113">
        <v>1.92709728064481E-2</v>
      </c>
      <c r="I113">
        <v>1.8888306264481201E-2</v>
      </c>
      <c r="J113">
        <v>1.6566406441444002E-2</v>
      </c>
      <c r="K113">
        <v>1.7521085738734E-2</v>
      </c>
      <c r="L113">
        <v>1.3052723388525899E-2</v>
      </c>
      <c r="M113">
        <v>1.06765827391983E-2</v>
      </c>
      <c r="N113">
        <v>2.0697811945594301E-2</v>
      </c>
      <c r="O113">
        <v>1.38280606340377E-2</v>
      </c>
    </row>
    <row r="114" spans="1:15">
      <c r="A114">
        <v>573</v>
      </c>
      <c r="B114" t="s">
        <v>30</v>
      </c>
      <c r="C114" t="s">
        <v>28</v>
      </c>
      <c r="D114" t="s">
        <v>22</v>
      </c>
      <c r="E114" t="s">
        <v>30</v>
      </c>
      <c r="F114" t="s">
        <v>29</v>
      </c>
      <c r="G114" t="s">
        <v>25</v>
      </c>
      <c r="H114">
        <v>3.2473273044089598E-3</v>
      </c>
      <c r="I114">
        <v>3.1957583055086001E-3</v>
      </c>
      <c r="J114">
        <v>2.7840191856639599E-3</v>
      </c>
      <c r="K114">
        <v>2.9538479859215201E-3</v>
      </c>
      <c r="L114">
        <v>2.18415960426936E-3</v>
      </c>
      <c r="M114">
        <v>1.74963460296794E-3</v>
      </c>
      <c r="N114">
        <v>3.5138798253099698E-3</v>
      </c>
      <c r="O114">
        <v>2.3130943144749399E-3</v>
      </c>
    </row>
    <row r="115" spans="1:15">
      <c r="A115">
        <v>596</v>
      </c>
      <c r="B115" t="s">
        <v>30</v>
      </c>
      <c r="C115" t="s">
        <v>28</v>
      </c>
      <c r="D115" t="s">
        <v>25</v>
      </c>
      <c r="E115" t="s">
        <v>30</v>
      </c>
      <c r="F115" t="s">
        <v>29</v>
      </c>
      <c r="G115" t="s">
        <v>22</v>
      </c>
      <c r="H115">
        <v>0.67334136434708702</v>
      </c>
      <c r="I115">
        <v>0.64967794524491296</v>
      </c>
      <c r="J115">
        <v>0.55053055838859699</v>
      </c>
      <c r="K115">
        <v>0.57159185259023304</v>
      </c>
      <c r="L115">
        <v>0.428770645361434</v>
      </c>
      <c r="M115">
        <v>0.33071664895084002</v>
      </c>
      <c r="N115">
        <v>0.76788882318154905</v>
      </c>
      <c r="O115">
        <v>0.43551374753940703</v>
      </c>
    </row>
    <row r="116" spans="1:15">
      <c r="A116">
        <v>618</v>
      </c>
      <c r="B116" t="s">
        <v>30</v>
      </c>
      <c r="C116" t="s">
        <v>29</v>
      </c>
      <c r="D116" t="s">
        <v>22</v>
      </c>
      <c r="E116" t="s">
        <v>30</v>
      </c>
      <c r="F116" t="s">
        <v>29</v>
      </c>
      <c r="G116" t="s">
        <v>25</v>
      </c>
      <c r="H116">
        <v>0.118817835739462</v>
      </c>
      <c r="I116">
        <v>0.116046638293299</v>
      </c>
      <c r="J116">
        <v>9.8508444693613598E-2</v>
      </c>
      <c r="K116">
        <v>0.10546154078372801</v>
      </c>
      <c r="L116">
        <v>8.1612565431535694E-2</v>
      </c>
      <c r="M116">
        <v>6.5692152793258199E-2</v>
      </c>
      <c r="N116">
        <v>0.13036494151899999</v>
      </c>
      <c r="O116">
        <v>8.1982437547702E-2</v>
      </c>
    </row>
    <row r="118" spans="1:15">
      <c r="A118" t="s">
        <v>26</v>
      </c>
    </row>
    <row r="119" spans="1:15">
      <c r="A119" t="s">
        <v>23</v>
      </c>
      <c r="B119" t="s">
        <v>16</v>
      </c>
      <c r="E119" t="s">
        <v>18</v>
      </c>
      <c r="H119" t="s">
        <v>0</v>
      </c>
      <c r="I119" t="s">
        <v>2</v>
      </c>
      <c r="J119" t="s">
        <v>4</v>
      </c>
      <c r="K119" t="s">
        <v>6</v>
      </c>
      <c r="L119" t="s">
        <v>8</v>
      </c>
      <c r="M119" t="s">
        <v>10</v>
      </c>
      <c r="N119" t="s">
        <v>12</v>
      </c>
      <c r="O119" t="s">
        <v>14</v>
      </c>
    </row>
    <row r="120" spans="1:15">
      <c r="A120">
        <v>37</v>
      </c>
      <c r="B120" t="s">
        <v>20</v>
      </c>
      <c r="C120" t="s">
        <v>21</v>
      </c>
      <c r="D120" t="s">
        <v>23</v>
      </c>
      <c r="E120" t="s">
        <v>20</v>
      </c>
      <c r="F120" t="s">
        <v>21</v>
      </c>
      <c r="G120" t="s">
        <v>26</v>
      </c>
      <c r="H120">
        <v>1.85567935052432E-2</v>
      </c>
      <c r="I120">
        <v>1.7757470273409699E-2</v>
      </c>
      <c r="J120">
        <v>1.5740530681952102E-2</v>
      </c>
      <c r="K120">
        <v>1.61378724362214E-2</v>
      </c>
      <c r="L120">
        <v>1.1364525172190399E-2</v>
      </c>
      <c r="M120">
        <v>8.6293053094297998E-3</v>
      </c>
      <c r="N120">
        <v>1.98872068863164E-2</v>
      </c>
      <c r="O120">
        <v>1.2720777709951199E-2</v>
      </c>
    </row>
    <row r="121" spans="1:15">
      <c r="A121">
        <v>43</v>
      </c>
      <c r="B121" t="s">
        <v>20</v>
      </c>
      <c r="C121" t="s">
        <v>21</v>
      </c>
      <c r="D121" t="s">
        <v>23</v>
      </c>
      <c r="E121" t="s">
        <v>20</v>
      </c>
      <c r="F121" t="s">
        <v>28</v>
      </c>
      <c r="G121" t="s">
        <v>26</v>
      </c>
      <c r="H121">
        <v>1.8461526044778898E-2</v>
      </c>
      <c r="I121">
        <v>1.7510919802014399E-2</v>
      </c>
      <c r="J121">
        <v>1.5594688521133101E-2</v>
      </c>
      <c r="K121">
        <v>1.56552670534152E-2</v>
      </c>
      <c r="L121">
        <v>1.1356159417648301E-2</v>
      </c>
      <c r="M121">
        <v>8.6941495820721301E-3</v>
      </c>
      <c r="N121">
        <v>2.0077914294276199E-2</v>
      </c>
      <c r="O121">
        <v>1.2409106209038E-2</v>
      </c>
    </row>
    <row r="122" spans="1:15">
      <c r="A122">
        <v>50</v>
      </c>
      <c r="B122" t="s">
        <v>20</v>
      </c>
      <c r="C122" t="s">
        <v>21</v>
      </c>
      <c r="D122" t="s">
        <v>23</v>
      </c>
      <c r="E122" t="s">
        <v>20</v>
      </c>
      <c r="F122" t="s">
        <v>29</v>
      </c>
      <c r="G122" t="s">
        <v>26</v>
      </c>
      <c r="H122">
        <v>2.7959089083374401E-3</v>
      </c>
      <c r="I122">
        <v>2.69521115471116E-3</v>
      </c>
      <c r="J122">
        <v>2.38827315227967E-3</v>
      </c>
      <c r="K122">
        <v>2.4541164674832302E-3</v>
      </c>
      <c r="L122">
        <v>1.7659769214269201E-3</v>
      </c>
      <c r="M122">
        <v>1.3901797412496E-3</v>
      </c>
      <c r="N122">
        <v>3.0136739834472799E-3</v>
      </c>
      <c r="O122">
        <v>1.9562071306629498E-3</v>
      </c>
    </row>
    <row r="123" spans="1:15">
      <c r="A123">
        <v>55</v>
      </c>
      <c r="B123" t="s">
        <v>20</v>
      </c>
      <c r="C123" t="s">
        <v>21</v>
      </c>
      <c r="D123" t="s">
        <v>23</v>
      </c>
      <c r="E123" t="s">
        <v>30</v>
      </c>
      <c r="F123" t="s">
        <v>21</v>
      </c>
      <c r="G123" t="s">
        <v>26</v>
      </c>
      <c r="H123">
        <v>1.8929762958118799E-2</v>
      </c>
      <c r="I123">
        <v>1.8089472329145501E-2</v>
      </c>
      <c r="J123">
        <v>1.6046944721615601E-2</v>
      </c>
      <c r="K123">
        <v>1.6399242484401E-2</v>
      </c>
      <c r="L123">
        <v>1.16950305772395E-2</v>
      </c>
      <c r="M123">
        <v>8.9720541537978496E-3</v>
      </c>
      <c r="N123">
        <v>2.0333839150227601E-2</v>
      </c>
      <c r="O123">
        <v>1.2954728119420099E-2</v>
      </c>
    </row>
    <row r="124" spans="1:15">
      <c r="A124">
        <v>61</v>
      </c>
      <c r="B124" t="s">
        <v>20</v>
      </c>
      <c r="C124" t="s">
        <v>21</v>
      </c>
      <c r="D124" t="s">
        <v>23</v>
      </c>
      <c r="E124" t="s">
        <v>30</v>
      </c>
      <c r="F124" t="s">
        <v>28</v>
      </c>
      <c r="G124" t="s">
        <v>26</v>
      </c>
      <c r="H124">
        <v>1.8894765847528E-2</v>
      </c>
      <c r="I124">
        <v>1.8032168181956701E-2</v>
      </c>
      <c r="J124">
        <v>1.6077780856228099E-2</v>
      </c>
      <c r="K124">
        <v>1.6441866419158901E-2</v>
      </c>
      <c r="L124">
        <v>1.1765908025407799E-2</v>
      </c>
      <c r="M124">
        <v>9.1008305715756799E-3</v>
      </c>
      <c r="N124">
        <v>2.0114079855899102E-2</v>
      </c>
      <c r="O124">
        <v>1.3263611497985699E-2</v>
      </c>
    </row>
    <row r="125" spans="1:15">
      <c r="A125">
        <v>68</v>
      </c>
      <c r="B125" t="s">
        <v>20</v>
      </c>
      <c r="C125" t="s">
        <v>21</v>
      </c>
      <c r="D125" t="s">
        <v>23</v>
      </c>
      <c r="E125" t="s">
        <v>30</v>
      </c>
      <c r="F125" t="s">
        <v>29</v>
      </c>
      <c r="G125" t="s">
        <v>26</v>
      </c>
      <c r="H125">
        <v>3.1879540379308102E-3</v>
      </c>
      <c r="I125">
        <v>3.0685348453540198E-3</v>
      </c>
      <c r="J125">
        <v>2.6912905404208E-3</v>
      </c>
      <c r="K125">
        <v>2.7882191937113701E-3</v>
      </c>
      <c r="L125">
        <v>2.0101381974298601E-3</v>
      </c>
      <c r="M125">
        <v>1.56895948483363E-3</v>
      </c>
      <c r="N125">
        <v>3.4394250513346998E-3</v>
      </c>
      <c r="O125">
        <v>2.2001331929179398E-3</v>
      </c>
    </row>
    <row r="126" spans="1:15">
      <c r="A126">
        <v>136</v>
      </c>
      <c r="B126" t="s">
        <v>20</v>
      </c>
      <c r="C126" t="s">
        <v>21</v>
      </c>
      <c r="D126" t="s">
        <v>26</v>
      </c>
      <c r="E126" t="s">
        <v>20</v>
      </c>
      <c r="F126" t="s">
        <v>28</v>
      </c>
      <c r="G126" t="s">
        <v>23</v>
      </c>
      <c r="H126">
        <v>2.0672310099543598E-2</v>
      </c>
      <c r="I126">
        <v>1.98849403197023E-2</v>
      </c>
      <c r="J126">
        <v>1.7798454413430299E-2</v>
      </c>
      <c r="K126">
        <v>1.81358429286692E-2</v>
      </c>
      <c r="L126">
        <v>1.3144551193376E-2</v>
      </c>
      <c r="M126">
        <v>1.0290605121229E-2</v>
      </c>
      <c r="N126">
        <v>2.2261798753339199E-2</v>
      </c>
      <c r="O126">
        <v>1.46260053749519E-2</v>
      </c>
    </row>
    <row r="127" spans="1:15">
      <c r="A127">
        <v>142</v>
      </c>
      <c r="B127" t="s">
        <v>20</v>
      </c>
      <c r="C127" t="s">
        <v>21</v>
      </c>
      <c r="D127" t="s">
        <v>26</v>
      </c>
      <c r="E127" t="s">
        <v>20</v>
      </c>
      <c r="F127" t="s">
        <v>29</v>
      </c>
      <c r="G127" t="s">
        <v>23</v>
      </c>
      <c r="H127">
        <v>3.0330169562450701E-2</v>
      </c>
      <c r="I127">
        <v>2.93852709396536E-2</v>
      </c>
      <c r="J127">
        <v>2.59124461873457E-2</v>
      </c>
      <c r="K127">
        <v>2.6739899345453299E-2</v>
      </c>
      <c r="L127">
        <v>1.9593339211264198E-2</v>
      </c>
      <c r="M127">
        <v>1.52256055233299E-2</v>
      </c>
      <c r="N127">
        <v>3.2947462154942098E-2</v>
      </c>
      <c r="O127">
        <v>2.1378313402637801E-2</v>
      </c>
    </row>
    <row r="128" spans="1:15">
      <c r="A128">
        <v>148</v>
      </c>
      <c r="B128" t="s">
        <v>20</v>
      </c>
      <c r="C128" t="s">
        <v>21</v>
      </c>
      <c r="D128" t="s">
        <v>26</v>
      </c>
      <c r="E128" t="s">
        <v>30</v>
      </c>
      <c r="F128" t="s">
        <v>21</v>
      </c>
      <c r="G128" t="s">
        <v>23</v>
      </c>
      <c r="H128">
        <v>1.9092530786979301E-2</v>
      </c>
      <c r="I128">
        <v>1.8339578446054799E-2</v>
      </c>
      <c r="J128">
        <v>1.61577772242825E-2</v>
      </c>
      <c r="K128">
        <v>1.66981520228607E-2</v>
      </c>
      <c r="L128">
        <v>1.18064482962957E-2</v>
      </c>
      <c r="M128">
        <v>9.0071195061030406E-3</v>
      </c>
      <c r="N128">
        <v>2.0480854853072099E-2</v>
      </c>
      <c r="O128">
        <v>1.29268066623356E-2</v>
      </c>
    </row>
    <row r="129" spans="1:15">
      <c r="A129">
        <v>154</v>
      </c>
      <c r="B129" t="s">
        <v>20</v>
      </c>
      <c r="C129" t="s">
        <v>21</v>
      </c>
      <c r="D129" t="s">
        <v>26</v>
      </c>
      <c r="E129" t="s">
        <v>30</v>
      </c>
      <c r="F129" t="s">
        <v>28</v>
      </c>
      <c r="G129" t="s">
        <v>23</v>
      </c>
      <c r="H129">
        <v>2.29033009038179E-2</v>
      </c>
      <c r="I129">
        <v>2.19851232686041E-2</v>
      </c>
      <c r="J129">
        <v>1.9443240769838398E-2</v>
      </c>
      <c r="K129">
        <v>2.0024163951328E-2</v>
      </c>
      <c r="L129">
        <v>1.47128175116959E-2</v>
      </c>
      <c r="M129">
        <v>1.1576073191682801E-2</v>
      </c>
      <c r="N129">
        <v>2.46363906203621E-2</v>
      </c>
      <c r="O129">
        <v>1.5853778539866099E-2</v>
      </c>
    </row>
    <row r="130" spans="1:15">
      <c r="A130">
        <v>160</v>
      </c>
      <c r="B130" t="s">
        <v>20</v>
      </c>
      <c r="C130" t="s">
        <v>21</v>
      </c>
      <c r="D130" t="s">
        <v>26</v>
      </c>
      <c r="E130" t="s">
        <v>30</v>
      </c>
      <c r="F130" t="s">
        <v>29</v>
      </c>
      <c r="G130" t="s">
        <v>23</v>
      </c>
      <c r="H130">
        <v>2.9324218083171101E-2</v>
      </c>
      <c r="I130">
        <v>2.8246662536342601E-2</v>
      </c>
      <c r="J130">
        <v>2.50221524852795E-2</v>
      </c>
      <c r="K130">
        <v>2.5631461417325901E-2</v>
      </c>
      <c r="L130">
        <v>1.8722430394283798E-2</v>
      </c>
      <c r="M130">
        <v>1.46164791684149E-2</v>
      </c>
      <c r="N130">
        <v>3.1760166221430602E-2</v>
      </c>
      <c r="O130">
        <v>2.04718400673706E-2</v>
      </c>
    </row>
    <row r="131" spans="1:15">
      <c r="A131">
        <v>226</v>
      </c>
      <c r="B131" t="s">
        <v>20</v>
      </c>
      <c r="C131" t="s">
        <v>28</v>
      </c>
      <c r="D131" t="s">
        <v>23</v>
      </c>
      <c r="E131" t="s">
        <v>20</v>
      </c>
      <c r="F131" t="s">
        <v>28</v>
      </c>
      <c r="G131" t="s">
        <v>26</v>
      </c>
      <c r="H131">
        <v>2.0434562181174998E-2</v>
      </c>
      <c r="I131">
        <v>1.96738896578437E-2</v>
      </c>
      <c r="J131">
        <v>1.7556876161790001E-2</v>
      </c>
      <c r="K131">
        <v>1.7705312914965202E-2</v>
      </c>
      <c r="L131">
        <v>1.3277383726518601E-2</v>
      </c>
      <c r="M131">
        <v>1.0718544562964999E-2</v>
      </c>
      <c r="N131">
        <v>2.2475277195085401E-2</v>
      </c>
      <c r="O131">
        <v>1.4068688125961E-2</v>
      </c>
    </row>
    <row r="132" spans="1:15">
      <c r="A132">
        <v>233</v>
      </c>
      <c r="B132" t="s">
        <v>20</v>
      </c>
      <c r="C132" t="s">
        <v>28</v>
      </c>
      <c r="D132" t="s">
        <v>23</v>
      </c>
      <c r="E132" t="s">
        <v>20</v>
      </c>
      <c r="F132" t="s">
        <v>29</v>
      </c>
      <c r="G132" t="s">
        <v>26</v>
      </c>
      <c r="H132">
        <v>3.1189489511987498E-3</v>
      </c>
      <c r="I132">
        <v>3.0727294696581099E-3</v>
      </c>
      <c r="J132">
        <v>2.7167909063425498E-3</v>
      </c>
      <c r="K132">
        <v>2.8483361883313899E-3</v>
      </c>
      <c r="L132">
        <v>2.0563310548824001E-3</v>
      </c>
      <c r="M132">
        <v>1.6546433707482001E-3</v>
      </c>
      <c r="N132">
        <v>3.3735156531126301E-3</v>
      </c>
      <c r="O132">
        <v>2.2782517619077498E-3</v>
      </c>
    </row>
    <row r="133" spans="1:15">
      <c r="A133">
        <v>238</v>
      </c>
      <c r="B133" t="s">
        <v>20</v>
      </c>
      <c r="C133" t="s">
        <v>28</v>
      </c>
      <c r="D133" t="s">
        <v>23</v>
      </c>
      <c r="E133" t="s">
        <v>30</v>
      </c>
      <c r="F133" t="s">
        <v>21</v>
      </c>
      <c r="G133" t="s">
        <v>26</v>
      </c>
      <c r="H133">
        <v>2.11091177769092E-2</v>
      </c>
      <c r="I133">
        <v>2.0382188562604601E-2</v>
      </c>
      <c r="J133">
        <v>1.8074945529197799E-2</v>
      </c>
      <c r="K133">
        <v>1.8653007797188599E-2</v>
      </c>
      <c r="L133">
        <v>1.35638953153041E-2</v>
      </c>
      <c r="M133">
        <v>1.0710546942009701E-2</v>
      </c>
      <c r="N133">
        <v>2.2761760242792101E-2</v>
      </c>
      <c r="O133">
        <v>1.48975752531476E-2</v>
      </c>
    </row>
    <row r="134" spans="1:15">
      <c r="A134">
        <v>244</v>
      </c>
      <c r="B134" t="s">
        <v>20</v>
      </c>
      <c r="C134" t="s">
        <v>28</v>
      </c>
      <c r="D134" t="s">
        <v>23</v>
      </c>
      <c r="E134" t="s">
        <v>30</v>
      </c>
      <c r="F134" t="s">
        <v>28</v>
      </c>
      <c r="G134" t="s">
        <v>26</v>
      </c>
      <c r="H134">
        <v>2.0946196535801102E-2</v>
      </c>
      <c r="I134">
        <v>2.02382702999583E-2</v>
      </c>
      <c r="J134">
        <v>1.7975697200263201E-2</v>
      </c>
      <c r="K134">
        <v>1.8569490713768001E-2</v>
      </c>
      <c r="L134">
        <v>1.3611663157710801E-2</v>
      </c>
      <c r="M134">
        <v>1.08250811990352E-2</v>
      </c>
      <c r="N134">
        <v>2.2515761032722899E-2</v>
      </c>
      <c r="O134">
        <v>1.48994495623692E-2</v>
      </c>
    </row>
    <row r="135" spans="1:15">
      <c r="A135">
        <v>251</v>
      </c>
      <c r="B135" t="s">
        <v>20</v>
      </c>
      <c r="C135" t="s">
        <v>28</v>
      </c>
      <c r="D135" t="s">
        <v>23</v>
      </c>
      <c r="E135" t="s">
        <v>30</v>
      </c>
      <c r="F135" t="s">
        <v>29</v>
      </c>
      <c r="G135" t="s">
        <v>26</v>
      </c>
      <c r="H135">
        <v>3.5651060424576699E-3</v>
      </c>
      <c r="I135">
        <v>3.4867335539373601E-3</v>
      </c>
      <c r="J135">
        <v>3.0685050731957702E-3</v>
      </c>
      <c r="K135">
        <v>3.2174178068257301E-3</v>
      </c>
      <c r="L135">
        <v>2.3574352237746101E-3</v>
      </c>
      <c r="M135">
        <v>1.8792720390087901E-3</v>
      </c>
      <c r="N135">
        <v>3.8501026694045099E-3</v>
      </c>
      <c r="O135">
        <v>2.5333238748768798E-3</v>
      </c>
    </row>
    <row r="136" spans="1:15">
      <c r="A136">
        <v>307</v>
      </c>
      <c r="B136" t="s">
        <v>20</v>
      </c>
      <c r="C136" t="s">
        <v>28</v>
      </c>
      <c r="D136" t="s">
        <v>26</v>
      </c>
      <c r="E136" t="s">
        <v>20</v>
      </c>
      <c r="F136" t="s">
        <v>29</v>
      </c>
      <c r="G136" t="s">
        <v>23</v>
      </c>
      <c r="H136">
        <v>2.99959508542256E-2</v>
      </c>
      <c r="I136">
        <v>2.9213246429544398E-2</v>
      </c>
      <c r="J136">
        <v>2.5668083084139402E-2</v>
      </c>
      <c r="K136">
        <v>2.6311597705856199E-2</v>
      </c>
      <c r="L136">
        <v>1.9487429418481299E-2</v>
      </c>
      <c r="M136">
        <v>1.5577560106134401E-2</v>
      </c>
      <c r="N136">
        <v>3.3263410248726401E-2</v>
      </c>
      <c r="O136">
        <v>2.0928645224493201E-2</v>
      </c>
    </row>
    <row r="137" spans="1:15">
      <c r="A137">
        <v>313</v>
      </c>
      <c r="B137" t="s">
        <v>20</v>
      </c>
      <c r="C137" t="s">
        <v>28</v>
      </c>
      <c r="D137" t="s">
        <v>26</v>
      </c>
      <c r="E137" t="s">
        <v>30</v>
      </c>
      <c r="F137" t="s">
        <v>21</v>
      </c>
      <c r="G137" t="s">
        <v>23</v>
      </c>
      <c r="H137">
        <v>1.9068586416197599E-2</v>
      </c>
      <c r="I137">
        <v>1.81993936946791E-2</v>
      </c>
      <c r="J137">
        <v>1.59865678952462E-2</v>
      </c>
      <c r="K137">
        <v>1.63794659042001E-2</v>
      </c>
      <c r="L137">
        <v>1.1710876539960301E-2</v>
      </c>
      <c r="M137">
        <v>9.0085607908887699E-3</v>
      </c>
      <c r="N137">
        <v>2.0677255019478501E-2</v>
      </c>
      <c r="O137">
        <v>1.25829640621555E-2</v>
      </c>
    </row>
    <row r="138" spans="1:15">
      <c r="A138">
        <v>319</v>
      </c>
      <c r="B138" t="s">
        <v>20</v>
      </c>
      <c r="C138" t="s">
        <v>28</v>
      </c>
      <c r="D138" t="s">
        <v>26</v>
      </c>
      <c r="E138" t="s">
        <v>30</v>
      </c>
      <c r="F138" t="s">
        <v>28</v>
      </c>
      <c r="G138" t="s">
        <v>23</v>
      </c>
      <c r="H138">
        <v>2.2456611214338899E-2</v>
      </c>
      <c r="I138">
        <v>2.1621396658748598E-2</v>
      </c>
      <c r="J138">
        <v>1.90258479845399E-2</v>
      </c>
      <c r="K138">
        <v>1.93552147935338E-2</v>
      </c>
      <c r="L138">
        <v>1.4595115996295699E-2</v>
      </c>
      <c r="M138">
        <v>1.17894887562984E-2</v>
      </c>
      <c r="N138">
        <v>2.4872640095894499E-2</v>
      </c>
      <c r="O138">
        <v>1.51923369947406E-2</v>
      </c>
    </row>
    <row r="139" spans="1:15">
      <c r="A139">
        <v>325</v>
      </c>
      <c r="B139" t="s">
        <v>20</v>
      </c>
      <c r="C139" t="s">
        <v>28</v>
      </c>
      <c r="D139" t="s">
        <v>26</v>
      </c>
      <c r="E139" t="s">
        <v>30</v>
      </c>
      <c r="F139" t="s">
        <v>29</v>
      </c>
      <c r="G139" t="s">
        <v>23</v>
      </c>
      <c r="H139">
        <v>2.90064344363491E-2</v>
      </c>
      <c r="I139">
        <v>2.80833060262855E-2</v>
      </c>
      <c r="J139">
        <v>2.4643992955510299E-2</v>
      </c>
      <c r="K139">
        <v>2.5223652783777799E-2</v>
      </c>
      <c r="L139">
        <v>1.8573383913149898E-2</v>
      </c>
      <c r="M139">
        <v>1.4658184974451399E-2</v>
      </c>
      <c r="N139">
        <v>3.2064728798321798E-2</v>
      </c>
      <c r="O139">
        <v>1.98044175066239E-2</v>
      </c>
    </row>
    <row r="140" spans="1:15">
      <c r="A140">
        <v>380</v>
      </c>
      <c r="B140" t="s">
        <v>20</v>
      </c>
      <c r="C140" t="s">
        <v>29</v>
      </c>
      <c r="D140" t="s">
        <v>23</v>
      </c>
      <c r="E140" t="s">
        <v>20</v>
      </c>
      <c r="F140" t="s">
        <v>29</v>
      </c>
      <c r="G140" t="s">
        <v>26</v>
      </c>
      <c r="H140">
        <v>4.6090944220199799E-3</v>
      </c>
      <c r="I140">
        <v>4.5177737719917198E-3</v>
      </c>
      <c r="J140">
        <v>3.9847171363355796E-3</v>
      </c>
      <c r="K140">
        <v>4.1531751663134798E-3</v>
      </c>
      <c r="L140">
        <v>3.0769500335638298E-3</v>
      </c>
      <c r="M140">
        <v>2.4794827080235802E-3</v>
      </c>
      <c r="N140">
        <v>4.9928031666066899E-3</v>
      </c>
      <c r="O140">
        <v>3.3497909502758199E-3</v>
      </c>
    </row>
    <row r="141" spans="1:15">
      <c r="A141">
        <v>385</v>
      </c>
      <c r="B141" t="s">
        <v>20</v>
      </c>
      <c r="C141" t="s">
        <v>29</v>
      </c>
      <c r="D141" t="s">
        <v>23</v>
      </c>
      <c r="E141" t="s">
        <v>30</v>
      </c>
      <c r="F141" t="s">
        <v>21</v>
      </c>
      <c r="G141" t="s">
        <v>26</v>
      </c>
      <c r="H141">
        <v>3.1005192839853798E-2</v>
      </c>
      <c r="I141">
        <v>3.00605594952255E-2</v>
      </c>
      <c r="J141">
        <v>2.6349789410979801E-2</v>
      </c>
      <c r="K141">
        <v>2.7390077359128202E-2</v>
      </c>
      <c r="L141">
        <v>2.0334402012389199E-2</v>
      </c>
      <c r="M141">
        <v>1.61142206068077E-2</v>
      </c>
      <c r="N141">
        <v>3.3687405159332301E-2</v>
      </c>
      <c r="O141">
        <v>2.18313863389244E-2</v>
      </c>
    </row>
    <row r="142" spans="1:15">
      <c r="A142">
        <v>391</v>
      </c>
      <c r="B142" t="s">
        <v>20</v>
      </c>
      <c r="C142" t="s">
        <v>29</v>
      </c>
      <c r="D142" t="s">
        <v>23</v>
      </c>
      <c r="E142" t="s">
        <v>30</v>
      </c>
      <c r="F142" t="s">
        <v>28</v>
      </c>
      <c r="G142" t="s">
        <v>26</v>
      </c>
      <c r="H142">
        <v>3.0796162247146801E-2</v>
      </c>
      <c r="I142">
        <v>2.9885704315748201E-2</v>
      </c>
      <c r="J142">
        <v>2.62014767957514E-2</v>
      </c>
      <c r="K142">
        <v>2.7321354765417201E-2</v>
      </c>
      <c r="L142">
        <v>2.0239867108779699E-2</v>
      </c>
      <c r="M142">
        <v>1.6104742830736801E-2</v>
      </c>
      <c r="N142">
        <v>3.3323326328429902E-2</v>
      </c>
      <c r="O142">
        <v>2.1837875514439602E-2</v>
      </c>
    </row>
    <row r="143" spans="1:15">
      <c r="A143">
        <v>398</v>
      </c>
      <c r="B143" t="s">
        <v>20</v>
      </c>
      <c r="C143" t="s">
        <v>29</v>
      </c>
      <c r="D143" t="s">
        <v>23</v>
      </c>
      <c r="E143" t="s">
        <v>30</v>
      </c>
      <c r="F143" t="s">
        <v>29</v>
      </c>
      <c r="G143" t="s">
        <v>26</v>
      </c>
      <c r="H143">
        <v>5.2494709010455203E-3</v>
      </c>
      <c r="I143">
        <v>5.1218132226743497E-3</v>
      </c>
      <c r="J143">
        <v>4.5030314546219002E-3</v>
      </c>
      <c r="K143">
        <v>4.6876038270626903E-3</v>
      </c>
      <c r="L143">
        <v>3.5279040437821798E-3</v>
      </c>
      <c r="M143">
        <v>2.8275865803794199E-3</v>
      </c>
      <c r="N143">
        <v>5.6981519507186803E-3</v>
      </c>
      <c r="O143">
        <v>3.7521276431736398E-3</v>
      </c>
    </row>
    <row r="144" spans="1:15">
      <c r="A144">
        <v>460</v>
      </c>
      <c r="B144" t="s">
        <v>20</v>
      </c>
      <c r="C144" t="s">
        <v>29</v>
      </c>
      <c r="D144" t="s">
        <v>26</v>
      </c>
      <c r="E144" t="s">
        <v>30</v>
      </c>
      <c r="F144" t="s">
        <v>21</v>
      </c>
      <c r="G144" t="s">
        <v>23</v>
      </c>
      <c r="H144">
        <v>2.8807540151541198E-3</v>
      </c>
      <c r="I144">
        <v>2.7787046240733901E-3</v>
      </c>
      <c r="J144">
        <v>2.44374352954785E-3</v>
      </c>
      <c r="K144">
        <v>2.5301491703582598E-3</v>
      </c>
      <c r="L144">
        <v>1.8323189587708599E-3</v>
      </c>
      <c r="M144">
        <v>1.4361605821182201E-3</v>
      </c>
      <c r="N144">
        <v>3.1036344008636202E-3</v>
      </c>
      <c r="O144">
        <v>1.9735495419482998E-3</v>
      </c>
    </row>
    <row r="145" spans="1:15">
      <c r="A145">
        <v>466</v>
      </c>
      <c r="B145" t="s">
        <v>20</v>
      </c>
      <c r="C145" t="s">
        <v>29</v>
      </c>
      <c r="D145" t="s">
        <v>26</v>
      </c>
      <c r="E145" t="s">
        <v>30</v>
      </c>
      <c r="F145" t="s">
        <v>28</v>
      </c>
      <c r="G145" t="s">
        <v>23</v>
      </c>
      <c r="H145">
        <v>3.4443795277829298E-3</v>
      </c>
      <c r="I145">
        <v>3.3826860208030799E-3</v>
      </c>
      <c r="J145">
        <v>2.9586610784599699E-3</v>
      </c>
      <c r="K145">
        <v>3.1198603105071598E-3</v>
      </c>
      <c r="L145">
        <v>2.26821915176194E-3</v>
      </c>
      <c r="M145">
        <v>1.8225578953080599E-3</v>
      </c>
      <c r="N145">
        <v>3.7333573227779698E-3</v>
      </c>
      <c r="O145">
        <v>2.4557072356685399E-3</v>
      </c>
    </row>
    <row r="146" spans="1:15">
      <c r="A146">
        <v>472</v>
      </c>
      <c r="B146" t="s">
        <v>20</v>
      </c>
      <c r="C146" t="s">
        <v>29</v>
      </c>
      <c r="D146" t="s">
        <v>26</v>
      </c>
      <c r="E146" t="s">
        <v>30</v>
      </c>
      <c r="F146" t="s">
        <v>29</v>
      </c>
      <c r="G146" t="s">
        <v>23</v>
      </c>
      <c r="H146">
        <v>4.4634390043708201E-3</v>
      </c>
      <c r="I146">
        <v>4.3539175777998103E-3</v>
      </c>
      <c r="J146">
        <v>3.8522993131039299E-3</v>
      </c>
      <c r="K146">
        <v>4.00222212624633E-3</v>
      </c>
      <c r="L146">
        <v>2.96835058087647E-3</v>
      </c>
      <c r="M146">
        <v>2.3855967043526802E-3</v>
      </c>
      <c r="N146">
        <v>4.8128823317740198E-3</v>
      </c>
      <c r="O146">
        <v>3.2206944858405701E-3</v>
      </c>
    </row>
    <row r="147" spans="1:15">
      <c r="A147">
        <v>496</v>
      </c>
      <c r="B147" t="s">
        <v>30</v>
      </c>
      <c r="C147" t="s">
        <v>21</v>
      </c>
      <c r="D147" t="s">
        <v>23</v>
      </c>
      <c r="E147" t="s">
        <v>30</v>
      </c>
      <c r="F147" t="s">
        <v>21</v>
      </c>
      <c r="G147" t="s">
        <v>26</v>
      </c>
      <c r="H147">
        <v>1.94814299915048E-2</v>
      </c>
      <c r="I147">
        <v>1.88007223005346E-2</v>
      </c>
      <c r="J147">
        <v>1.6399929633912399E-2</v>
      </c>
      <c r="K147">
        <v>1.7169400124476101E-2</v>
      </c>
      <c r="L147">
        <v>1.21441716032552E-2</v>
      </c>
      <c r="M147">
        <v>9.4357608376519596E-3</v>
      </c>
      <c r="N147">
        <v>2.0940819423368701E-2</v>
      </c>
      <c r="O147">
        <v>1.3078193721277101E-2</v>
      </c>
    </row>
    <row r="148" spans="1:15">
      <c r="A148">
        <v>502</v>
      </c>
      <c r="B148" t="s">
        <v>30</v>
      </c>
      <c r="C148" t="s">
        <v>21</v>
      </c>
      <c r="D148" t="s">
        <v>23</v>
      </c>
      <c r="E148" t="s">
        <v>30</v>
      </c>
      <c r="F148" t="s">
        <v>28</v>
      </c>
      <c r="G148" t="s">
        <v>26</v>
      </c>
      <c r="H148">
        <v>1.9475242015944E-2</v>
      </c>
      <c r="I148">
        <v>1.86846054628447E-2</v>
      </c>
      <c r="J148">
        <v>1.647579836127E-2</v>
      </c>
      <c r="K148">
        <v>1.71209576572793E-2</v>
      </c>
      <c r="L148">
        <v>1.2259990777501201E-2</v>
      </c>
      <c r="M148">
        <v>9.4991642613220708E-3</v>
      </c>
      <c r="N148">
        <v>2.0714500150105002E-2</v>
      </c>
      <c r="O148">
        <v>1.33953126212581E-2</v>
      </c>
    </row>
    <row r="149" spans="1:15">
      <c r="A149">
        <v>509</v>
      </c>
      <c r="B149" t="s">
        <v>30</v>
      </c>
      <c r="C149" t="s">
        <v>21</v>
      </c>
      <c r="D149" t="s">
        <v>23</v>
      </c>
      <c r="E149" t="s">
        <v>30</v>
      </c>
      <c r="F149" t="s">
        <v>29</v>
      </c>
      <c r="G149" t="s">
        <v>26</v>
      </c>
      <c r="H149">
        <v>3.2811034314989898E-3</v>
      </c>
      <c r="I149">
        <v>3.1714438580000802E-3</v>
      </c>
      <c r="J149">
        <v>2.7610893501567799E-3</v>
      </c>
      <c r="K149">
        <v>2.8881635463759501E-3</v>
      </c>
      <c r="L149">
        <v>2.0946044619165201E-3</v>
      </c>
      <c r="M149">
        <v>1.6329857503072E-3</v>
      </c>
      <c r="N149">
        <v>3.5420944558521498E-3</v>
      </c>
      <c r="O149">
        <v>2.2121971913338099E-3</v>
      </c>
    </row>
    <row r="150" spans="1:15">
      <c r="A150">
        <v>541</v>
      </c>
      <c r="B150" t="s">
        <v>30</v>
      </c>
      <c r="C150" t="s">
        <v>21</v>
      </c>
      <c r="D150" t="s">
        <v>26</v>
      </c>
      <c r="E150" t="s">
        <v>30</v>
      </c>
      <c r="F150" t="s">
        <v>28</v>
      </c>
      <c r="G150" t="s">
        <v>23</v>
      </c>
      <c r="H150">
        <v>2.3300472704497099E-2</v>
      </c>
      <c r="I150">
        <v>2.2542831063659501E-2</v>
      </c>
      <c r="J150">
        <v>1.9779854277994901E-2</v>
      </c>
      <c r="K150">
        <v>2.0610109132710001E-2</v>
      </c>
      <c r="L150">
        <v>1.52173526374315E-2</v>
      </c>
      <c r="M150">
        <v>1.21806793068452E-2</v>
      </c>
      <c r="N150">
        <v>2.5189681335356599E-2</v>
      </c>
      <c r="O150">
        <v>1.63063721204765E-2</v>
      </c>
    </row>
    <row r="151" spans="1:15">
      <c r="A151">
        <v>547</v>
      </c>
      <c r="B151" t="s">
        <v>30</v>
      </c>
      <c r="C151" t="s">
        <v>21</v>
      </c>
      <c r="D151" t="s">
        <v>26</v>
      </c>
      <c r="E151" t="s">
        <v>30</v>
      </c>
      <c r="F151" t="s">
        <v>29</v>
      </c>
      <c r="G151" t="s">
        <v>23</v>
      </c>
      <c r="H151">
        <v>2.9906020480729399E-2</v>
      </c>
      <c r="I151">
        <v>2.89780602229322E-2</v>
      </c>
      <c r="J151">
        <v>2.5479144370824498E-2</v>
      </c>
      <c r="K151">
        <v>2.63924070215272E-2</v>
      </c>
      <c r="L151">
        <v>1.9297393048078301E-2</v>
      </c>
      <c r="M151">
        <v>1.53109545506619E-2</v>
      </c>
      <c r="N151">
        <v>3.2473444613049997E-2</v>
      </c>
      <c r="O151">
        <v>2.0891246407666399E-2</v>
      </c>
    </row>
    <row r="152" spans="1:15">
      <c r="A152">
        <v>577</v>
      </c>
      <c r="B152" t="s">
        <v>30</v>
      </c>
      <c r="C152" t="s">
        <v>28</v>
      </c>
      <c r="D152" t="s">
        <v>23</v>
      </c>
      <c r="E152" t="s">
        <v>30</v>
      </c>
      <c r="F152" t="s">
        <v>28</v>
      </c>
      <c r="G152" t="s">
        <v>26</v>
      </c>
      <c r="H152">
        <v>2.31498748937876E-2</v>
      </c>
      <c r="I152">
        <v>2.2437187558469102E-2</v>
      </c>
      <c r="J152">
        <v>1.9790671887739E-2</v>
      </c>
      <c r="K152">
        <v>2.0598676174292199E-2</v>
      </c>
      <c r="L152">
        <v>1.51483169786209E-2</v>
      </c>
      <c r="M152">
        <v>1.22300284393079E-2</v>
      </c>
      <c r="N152">
        <v>2.49174422095466E-2</v>
      </c>
      <c r="O152">
        <v>1.6496186633742901E-2</v>
      </c>
    </row>
    <row r="153" spans="1:15">
      <c r="A153">
        <v>584</v>
      </c>
      <c r="B153" t="s">
        <v>30</v>
      </c>
      <c r="C153" t="s">
        <v>28</v>
      </c>
      <c r="D153" t="s">
        <v>23</v>
      </c>
      <c r="E153" t="s">
        <v>30</v>
      </c>
      <c r="F153" t="s">
        <v>29</v>
      </c>
      <c r="G153" t="s">
        <v>26</v>
      </c>
      <c r="H153">
        <v>3.9398363163149199E-3</v>
      </c>
      <c r="I153">
        <v>3.8425233683168801E-3</v>
      </c>
      <c r="J153">
        <v>3.3594523974160499E-3</v>
      </c>
      <c r="K153">
        <v>3.5318317333727601E-3</v>
      </c>
      <c r="L153">
        <v>2.6278153267123498E-3</v>
      </c>
      <c r="M153">
        <v>2.1093682449071101E-3</v>
      </c>
      <c r="N153">
        <v>4.2607802874743304E-3</v>
      </c>
      <c r="O153">
        <v>2.7627805187169598E-3</v>
      </c>
    </row>
    <row r="154" spans="1:15">
      <c r="A154">
        <v>604</v>
      </c>
      <c r="B154" t="s">
        <v>30</v>
      </c>
      <c r="C154" t="s">
        <v>28</v>
      </c>
      <c r="D154" t="s">
        <v>26</v>
      </c>
      <c r="E154" t="s">
        <v>30</v>
      </c>
      <c r="F154" t="s">
        <v>29</v>
      </c>
      <c r="G154" t="s">
        <v>23</v>
      </c>
      <c r="H154">
        <v>2.97374427673293E-2</v>
      </c>
      <c r="I154">
        <v>2.8878455569214999E-2</v>
      </c>
      <c r="J154">
        <v>2.5351711999013701E-2</v>
      </c>
      <c r="K154">
        <v>2.6433400758867201E-2</v>
      </c>
      <c r="L154">
        <v>1.9327345869754601E-2</v>
      </c>
      <c r="M154">
        <v>1.54141007820735E-2</v>
      </c>
      <c r="N154">
        <v>3.2122485740017998E-2</v>
      </c>
      <c r="O154">
        <v>2.0942866511482298E-2</v>
      </c>
    </row>
    <row r="155" spans="1:15">
      <c r="A155">
        <v>623</v>
      </c>
      <c r="B155" t="s">
        <v>30</v>
      </c>
      <c r="C155" t="s">
        <v>29</v>
      </c>
      <c r="D155" t="s">
        <v>23</v>
      </c>
      <c r="E155" t="s">
        <v>30</v>
      </c>
      <c r="F155" t="s">
        <v>29</v>
      </c>
      <c r="G155" t="s">
        <v>26</v>
      </c>
      <c r="H155">
        <v>5.0825630068711998E-3</v>
      </c>
      <c r="I155">
        <v>4.9425088634524796E-3</v>
      </c>
      <c r="J155">
        <v>4.3893431836045504E-3</v>
      </c>
      <c r="K155">
        <v>4.5258227657258001E-3</v>
      </c>
      <c r="L155">
        <v>3.4137953332796802E-3</v>
      </c>
      <c r="M155">
        <v>2.7434861737804998E-3</v>
      </c>
      <c r="N155">
        <v>5.4928131416837698E-3</v>
      </c>
      <c r="O155">
        <v>3.6352154279944899E-3</v>
      </c>
    </row>
    <row r="157" spans="1:15">
      <c r="A157" t="s">
        <v>25</v>
      </c>
    </row>
    <row r="158" spans="1:15">
      <c r="A158" t="s">
        <v>23</v>
      </c>
      <c r="B158" t="s">
        <v>16</v>
      </c>
      <c r="E158" t="s">
        <v>18</v>
      </c>
      <c r="H158" t="s">
        <v>0</v>
      </c>
      <c r="I158" t="s">
        <v>2</v>
      </c>
      <c r="J158" t="s">
        <v>4</v>
      </c>
      <c r="K158" t="s">
        <v>6</v>
      </c>
      <c r="L158" t="s">
        <v>8</v>
      </c>
      <c r="M158" t="s">
        <v>10</v>
      </c>
      <c r="N158" t="s">
        <v>12</v>
      </c>
      <c r="O158" t="s">
        <v>14</v>
      </c>
    </row>
    <row r="159" spans="1:15">
      <c r="A159">
        <v>36</v>
      </c>
      <c r="B159" t="s">
        <v>20</v>
      </c>
      <c r="C159" t="s">
        <v>21</v>
      </c>
      <c r="D159" t="s">
        <v>23</v>
      </c>
      <c r="E159" t="s">
        <v>20</v>
      </c>
      <c r="F159" t="s">
        <v>21</v>
      </c>
      <c r="G159" t="s">
        <v>25</v>
      </c>
      <c r="H159">
        <v>1.8287733552654201E-2</v>
      </c>
      <c r="I159">
        <v>1.74735262518508E-2</v>
      </c>
      <c r="J159">
        <v>1.55215128761985E-2</v>
      </c>
      <c r="K159">
        <v>1.5838620601383101E-2</v>
      </c>
      <c r="L159">
        <v>1.1172160533501899E-2</v>
      </c>
      <c r="M159">
        <v>8.5220430203048602E-3</v>
      </c>
      <c r="N159">
        <v>1.9630823322589998E-2</v>
      </c>
      <c r="O159">
        <v>1.25257692621367E-2</v>
      </c>
    </row>
    <row r="160" spans="1:15">
      <c r="A160">
        <v>42</v>
      </c>
      <c r="B160" t="s">
        <v>20</v>
      </c>
      <c r="C160" t="s">
        <v>21</v>
      </c>
      <c r="D160" t="s">
        <v>23</v>
      </c>
      <c r="E160" t="s">
        <v>20</v>
      </c>
      <c r="F160" t="s">
        <v>28</v>
      </c>
      <c r="G160" t="s">
        <v>25</v>
      </c>
      <c r="H160">
        <v>1.81711847988082E-2</v>
      </c>
      <c r="I160">
        <v>1.7231696424149099E-2</v>
      </c>
      <c r="J160">
        <v>1.53516527013677E-2</v>
      </c>
      <c r="K160">
        <v>1.53899807280834E-2</v>
      </c>
      <c r="L160">
        <v>1.11690671247192E-2</v>
      </c>
      <c r="M160">
        <v>8.51859682527621E-3</v>
      </c>
      <c r="N160">
        <v>1.9781517567168502E-2</v>
      </c>
      <c r="O160">
        <v>1.22103060806679E-2</v>
      </c>
    </row>
    <row r="161" spans="1:15">
      <c r="A161">
        <v>49</v>
      </c>
      <c r="B161" t="s">
        <v>20</v>
      </c>
      <c r="C161" t="s">
        <v>21</v>
      </c>
      <c r="D161" t="s">
        <v>23</v>
      </c>
      <c r="E161" t="s">
        <v>20</v>
      </c>
      <c r="F161" t="s">
        <v>29</v>
      </c>
      <c r="G161" t="s">
        <v>25</v>
      </c>
      <c r="H161">
        <v>2.73040347493479E-3</v>
      </c>
      <c r="I161">
        <v>2.6232819900358102E-3</v>
      </c>
      <c r="J161">
        <v>2.3343244511867599E-3</v>
      </c>
      <c r="K161">
        <v>2.3822992270221199E-3</v>
      </c>
      <c r="L161">
        <v>1.71830970067144E-3</v>
      </c>
      <c r="M161">
        <v>1.35040663361081E-3</v>
      </c>
      <c r="N161">
        <v>2.9428558879079302E-3</v>
      </c>
      <c r="O161">
        <v>1.9160855630187101E-3</v>
      </c>
    </row>
    <row r="162" spans="1:15">
      <c r="A162">
        <v>54</v>
      </c>
      <c r="B162" t="s">
        <v>20</v>
      </c>
      <c r="C162" t="s">
        <v>21</v>
      </c>
      <c r="D162" t="s">
        <v>23</v>
      </c>
      <c r="E162" t="s">
        <v>30</v>
      </c>
      <c r="F162" t="s">
        <v>21</v>
      </c>
      <c r="G162" t="s">
        <v>25</v>
      </c>
      <c r="H162">
        <v>1.8681782457618101E-2</v>
      </c>
      <c r="I162">
        <v>1.78319921354879E-2</v>
      </c>
      <c r="J162">
        <v>1.57822394592428E-2</v>
      </c>
      <c r="K162">
        <v>1.6141797105614902E-2</v>
      </c>
      <c r="L162">
        <v>1.1527285568065E-2</v>
      </c>
      <c r="M162">
        <v>8.8641932150114698E-3</v>
      </c>
      <c r="N162">
        <v>2.0083932853716999E-2</v>
      </c>
      <c r="O162">
        <v>1.27023459831988E-2</v>
      </c>
    </row>
    <row r="163" spans="1:15">
      <c r="A163">
        <v>60</v>
      </c>
      <c r="B163" t="s">
        <v>20</v>
      </c>
      <c r="C163" t="s">
        <v>21</v>
      </c>
      <c r="D163" t="s">
        <v>23</v>
      </c>
      <c r="E163" t="s">
        <v>30</v>
      </c>
      <c r="F163" t="s">
        <v>28</v>
      </c>
      <c r="G163" t="s">
        <v>25</v>
      </c>
      <c r="H163">
        <v>1.8592535538958201E-2</v>
      </c>
      <c r="I163">
        <v>1.7692765262195698E-2</v>
      </c>
      <c r="J163">
        <v>1.5762312204717899E-2</v>
      </c>
      <c r="K163">
        <v>1.60821779748258E-2</v>
      </c>
      <c r="L163">
        <v>1.15453666907649E-2</v>
      </c>
      <c r="M163">
        <v>8.9546800111351705E-3</v>
      </c>
      <c r="N163">
        <v>1.98107628622117E-2</v>
      </c>
      <c r="O163">
        <v>1.29638765864897E-2</v>
      </c>
    </row>
    <row r="164" spans="1:15">
      <c r="A164">
        <v>67</v>
      </c>
      <c r="B164" t="s">
        <v>20</v>
      </c>
      <c r="C164" t="s">
        <v>21</v>
      </c>
      <c r="D164" t="s">
        <v>23</v>
      </c>
      <c r="E164" t="s">
        <v>30</v>
      </c>
      <c r="F164" t="s">
        <v>29</v>
      </c>
      <c r="G164" t="s">
        <v>25</v>
      </c>
      <c r="H164">
        <v>3.1147947603057001E-3</v>
      </c>
      <c r="I164">
        <v>2.9962365065544999E-3</v>
      </c>
      <c r="J164">
        <v>2.6186465368859698E-3</v>
      </c>
      <c r="K164">
        <v>2.71946994185439E-3</v>
      </c>
      <c r="L164">
        <v>1.9580484185840498E-3</v>
      </c>
      <c r="M164">
        <v>1.53037027615379E-3</v>
      </c>
      <c r="N164">
        <v>3.3632849756538301E-3</v>
      </c>
      <c r="O164">
        <v>2.1341168686008299E-3</v>
      </c>
    </row>
    <row r="165" spans="1:15">
      <c r="A165">
        <v>105</v>
      </c>
      <c r="B165" t="s">
        <v>20</v>
      </c>
      <c r="C165" t="s">
        <v>21</v>
      </c>
      <c r="D165" t="s">
        <v>25</v>
      </c>
      <c r="E165" t="s">
        <v>20</v>
      </c>
      <c r="F165" t="s">
        <v>28</v>
      </c>
      <c r="G165" t="s">
        <v>23</v>
      </c>
      <c r="H165">
        <v>2.03743307700547E-2</v>
      </c>
      <c r="I165">
        <v>1.9586510607417899E-2</v>
      </c>
      <c r="J165">
        <v>1.7546938389847399E-2</v>
      </c>
      <c r="K165">
        <v>1.7831927799087901E-2</v>
      </c>
      <c r="L165">
        <v>1.2952239690679899E-2</v>
      </c>
      <c r="M165">
        <v>1.01444480154493E-2</v>
      </c>
      <c r="N165">
        <v>2.1974802226779899E-2</v>
      </c>
      <c r="O165">
        <v>1.44047688106445E-2</v>
      </c>
    </row>
    <row r="166" spans="1:15">
      <c r="A166">
        <v>111</v>
      </c>
      <c r="B166" t="s">
        <v>20</v>
      </c>
      <c r="C166" t="s">
        <v>21</v>
      </c>
      <c r="D166" t="s">
        <v>25</v>
      </c>
      <c r="E166" t="s">
        <v>20</v>
      </c>
      <c r="F166" t="s">
        <v>29</v>
      </c>
      <c r="G166" t="s">
        <v>23</v>
      </c>
      <c r="H166">
        <v>2.9927990075483E-2</v>
      </c>
      <c r="I166">
        <v>2.8930207056121302E-2</v>
      </c>
      <c r="J166">
        <v>2.5530273509662998E-2</v>
      </c>
      <c r="K166">
        <v>2.6271387253048301E-2</v>
      </c>
      <c r="L166">
        <v>1.9315330394399699E-2</v>
      </c>
      <c r="M166">
        <v>1.5035888362539499E-2</v>
      </c>
      <c r="N166">
        <v>3.25227072956343E-2</v>
      </c>
      <c r="O166">
        <v>2.1031742488560799E-2</v>
      </c>
    </row>
    <row r="167" spans="1:15">
      <c r="A167">
        <v>117</v>
      </c>
      <c r="B167" t="s">
        <v>20</v>
      </c>
      <c r="C167" t="s">
        <v>21</v>
      </c>
      <c r="D167" t="s">
        <v>25</v>
      </c>
      <c r="E167" t="s">
        <v>30</v>
      </c>
      <c r="F167" t="s">
        <v>21</v>
      </c>
      <c r="G167" t="s">
        <v>23</v>
      </c>
      <c r="H167">
        <v>1.8828060754909198E-2</v>
      </c>
      <c r="I167">
        <v>1.8068744286181999E-2</v>
      </c>
      <c r="J167">
        <v>1.5932367464281099E-2</v>
      </c>
      <c r="K167">
        <v>1.6423178968236401E-2</v>
      </c>
      <c r="L167">
        <v>1.1606634170236101E-2</v>
      </c>
      <c r="M167">
        <v>8.8814595945953794E-3</v>
      </c>
      <c r="N167">
        <v>2.0216818048637501E-2</v>
      </c>
      <c r="O167">
        <v>1.27027679341939E-2</v>
      </c>
    </row>
    <row r="168" spans="1:15">
      <c r="A168">
        <v>123</v>
      </c>
      <c r="B168" t="s">
        <v>20</v>
      </c>
      <c r="C168" t="s">
        <v>21</v>
      </c>
      <c r="D168" t="s">
        <v>25</v>
      </c>
      <c r="E168" t="s">
        <v>30</v>
      </c>
      <c r="F168" t="s">
        <v>28</v>
      </c>
      <c r="G168" t="s">
        <v>23</v>
      </c>
      <c r="H168">
        <v>2.2580084573520998E-2</v>
      </c>
      <c r="I168">
        <v>2.16531936940609E-2</v>
      </c>
      <c r="J168">
        <v>1.9150199946867199E-2</v>
      </c>
      <c r="K168">
        <v>1.9684439777245401E-2</v>
      </c>
      <c r="L168">
        <v>1.4432706090855001E-2</v>
      </c>
      <c r="M168">
        <v>1.13787613548088E-2</v>
      </c>
      <c r="N168">
        <v>2.4318781130969799E-2</v>
      </c>
      <c r="O168">
        <v>1.5591859152584601E-2</v>
      </c>
    </row>
    <row r="169" spans="1:15">
      <c r="A169">
        <v>129</v>
      </c>
      <c r="B169" t="s">
        <v>20</v>
      </c>
      <c r="C169" t="s">
        <v>21</v>
      </c>
      <c r="D169" t="s">
        <v>25</v>
      </c>
      <c r="E169" t="s">
        <v>30</v>
      </c>
      <c r="F169" t="s">
        <v>29</v>
      </c>
      <c r="G169" t="s">
        <v>23</v>
      </c>
      <c r="H169">
        <v>2.8935640966221698E-2</v>
      </c>
      <c r="I169">
        <v>2.7819467408145501E-2</v>
      </c>
      <c r="J169">
        <v>2.4679011829935801E-2</v>
      </c>
      <c r="K169">
        <v>2.5198184850427401E-2</v>
      </c>
      <c r="L169">
        <v>1.8459822675873299E-2</v>
      </c>
      <c r="M169">
        <v>1.4426603111843799E-2</v>
      </c>
      <c r="N169">
        <v>3.1350717843539398E-2</v>
      </c>
      <c r="O169">
        <v>2.0172787203227901E-2</v>
      </c>
    </row>
    <row r="170" spans="1:15">
      <c r="A170">
        <v>225</v>
      </c>
      <c r="B170" t="s">
        <v>20</v>
      </c>
      <c r="C170" t="s">
        <v>28</v>
      </c>
      <c r="D170" t="s">
        <v>23</v>
      </c>
      <c r="E170" t="s">
        <v>20</v>
      </c>
      <c r="F170" t="s">
        <v>28</v>
      </c>
      <c r="G170" t="s">
        <v>25</v>
      </c>
      <c r="H170">
        <v>2.0116847012650499E-2</v>
      </c>
      <c r="I170">
        <v>1.93520915622424E-2</v>
      </c>
      <c r="J170">
        <v>1.72988233658612E-2</v>
      </c>
      <c r="K170">
        <v>1.7396127783763801E-2</v>
      </c>
      <c r="L170">
        <v>1.3056312577165999E-2</v>
      </c>
      <c r="M170">
        <v>1.05196179853128E-2</v>
      </c>
      <c r="N170">
        <v>2.21434898139946E-2</v>
      </c>
      <c r="O170">
        <v>1.38522832544063E-2</v>
      </c>
    </row>
    <row r="171" spans="1:15">
      <c r="A171">
        <v>232</v>
      </c>
      <c r="B171" t="s">
        <v>20</v>
      </c>
      <c r="C171" t="s">
        <v>28</v>
      </c>
      <c r="D171" t="s">
        <v>23</v>
      </c>
      <c r="E171" t="s">
        <v>20</v>
      </c>
      <c r="F171" t="s">
        <v>29</v>
      </c>
      <c r="G171" t="s">
        <v>25</v>
      </c>
      <c r="H171">
        <v>3.0451455897354601E-3</v>
      </c>
      <c r="I171">
        <v>2.9945987046884198E-3</v>
      </c>
      <c r="J171">
        <v>2.6556656424902999E-3</v>
      </c>
      <c r="K171">
        <v>2.7725480666789199E-3</v>
      </c>
      <c r="L171">
        <v>2.00544743825366E-3</v>
      </c>
      <c r="M171">
        <v>1.61322518109983E-3</v>
      </c>
      <c r="N171">
        <v>3.2942416655685801E-3</v>
      </c>
      <c r="O171">
        <v>2.2260174587920398E-3</v>
      </c>
    </row>
    <row r="172" spans="1:15">
      <c r="A172">
        <v>237</v>
      </c>
      <c r="B172" t="s">
        <v>20</v>
      </c>
      <c r="C172" t="s">
        <v>28</v>
      </c>
      <c r="D172" t="s">
        <v>23</v>
      </c>
      <c r="E172" t="s">
        <v>30</v>
      </c>
      <c r="F172" t="s">
        <v>21</v>
      </c>
      <c r="G172" t="s">
        <v>25</v>
      </c>
      <c r="H172">
        <v>2.0844123229376899E-2</v>
      </c>
      <c r="I172">
        <v>2.0072915309609501E-2</v>
      </c>
      <c r="J172">
        <v>1.78221380373891E-2</v>
      </c>
      <c r="K172">
        <v>1.8324809731165299E-2</v>
      </c>
      <c r="L172">
        <v>1.33831842502395E-2</v>
      </c>
      <c r="M172">
        <v>1.0569370086285199E-2</v>
      </c>
      <c r="N172">
        <v>2.2482014388489201E-2</v>
      </c>
      <c r="O172">
        <v>1.46809970132998E-2</v>
      </c>
    </row>
    <row r="173" spans="1:15">
      <c r="A173">
        <v>243</v>
      </c>
      <c r="B173" t="s">
        <v>20</v>
      </c>
      <c r="C173" t="s">
        <v>28</v>
      </c>
      <c r="D173" t="s">
        <v>23</v>
      </c>
      <c r="E173" t="s">
        <v>30</v>
      </c>
      <c r="F173" t="s">
        <v>28</v>
      </c>
      <c r="G173" t="s">
        <v>25</v>
      </c>
      <c r="H173">
        <v>2.06274682782518E-2</v>
      </c>
      <c r="I173">
        <v>1.98475628235587E-2</v>
      </c>
      <c r="J173">
        <v>1.7696650777990802E-2</v>
      </c>
      <c r="K173">
        <v>1.8148304862769499E-2</v>
      </c>
      <c r="L173">
        <v>1.3404527475982701E-2</v>
      </c>
      <c r="M173">
        <v>1.06468561635274E-2</v>
      </c>
      <c r="N173">
        <v>2.2176227084565299E-2</v>
      </c>
      <c r="O173">
        <v>1.46597806230368E-2</v>
      </c>
    </row>
    <row r="174" spans="1:15">
      <c r="A174">
        <v>250</v>
      </c>
      <c r="B174" t="s">
        <v>20</v>
      </c>
      <c r="C174" t="s">
        <v>28</v>
      </c>
      <c r="D174" t="s">
        <v>23</v>
      </c>
      <c r="E174" t="s">
        <v>30</v>
      </c>
      <c r="F174" t="s">
        <v>29</v>
      </c>
      <c r="G174" t="s">
        <v>25</v>
      </c>
      <c r="H174">
        <v>3.4828307912653598E-3</v>
      </c>
      <c r="I174">
        <v>3.4020482065866102E-3</v>
      </c>
      <c r="J174">
        <v>3.0040085284924901E-3</v>
      </c>
      <c r="K174">
        <v>3.1343653915022001E-3</v>
      </c>
      <c r="L174">
        <v>2.3041473522844602E-3</v>
      </c>
      <c r="M174">
        <v>1.8367045531973701E-3</v>
      </c>
      <c r="N174">
        <v>3.7648712414035399E-3</v>
      </c>
      <c r="O174">
        <v>2.4762140473227898E-3</v>
      </c>
    </row>
    <row r="175" spans="1:15">
      <c r="A175">
        <v>282</v>
      </c>
      <c r="B175" t="s">
        <v>20</v>
      </c>
      <c r="C175" t="s">
        <v>28</v>
      </c>
      <c r="D175" t="s">
        <v>25</v>
      </c>
      <c r="E175" t="s">
        <v>20</v>
      </c>
      <c r="F175" t="s">
        <v>29</v>
      </c>
      <c r="G175" t="s">
        <v>23</v>
      </c>
      <c r="H175">
        <v>2.9534555408404901E-2</v>
      </c>
      <c r="I175">
        <v>2.8705823817671599E-2</v>
      </c>
      <c r="J175">
        <v>2.52834675227789E-2</v>
      </c>
      <c r="K175">
        <v>2.5805707450629298E-2</v>
      </c>
      <c r="L175">
        <v>1.91762754724282E-2</v>
      </c>
      <c r="M175">
        <v>1.53064189545828E-2</v>
      </c>
      <c r="N175">
        <v>3.2772364924712097E-2</v>
      </c>
      <c r="O175">
        <v>2.0570807194432099E-2</v>
      </c>
    </row>
    <row r="176" spans="1:15">
      <c r="A176">
        <v>288</v>
      </c>
      <c r="B176" t="s">
        <v>20</v>
      </c>
      <c r="C176" t="s">
        <v>28</v>
      </c>
      <c r="D176" t="s">
        <v>25</v>
      </c>
      <c r="E176" t="s">
        <v>30</v>
      </c>
      <c r="F176" t="s">
        <v>21</v>
      </c>
      <c r="G176" t="s">
        <v>23</v>
      </c>
      <c r="H176">
        <v>1.8770868383487301E-2</v>
      </c>
      <c r="I176">
        <v>1.7906054599410599E-2</v>
      </c>
      <c r="J176">
        <v>1.5715677065199999E-2</v>
      </c>
      <c r="K176">
        <v>1.60982303950803E-2</v>
      </c>
      <c r="L176">
        <v>1.15032106521519E-2</v>
      </c>
      <c r="M176">
        <v>8.8204052502023102E-3</v>
      </c>
      <c r="N176">
        <v>2.0372010628875101E-2</v>
      </c>
      <c r="O176">
        <v>1.2349603666559201E-2</v>
      </c>
    </row>
    <row r="177" spans="1:15">
      <c r="A177">
        <v>294</v>
      </c>
      <c r="B177" t="s">
        <v>20</v>
      </c>
      <c r="C177" t="s">
        <v>28</v>
      </c>
      <c r="D177" t="s">
        <v>25</v>
      </c>
      <c r="E177" t="s">
        <v>30</v>
      </c>
      <c r="F177" t="s">
        <v>28</v>
      </c>
      <c r="G177" t="s">
        <v>23</v>
      </c>
      <c r="H177">
        <v>2.2092224920552999E-2</v>
      </c>
      <c r="I177">
        <v>2.1260201293522001E-2</v>
      </c>
      <c r="J177">
        <v>1.8725588827809999E-2</v>
      </c>
      <c r="K177">
        <v>1.90034429599404E-2</v>
      </c>
      <c r="L177">
        <v>1.43490676520654E-2</v>
      </c>
      <c r="M177">
        <v>1.15436106393718E-2</v>
      </c>
      <c r="N177">
        <v>2.4505462060820701E-2</v>
      </c>
      <c r="O177">
        <v>1.4914601388635901E-2</v>
      </c>
    </row>
    <row r="178" spans="1:15">
      <c r="A178">
        <v>300</v>
      </c>
      <c r="B178" t="s">
        <v>20</v>
      </c>
      <c r="C178" t="s">
        <v>28</v>
      </c>
      <c r="D178" t="s">
        <v>25</v>
      </c>
      <c r="E178" t="s">
        <v>30</v>
      </c>
      <c r="F178" t="s">
        <v>29</v>
      </c>
      <c r="G178" t="s">
        <v>23</v>
      </c>
      <c r="H178">
        <v>2.85355750204512E-2</v>
      </c>
      <c r="I178">
        <v>2.76152018373182E-2</v>
      </c>
      <c r="J178">
        <v>2.4260501920576098E-2</v>
      </c>
      <c r="K178">
        <v>2.4771101503498899E-2</v>
      </c>
      <c r="L178">
        <v>1.8262266643409401E-2</v>
      </c>
      <c r="M178">
        <v>1.44031491819233E-2</v>
      </c>
      <c r="N178">
        <v>3.1591378801299003E-2</v>
      </c>
      <c r="O178">
        <v>1.9437626051236601E-2</v>
      </c>
    </row>
    <row r="179" spans="1:15">
      <c r="A179">
        <v>379</v>
      </c>
      <c r="B179" t="s">
        <v>20</v>
      </c>
      <c r="C179" t="s">
        <v>29</v>
      </c>
      <c r="D179" t="s">
        <v>23</v>
      </c>
      <c r="E179" t="s">
        <v>20</v>
      </c>
      <c r="F179" t="s">
        <v>29</v>
      </c>
      <c r="G179" t="s">
        <v>25</v>
      </c>
      <c r="H179">
        <v>4.5016848442432497E-3</v>
      </c>
      <c r="I179">
        <v>4.40781240519006E-3</v>
      </c>
      <c r="J179">
        <v>3.8935941272322701E-3</v>
      </c>
      <c r="K179">
        <v>4.0494699275712203E-3</v>
      </c>
      <c r="L179">
        <v>3.0030749084474402E-3</v>
      </c>
      <c r="M179">
        <v>2.4127287101535101E-3</v>
      </c>
      <c r="N179">
        <v>4.8754776650414998E-3</v>
      </c>
      <c r="O179">
        <v>3.2751056974126701E-3</v>
      </c>
    </row>
    <row r="180" spans="1:15">
      <c r="A180">
        <v>384</v>
      </c>
      <c r="B180" t="s">
        <v>20</v>
      </c>
      <c r="C180" t="s">
        <v>29</v>
      </c>
      <c r="D180" t="s">
        <v>23</v>
      </c>
      <c r="E180" t="s">
        <v>30</v>
      </c>
      <c r="F180" t="s">
        <v>21</v>
      </c>
      <c r="G180" t="s">
        <v>25</v>
      </c>
      <c r="H180">
        <v>3.0609954610243101E-2</v>
      </c>
      <c r="I180">
        <v>2.9623420209737999E-2</v>
      </c>
      <c r="J180">
        <v>2.5999049371616401E-2</v>
      </c>
      <c r="K180">
        <v>2.69441887957006E-2</v>
      </c>
      <c r="L180">
        <v>2.0108249324828301E-2</v>
      </c>
      <c r="M180">
        <v>1.5949269308921599E-2</v>
      </c>
      <c r="N180">
        <v>3.3273381294964002E-2</v>
      </c>
      <c r="O180">
        <v>2.15389647183423E-2</v>
      </c>
    </row>
    <row r="181" spans="1:15">
      <c r="A181">
        <v>390</v>
      </c>
      <c r="B181" t="s">
        <v>20</v>
      </c>
      <c r="C181" t="s">
        <v>29</v>
      </c>
      <c r="D181" t="s">
        <v>23</v>
      </c>
      <c r="E181" t="s">
        <v>30</v>
      </c>
      <c r="F181" t="s">
        <v>28</v>
      </c>
      <c r="G181" t="s">
        <v>25</v>
      </c>
      <c r="H181">
        <v>3.0331665919501202E-2</v>
      </c>
      <c r="I181">
        <v>2.9335274501882599E-2</v>
      </c>
      <c r="J181">
        <v>2.57884515407097E-2</v>
      </c>
      <c r="K181">
        <v>2.67464042486311E-2</v>
      </c>
      <c r="L181">
        <v>1.9944752508730401E-2</v>
      </c>
      <c r="M181">
        <v>1.5857207126242001E-2</v>
      </c>
      <c r="N181">
        <v>3.2820816085156697E-2</v>
      </c>
      <c r="O181">
        <v>2.1456574100246099E-2</v>
      </c>
    </row>
    <row r="182" spans="1:15">
      <c r="A182">
        <v>397</v>
      </c>
      <c r="B182" t="s">
        <v>20</v>
      </c>
      <c r="C182" t="s">
        <v>29</v>
      </c>
      <c r="D182" t="s">
        <v>23</v>
      </c>
      <c r="E182" t="s">
        <v>30</v>
      </c>
      <c r="F182" t="s">
        <v>29</v>
      </c>
      <c r="G182" t="s">
        <v>25</v>
      </c>
      <c r="H182">
        <v>5.1311034749959199E-3</v>
      </c>
      <c r="I182">
        <v>5.0022950235627398E-3</v>
      </c>
      <c r="J182">
        <v>4.3979728616278402E-3</v>
      </c>
      <c r="K182">
        <v>4.5739001060123002E-3</v>
      </c>
      <c r="L182">
        <v>3.4443158831659799E-3</v>
      </c>
      <c r="M182">
        <v>2.7680573627894998E-3</v>
      </c>
      <c r="N182">
        <v>5.5720094372772398E-3</v>
      </c>
      <c r="O182">
        <v>3.66348059676705E-3</v>
      </c>
    </row>
    <row r="183" spans="1:15">
      <c r="A183">
        <v>442</v>
      </c>
      <c r="B183" t="s">
        <v>20</v>
      </c>
      <c r="C183" t="s">
        <v>29</v>
      </c>
      <c r="D183" t="s">
        <v>25</v>
      </c>
      <c r="E183" t="s">
        <v>30</v>
      </c>
      <c r="F183" t="s">
        <v>21</v>
      </c>
      <c r="G183" t="s">
        <v>23</v>
      </c>
      <c r="H183">
        <v>2.8131987043495598E-3</v>
      </c>
      <c r="I183">
        <v>2.7031588890106899E-3</v>
      </c>
      <c r="J183">
        <v>2.38841892461853E-3</v>
      </c>
      <c r="K183">
        <v>2.45450825249927E-3</v>
      </c>
      <c r="L183">
        <v>1.7852449832496901E-3</v>
      </c>
      <c r="M183">
        <v>1.39815012193926E-3</v>
      </c>
      <c r="N183">
        <v>3.0307023323230902E-3</v>
      </c>
      <c r="O183">
        <v>1.9278100965945499E-3</v>
      </c>
    </row>
    <row r="184" spans="1:15">
      <c r="A184">
        <v>448</v>
      </c>
      <c r="B184" t="s">
        <v>20</v>
      </c>
      <c r="C184" t="s">
        <v>29</v>
      </c>
      <c r="D184" t="s">
        <v>25</v>
      </c>
      <c r="E184" t="s">
        <v>30</v>
      </c>
      <c r="F184" t="s">
        <v>28</v>
      </c>
      <c r="G184" t="s">
        <v>23</v>
      </c>
      <c r="H184">
        <v>3.3642561634834901E-3</v>
      </c>
      <c r="I184">
        <v>3.29723184179222E-3</v>
      </c>
      <c r="J184">
        <v>2.8912555188867302E-3</v>
      </c>
      <c r="K184">
        <v>3.0387048710793E-3</v>
      </c>
      <c r="L184">
        <v>2.21463723013474E-3</v>
      </c>
      <c r="M184">
        <v>1.7791284146186301E-3</v>
      </c>
      <c r="N184">
        <v>3.64562744322923E-3</v>
      </c>
      <c r="O184">
        <v>2.3980592152215699E-3</v>
      </c>
    </row>
    <row r="185" spans="1:15">
      <c r="A185">
        <v>454</v>
      </c>
      <c r="B185" t="s">
        <v>20</v>
      </c>
      <c r="C185" t="s">
        <v>29</v>
      </c>
      <c r="D185" t="s">
        <v>25</v>
      </c>
      <c r="E185" t="s">
        <v>30</v>
      </c>
      <c r="F185" t="s">
        <v>29</v>
      </c>
      <c r="G185" t="s">
        <v>23</v>
      </c>
      <c r="H185">
        <v>4.35882402536666E-3</v>
      </c>
      <c r="I185">
        <v>4.2479832359335898E-3</v>
      </c>
      <c r="J185">
        <v>3.7617702042947601E-3</v>
      </c>
      <c r="K185">
        <v>3.9034802572462E-3</v>
      </c>
      <c r="L185">
        <v>2.89659349013965E-3</v>
      </c>
      <c r="M185">
        <v>2.32905333766993E-3</v>
      </c>
      <c r="N185">
        <v>4.6997847762111798E-3</v>
      </c>
      <c r="O185">
        <v>3.1462726044739599E-3</v>
      </c>
    </row>
    <row r="186" spans="1:15">
      <c r="A186">
        <v>495</v>
      </c>
      <c r="B186" t="s">
        <v>30</v>
      </c>
      <c r="C186" t="s">
        <v>21</v>
      </c>
      <c r="D186" t="s">
        <v>23</v>
      </c>
      <c r="E186" t="s">
        <v>30</v>
      </c>
      <c r="F186" t="s">
        <v>21</v>
      </c>
      <c r="G186" t="s">
        <v>25</v>
      </c>
      <c r="H186">
        <v>1.9221239984088999E-2</v>
      </c>
      <c r="I186">
        <v>1.8541330679073501E-2</v>
      </c>
      <c r="J186">
        <v>1.6149449680993501E-2</v>
      </c>
      <c r="K186">
        <v>1.6905574153291199E-2</v>
      </c>
      <c r="L186">
        <v>1.19652191176268E-2</v>
      </c>
      <c r="M186">
        <v>9.2991380510991407E-3</v>
      </c>
      <c r="N186">
        <v>2.0683453237409999E-2</v>
      </c>
      <c r="O186">
        <v>1.28173228154418E-2</v>
      </c>
    </row>
    <row r="187" spans="1:15">
      <c r="A187">
        <v>501</v>
      </c>
      <c r="B187" t="s">
        <v>30</v>
      </c>
      <c r="C187" t="s">
        <v>21</v>
      </c>
      <c r="D187" t="s">
        <v>23</v>
      </c>
      <c r="E187" t="s">
        <v>30</v>
      </c>
      <c r="F187" t="s">
        <v>28</v>
      </c>
      <c r="G187" t="s">
        <v>25</v>
      </c>
      <c r="H187">
        <v>1.9164270686369101E-2</v>
      </c>
      <c r="I187">
        <v>1.83542358673346E-2</v>
      </c>
      <c r="J187">
        <v>1.6171501709361699E-2</v>
      </c>
      <c r="K187">
        <v>1.6777301741081E-2</v>
      </c>
      <c r="L187">
        <v>1.20223570212521E-2</v>
      </c>
      <c r="M187">
        <v>9.3372533664449597E-3</v>
      </c>
      <c r="N187">
        <v>2.0402128917800098E-2</v>
      </c>
      <c r="O187">
        <v>1.31219525016742E-2</v>
      </c>
    </row>
    <row r="188" spans="1:15">
      <c r="A188">
        <v>508</v>
      </c>
      <c r="B188" t="s">
        <v>30</v>
      </c>
      <c r="C188" t="s">
        <v>21</v>
      </c>
      <c r="D188" t="s">
        <v>23</v>
      </c>
      <c r="E188" t="s">
        <v>30</v>
      </c>
      <c r="F188" t="s">
        <v>29</v>
      </c>
      <c r="G188" t="s">
        <v>25</v>
      </c>
      <c r="H188">
        <v>3.2069028940458202E-3</v>
      </c>
      <c r="I188">
        <v>3.09541435339629E-3</v>
      </c>
      <c r="J188">
        <v>2.6896338813287902E-3</v>
      </c>
      <c r="K188">
        <v>2.8147998089397301E-3</v>
      </c>
      <c r="L188">
        <v>2.0403922792087302E-3</v>
      </c>
      <c r="M188">
        <v>1.5890326112873901E-3</v>
      </c>
      <c r="N188">
        <v>3.46368154209126E-3</v>
      </c>
      <c r="O188">
        <v>2.1479318397629702E-3</v>
      </c>
    </row>
    <row r="189" spans="1:15">
      <c r="A189">
        <v>528</v>
      </c>
      <c r="B189" t="s">
        <v>30</v>
      </c>
      <c r="C189" t="s">
        <v>21</v>
      </c>
      <c r="D189" t="s">
        <v>25</v>
      </c>
      <c r="E189" t="s">
        <v>30</v>
      </c>
      <c r="F189" t="s">
        <v>28</v>
      </c>
      <c r="G189" t="s">
        <v>23</v>
      </c>
      <c r="H189">
        <v>2.3008119767004499E-2</v>
      </c>
      <c r="I189">
        <v>2.2223736906067999E-2</v>
      </c>
      <c r="J189">
        <v>1.9505659549908301E-2</v>
      </c>
      <c r="K189">
        <v>2.0280777372223498E-2</v>
      </c>
      <c r="L189">
        <v>1.5000140416200999E-2</v>
      </c>
      <c r="M189">
        <v>1.19939975214533E-2</v>
      </c>
      <c r="N189">
        <v>2.4880095923261299E-2</v>
      </c>
      <c r="O189">
        <v>1.6060814595768601E-2</v>
      </c>
    </row>
    <row r="190" spans="1:15">
      <c r="A190">
        <v>534</v>
      </c>
      <c r="B190" t="s">
        <v>30</v>
      </c>
      <c r="C190" t="s">
        <v>21</v>
      </c>
      <c r="D190" t="s">
        <v>25</v>
      </c>
      <c r="E190" t="s">
        <v>30</v>
      </c>
      <c r="F190" t="s">
        <v>29</v>
      </c>
      <c r="G190" t="s">
        <v>23</v>
      </c>
      <c r="H190">
        <v>2.95267196360036E-2</v>
      </c>
      <c r="I190">
        <v>2.8556259639120798E-2</v>
      </c>
      <c r="J190">
        <v>2.5145908700471301E-2</v>
      </c>
      <c r="K190">
        <v>2.5958239572879901E-2</v>
      </c>
      <c r="L190">
        <v>1.90493266128684E-2</v>
      </c>
      <c r="M190">
        <v>1.51643742051864E-2</v>
      </c>
      <c r="N190">
        <v>3.2074340527577898E-2</v>
      </c>
      <c r="O190">
        <v>2.0628964301396199E-2</v>
      </c>
    </row>
    <row r="191" spans="1:15">
      <c r="A191">
        <v>576</v>
      </c>
      <c r="B191" t="s">
        <v>30</v>
      </c>
      <c r="C191" t="s">
        <v>28</v>
      </c>
      <c r="D191" t="s">
        <v>23</v>
      </c>
      <c r="E191" t="s">
        <v>30</v>
      </c>
      <c r="F191" t="s">
        <v>28</v>
      </c>
      <c r="G191" t="s">
        <v>25</v>
      </c>
      <c r="H191">
        <v>2.2794976659796799E-2</v>
      </c>
      <c r="I191">
        <v>2.2008341050901301E-2</v>
      </c>
      <c r="J191">
        <v>1.9486165163732999E-2</v>
      </c>
      <c r="K191">
        <v>2.0133360598010401E-2</v>
      </c>
      <c r="L191">
        <v>1.48678888810828E-2</v>
      </c>
      <c r="M191">
        <v>1.20055834501346E-2</v>
      </c>
      <c r="N191">
        <v>2.4541691306918901E-2</v>
      </c>
      <c r="O191">
        <v>1.61769321994721E-2</v>
      </c>
    </row>
    <row r="192" spans="1:15">
      <c r="A192">
        <v>583</v>
      </c>
      <c r="B192" t="s">
        <v>30</v>
      </c>
      <c r="C192" t="s">
        <v>28</v>
      </c>
      <c r="D192" t="s">
        <v>23</v>
      </c>
      <c r="E192" t="s">
        <v>30</v>
      </c>
      <c r="F192" t="s">
        <v>29</v>
      </c>
      <c r="G192" t="s">
        <v>25</v>
      </c>
      <c r="H192">
        <v>3.8517643299453199E-3</v>
      </c>
      <c r="I192">
        <v>3.7492710937721001E-3</v>
      </c>
      <c r="J192">
        <v>3.2861900756283599E-3</v>
      </c>
      <c r="K192">
        <v>3.44084663021415E-3</v>
      </c>
      <c r="L192">
        <v>2.5696611205603698E-3</v>
      </c>
      <c r="M192">
        <v>2.0634228699126099E-3</v>
      </c>
      <c r="N192">
        <v>4.1664575071532501E-3</v>
      </c>
      <c r="O192">
        <v>2.6984906804098699E-3</v>
      </c>
    </row>
    <row r="193" spans="1:15">
      <c r="A193">
        <v>597</v>
      </c>
      <c r="B193" t="s">
        <v>30</v>
      </c>
      <c r="C193" t="s">
        <v>28</v>
      </c>
      <c r="D193" t="s">
        <v>25</v>
      </c>
      <c r="E193" t="s">
        <v>30</v>
      </c>
      <c r="F193" t="s">
        <v>29</v>
      </c>
      <c r="G193" t="s">
        <v>23</v>
      </c>
      <c r="H193">
        <v>2.92884968214412E-2</v>
      </c>
      <c r="I193">
        <v>2.8356293310486301E-2</v>
      </c>
      <c r="J193">
        <v>2.4969125893032702E-2</v>
      </c>
      <c r="K193">
        <v>2.5886682537010101E-2</v>
      </c>
      <c r="L193">
        <v>1.9000174970829099E-2</v>
      </c>
      <c r="M193">
        <v>1.5188072169241999E-2</v>
      </c>
      <c r="N193">
        <v>3.1638083973979797E-2</v>
      </c>
      <c r="O193">
        <v>2.0604409963470498E-2</v>
      </c>
    </row>
    <row r="194" spans="1:15">
      <c r="A194">
        <v>622</v>
      </c>
      <c r="B194" t="s">
        <v>30</v>
      </c>
      <c r="C194" t="s">
        <v>29</v>
      </c>
      <c r="D194" t="s">
        <v>23</v>
      </c>
      <c r="E194" t="s">
        <v>30</v>
      </c>
      <c r="F194" t="s">
        <v>29</v>
      </c>
      <c r="G194" t="s">
        <v>25</v>
      </c>
      <c r="H194">
        <v>4.9698673516819598E-3</v>
      </c>
      <c r="I194">
        <v>4.8259622328372604E-3</v>
      </c>
      <c r="J194">
        <v>4.2947677072248096E-3</v>
      </c>
      <c r="K194">
        <v>4.4146218765186603E-3</v>
      </c>
      <c r="L194">
        <v>3.3367624216494099E-3</v>
      </c>
      <c r="M194">
        <v>2.6806718699175802E-3</v>
      </c>
      <c r="N194">
        <v>5.3712163044023799E-3</v>
      </c>
      <c r="O194">
        <v>3.5549823130286598E-3</v>
      </c>
    </row>
    <row r="196" spans="1:15">
      <c r="A196" t="s">
        <v>25</v>
      </c>
    </row>
    <row r="197" spans="1:15">
      <c r="A197" t="s">
        <v>23</v>
      </c>
      <c r="B197" t="s">
        <v>17</v>
      </c>
      <c r="E197" t="s">
        <v>19</v>
      </c>
      <c r="H197" t="s">
        <v>1</v>
      </c>
      <c r="I197" t="s">
        <v>3</v>
      </c>
      <c r="J197" t="s">
        <v>5</v>
      </c>
      <c r="K197" t="s">
        <v>7</v>
      </c>
      <c r="L197" t="s">
        <v>9</v>
      </c>
      <c r="M197" t="s">
        <v>11</v>
      </c>
      <c r="N197" t="s">
        <v>13</v>
      </c>
      <c r="O197" t="s">
        <v>15</v>
      </c>
    </row>
    <row r="198" spans="1:15">
      <c r="A198">
        <v>70</v>
      </c>
      <c r="B198" t="s">
        <v>20</v>
      </c>
      <c r="C198" t="s">
        <v>21</v>
      </c>
      <c r="D198" t="s">
        <v>24</v>
      </c>
      <c r="E198" t="s">
        <v>20</v>
      </c>
      <c r="F198" t="s">
        <v>21</v>
      </c>
      <c r="G198" t="s">
        <v>26</v>
      </c>
      <c r="H198">
        <v>0.641218738105923</v>
      </c>
      <c r="I198">
        <v>0.620445850417496</v>
      </c>
      <c r="J198">
        <v>0.53073032174573598</v>
      </c>
      <c r="K198">
        <v>0.53425743940291504</v>
      </c>
      <c r="L198">
        <v>0.39080309278931802</v>
      </c>
      <c r="M198">
        <v>0.29017289229680499</v>
      </c>
      <c r="N198">
        <v>0.75957257346393503</v>
      </c>
      <c r="O198">
        <v>0.40989154867139899</v>
      </c>
    </row>
    <row r="199" spans="1:15">
      <c r="A199">
        <v>76</v>
      </c>
      <c r="B199" t="s">
        <v>20</v>
      </c>
      <c r="C199" t="s">
        <v>21</v>
      </c>
      <c r="D199" t="s">
        <v>24</v>
      </c>
      <c r="E199" t="s">
        <v>20</v>
      </c>
      <c r="F199" t="s">
        <v>28</v>
      </c>
      <c r="G199" t="s">
        <v>26</v>
      </c>
      <c r="H199">
        <v>0.65636648979090895</v>
      </c>
      <c r="I199">
        <v>0.60265802104286303</v>
      </c>
      <c r="J199">
        <v>0.54689160620408594</v>
      </c>
      <c r="K199">
        <v>0.50894454582916304</v>
      </c>
      <c r="L199">
        <v>0.38142079975314402</v>
      </c>
      <c r="M199">
        <v>0.27792140474206001</v>
      </c>
      <c r="N199">
        <v>0.74665162406413998</v>
      </c>
      <c r="O199">
        <v>0.41165616668036897</v>
      </c>
    </row>
    <row r="200" spans="1:15">
      <c r="A200">
        <v>83</v>
      </c>
      <c r="B200" t="s">
        <v>20</v>
      </c>
      <c r="C200" t="s">
        <v>21</v>
      </c>
      <c r="D200" t="s">
        <v>24</v>
      </c>
      <c r="E200" t="s">
        <v>20</v>
      </c>
      <c r="F200" t="s">
        <v>29</v>
      </c>
      <c r="G200" t="s">
        <v>26</v>
      </c>
      <c r="H200">
        <v>0.103619813220257</v>
      </c>
      <c r="I200">
        <v>0.100605483476032</v>
      </c>
      <c r="J200">
        <v>8.7519533162208105E-2</v>
      </c>
      <c r="K200">
        <v>9.0130855187553399E-2</v>
      </c>
      <c r="L200">
        <v>6.70887708928498E-2</v>
      </c>
      <c r="M200">
        <v>5.3171255678894698E-2</v>
      </c>
      <c r="N200">
        <v>0.115102554875854</v>
      </c>
      <c r="O200">
        <v>6.9812968418098198E-2</v>
      </c>
    </row>
    <row r="201" spans="1:15">
      <c r="A201">
        <v>88</v>
      </c>
      <c r="B201" t="s">
        <v>20</v>
      </c>
      <c r="C201" t="s">
        <v>21</v>
      </c>
      <c r="D201" t="s">
        <v>24</v>
      </c>
      <c r="E201" t="s">
        <v>30</v>
      </c>
      <c r="F201" t="s">
        <v>21</v>
      </c>
      <c r="G201" t="s">
        <v>26</v>
      </c>
      <c r="H201">
        <v>0.65161611178025503</v>
      </c>
      <c r="I201">
        <v>0.63727143580490297</v>
      </c>
      <c r="J201">
        <v>0.53924089229640404</v>
      </c>
      <c r="K201">
        <v>0.54964066716660498</v>
      </c>
      <c r="L201">
        <v>0.39851282201302002</v>
      </c>
      <c r="M201">
        <v>0.29703789953464199</v>
      </c>
      <c r="N201">
        <v>0.77663125948406597</v>
      </c>
      <c r="O201">
        <v>0.41657909157647499</v>
      </c>
    </row>
    <row r="202" spans="1:15">
      <c r="A202">
        <v>94</v>
      </c>
      <c r="B202" t="s">
        <v>20</v>
      </c>
      <c r="C202" t="s">
        <v>21</v>
      </c>
      <c r="D202" t="s">
        <v>24</v>
      </c>
      <c r="E202" t="s">
        <v>30</v>
      </c>
      <c r="F202" t="s">
        <v>28</v>
      </c>
      <c r="G202" t="s">
        <v>26</v>
      </c>
      <c r="H202">
        <v>0.64664749908997499</v>
      </c>
      <c r="I202">
        <v>0.63305363112217805</v>
      </c>
      <c r="J202">
        <v>0.53750509566426796</v>
      </c>
      <c r="K202">
        <v>0.54744690631442605</v>
      </c>
      <c r="L202">
        <v>0.39527519655316401</v>
      </c>
      <c r="M202">
        <v>0.29609879943614398</v>
      </c>
      <c r="N202">
        <v>0.76823776643650499</v>
      </c>
      <c r="O202">
        <v>0.41635033887693101</v>
      </c>
    </row>
    <row r="203" spans="1:15">
      <c r="A203">
        <v>101</v>
      </c>
      <c r="B203" t="s">
        <v>20</v>
      </c>
      <c r="C203" t="s">
        <v>21</v>
      </c>
      <c r="D203" t="s">
        <v>24</v>
      </c>
      <c r="E203" t="s">
        <v>30</v>
      </c>
      <c r="F203" t="s">
        <v>29</v>
      </c>
      <c r="G203" t="s">
        <v>26</v>
      </c>
      <c r="H203">
        <v>0.117359824407678</v>
      </c>
      <c r="I203">
        <v>0.114479924012737</v>
      </c>
      <c r="J203">
        <v>9.9120010938216693E-2</v>
      </c>
      <c r="K203">
        <v>0.10237184250679</v>
      </c>
      <c r="L203">
        <v>7.6178509126726204E-2</v>
      </c>
      <c r="M203">
        <v>6.0491107353127099E-2</v>
      </c>
      <c r="N203">
        <v>0.13136550308008199</v>
      </c>
      <c r="O203">
        <v>7.8702676553328396E-2</v>
      </c>
    </row>
    <row r="204" spans="1:15">
      <c r="A204">
        <v>137</v>
      </c>
      <c r="B204" t="s">
        <v>20</v>
      </c>
      <c r="C204" t="s">
        <v>21</v>
      </c>
      <c r="D204" t="s">
        <v>26</v>
      </c>
      <c r="E204" t="s">
        <v>20</v>
      </c>
      <c r="F204" t="s">
        <v>28</v>
      </c>
      <c r="G204" t="s">
        <v>24</v>
      </c>
      <c r="H204">
        <v>0.66366910487173603</v>
      </c>
      <c r="I204">
        <v>0.630650041754513</v>
      </c>
      <c r="J204">
        <v>0.54541239297670296</v>
      </c>
      <c r="K204">
        <v>0.54527364389104505</v>
      </c>
      <c r="L204">
        <v>0.40146426844684002</v>
      </c>
      <c r="M204">
        <v>0.2996396719785</v>
      </c>
      <c r="N204">
        <v>0.76341986894079505</v>
      </c>
      <c r="O204">
        <v>0.423136405415525</v>
      </c>
    </row>
    <row r="205" spans="1:15">
      <c r="A205">
        <v>143</v>
      </c>
      <c r="B205" t="s">
        <v>20</v>
      </c>
      <c r="C205" t="s">
        <v>21</v>
      </c>
      <c r="D205" t="s">
        <v>26</v>
      </c>
      <c r="E205" t="s">
        <v>20</v>
      </c>
      <c r="F205" t="s">
        <v>29</v>
      </c>
      <c r="G205" t="s">
        <v>24</v>
      </c>
      <c r="H205">
        <v>0.60584754768357496</v>
      </c>
      <c r="I205">
        <v>0.57610613946357403</v>
      </c>
      <c r="J205">
        <v>0.49627361929785102</v>
      </c>
      <c r="K205">
        <v>0.49989742152231897</v>
      </c>
      <c r="L205">
        <v>0.359797816017903</v>
      </c>
      <c r="M205">
        <v>0.26472808481113602</v>
      </c>
      <c r="N205">
        <v>0.69040159185602901</v>
      </c>
      <c r="O205">
        <v>0.384368727446324</v>
      </c>
    </row>
    <row r="206" spans="1:15">
      <c r="A206">
        <v>149</v>
      </c>
      <c r="B206" t="s">
        <v>20</v>
      </c>
      <c r="C206" t="s">
        <v>21</v>
      </c>
      <c r="D206" t="s">
        <v>26</v>
      </c>
      <c r="E206" t="s">
        <v>30</v>
      </c>
      <c r="F206" t="s">
        <v>21</v>
      </c>
      <c r="G206" t="s">
        <v>24</v>
      </c>
      <c r="H206">
        <v>0.59067371802877799</v>
      </c>
      <c r="I206">
        <v>0.61181015199519495</v>
      </c>
      <c r="J206">
        <v>0.44364226163945403</v>
      </c>
      <c r="K206">
        <v>0.527113880617887</v>
      </c>
      <c r="L206">
        <v>0.32594639078533</v>
      </c>
      <c r="M206">
        <v>0.23642799918532101</v>
      </c>
      <c r="N206">
        <v>0.74738988475486201</v>
      </c>
      <c r="O206">
        <v>0.34305649832035001</v>
      </c>
    </row>
    <row r="207" spans="1:15">
      <c r="A207">
        <v>155</v>
      </c>
      <c r="B207" t="s">
        <v>20</v>
      </c>
      <c r="C207" t="s">
        <v>21</v>
      </c>
      <c r="D207" t="s">
        <v>26</v>
      </c>
      <c r="E207" t="s">
        <v>30</v>
      </c>
      <c r="F207" t="s">
        <v>28</v>
      </c>
      <c r="G207" t="s">
        <v>24</v>
      </c>
      <c r="H207">
        <v>0.58410307666014705</v>
      </c>
      <c r="I207">
        <v>0.61169766033708395</v>
      </c>
      <c r="J207">
        <v>0.43733948922403698</v>
      </c>
      <c r="K207">
        <v>0.52629625411256797</v>
      </c>
      <c r="L207">
        <v>0.31930897326329399</v>
      </c>
      <c r="M207">
        <v>0.23080061487241399</v>
      </c>
      <c r="N207">
        <v>0.74620407790487897</v>
      </c>
      <c r="O207">
        <v>0.33754566598700197</v>
      </c>
    </row>
    <row r="208" spans="1:15">
      <c r="A208">
        <v>161</v>
      </c>
      <c r="B208" t="s">
        <v>20</v>
      </c>
      <c r="C208" t="s">
        <v>21</v>
      </c>
      <c r="D208" t="s">
        <v>26</v>
      </c>
      <c r="E208" t="s">
        <v>30</v>
      </c>
      <c r="F208" t="s">
        <v>29</v>
      </c>
      <c r="G208" t="s">
        <v>24</v>
      </c>
      <c r="H208">
        <v>0.46178770395169499</v>
      </c>
      <c r="I208">
        <v>0.44713896694182298</v>
      </c>
      <c r="J208">
        <v>0.37509247515522698</v>
      </c>
      <c r="K208">
        <v>0.39751967969743501</v>
      </c>
      <c r="L208">
        <v>0.25565411133330801</v>
      </c>
      <c r="M208">
        <v>0.18697400882777299</v>
      </c>
      <c r="N208">
        <v>0.51617690709409303</v>
      </c>
      <c r="O208">
        <v>0.29087638873730598</v>
      </c>
    </row>
    <row r="209" spans="1:15">
      <c r="A209">
        <v>253</v>
      </c>
      <c r="B209" t="s">
        <v>20</v>
      </c>
      <c r="C209" t="s">
        <v>28</v>
      </c>
      <c r="D209" t="s">
        <v>24</v>
      </c>
      <c r="E209" t="s">
        <v>20</v>
      </c>
      <c r="F209" t="s">
        <v>28</v>
      </c>
      <c r="G209" t="s">
        <v>26</v>
      </c>
      <c r="H209">
        <v>0.66220114138764097</v>
      </c>
      <c r="I209">
        <v>0.61502271721878499</v>
      </c>
      <c r="J209">
        <v>0.55998942858316403</v>
      </c>
      <c r="K209">
        <v>0.52146020092985801</v>
      </c>
      <c r="L209">
        <v>0.39124584167057502</v>
      </c>
      <c r="M209">
        <v>0.288494800745906</v>
      </c>
      <c r="N209">
        <v>0.74574481639907397</v>
      </c>
      <c r="O209">
        <v>0.42311687396292302</v>
      </c>
    </row>
    <row r="210" spans="1:15">
      <c r="A210">
        <v>260</v>
      </c>
      <c r="B210" t="s">
        <v>20</v>
      </c>
      <c r="C210" t="s">
        <v>28</v>
      </c>
      <c r="D210" t="s">
        <v>24</v>
      </c>
      <c r="E210" t="s">
        <v>20</v>
      </c>
      <c r="F210" t="s">
        <v>29</v>
      </c>
      <c r="G210" t="s">
        <v>26</v>
      </c>
      <c r="H210">
        <v>0.105877677191036</v>
      </c>
      <c r="I210">
        <v>0.10068291582741599</v>
      </c>
      <c r="J210">
        <v>8.9686615665882097E-2</v>
      </c>
      <c r="K210">
        <v>8.9832588965525595E-2</v>
      </c>
      <c r="L210">
        <v>6.81121584131575E-2</v>
      </c>
      <c r="M210">
        <v>5.3125166919436098E-2</v>
      </c>
      <c r="N210">
        <v>0.115687366789381</v>
      </c>
      <c r="O210">
        <v>7.1579702432580494E-2</v>
      </c>
    </row>
    <row r="211" spans="1:15">
      <c r="A211">
        <v>265</v>
      </c>
      <c r="B211" t="s">
        <v>20</v>
      </c>
      <c r="C211" t="s">
        <v>28</v>
      </c>
      <c r="D211" t="s">
        <v>24</v>
      </c>
      <c r="E211" t="s">
        <v>30</v>
      </c>
      <c r="F211" t="s">
        <v>21</v>
      </c>
      <c r="G211" t="s">
        <v>26</v>
      </c>
      <c r="H211">
        <v>0.67468674134561402</v>
      </c>
      <c r="I211">
        <v>0.64662492207517397</v>
      </c>
      <c r="J211">
        <v>0.55406131382811297</v>
      </c>
      <c r="K211">
        <v>0.55959621990820096</v>
      </c>
      <c r="L211">
        <v>0.40739822809759801</v>
      </c>
      <c r="M211">
        <v>0.30432849962778602</v>
      </c>
      <c r="N211">
        <v>0.78057663125948396</v>
      </c>
      <c r="O211">
        <v>0.42943786797821598</v>
      </c>
    </row>
    <row r="212" spans="1:15">
      <c r="A212">
        <v>271</v>
      </c>
      <c r="B212" t="s">
        <v>20</v>
      </c>
      <c r="C212" t="s">
        <v>28</v>
      </c>
      <c r="D212" t="s">
        <v>24</v>
      </c>
      <c r="E212" t="s">
        <v>30</v>
      </c>
      <c r="F212" t="s">
        <v>28</v>
      </c>
      <c r="G212" t="s">
        <v>26</v>
      </c>
      <c r="H212">
        <v>0.66747348440103205</v>
      </c>
      <c r="I212">
        <v>0.64177093250221595</v>
      </c>
      <c r="J212">
        <v>0.55017544565260301</v>
      </c>
      <c r="K212">
        <v>0.55630311516765596</v>
      </c>
      <c r="L212">
        <v>0.404886440689807</v>
      </c>
      <c r="M212">
        <v>0.30347281809381299</v>
      </c>
      <c r="N212">
        <v>0.77214049834884402</v>
      </c>
      <c r="O212">
        <v>0.42716560450414898</v>
      </c>
    </row>
    <row r="213" spans="1:15">
      <c r="A213">
        <v>278</v>
      </c>
      <c r="B213" t="s">
        <v>20</v>
      </c>
      <c r="C213" t="s">
        <v>28</v>
      </c>
      <c r="D213" t="s">
        <v>24</v>
      </c>
      <c r="E213" t="s">
        <v>30</v>
      </c>
      <c r="F213" t="s">
        <v>29</v>
      </c>
      <c r="G213" t="s">
        <v>26</v>
      </c>
      <c r="H213">
        <v>0.120297350220558</v>
      </c>
      <c r="I213">
        <v>0.114298565330683</v>
      </c>
      <c r="J213">
        <v>0.10193965551331199</v>
      </c>
      <c r="K213">
        <v>0.10160591372200101</v>
      </c>
      <c r="L213">
        <v>7.7455996232121099E-2</v>
      </c>
      <c r="M213">
        <v>6.0951707840792402E-2</v>
      </c>
      <c r="N213">
        <v>0.13203285420944499</v>
      </c>
      <c r="O213">
        <v>8.1051638925527705E-2</v>
      </c>
    </row>
    <row r="214" spans="1:15">
      <c r="A214">
        <v>308</v>
      </c>
      <c r="B214" t="s">
        <v>20</v>
      </c>
      <c r="C214" t="s">
        <v>28</v>
      </c>
      <c r="D214" t="s">
        <v>26</v>
      </c>
      <c r="E214" t="s">
        <v>20</v>
      </c>
      <c r="F214" t="s">
        <v>29</v>
      </c>
      <c r="G214" t="s">
        <v>24</v>
      </c>
      <c r="H214">
        <v>0.60868327701737901</v>
      </c>
      <c r="I214">
        <v>0.560527465052575</v>
      </c>
      <c r="J214">
        <v>0.51675480625290804</v>
      </c>
      <c r="K214">
        <v>0.47604854093471399</v>
      </c>
      <c r="L214">
        <v>0.35401877407499699</v>
      </c>
      <c r="M214">
        <v>0.25867708462554401</v>
      </c>
      <c r="N214">
        <v>0.67185113830446497</v>
      </c>
      <c r="O214">
        <v>0.38963509830927401</v>
      </c>
    </row>
    <row r="215" spans="1:15">
      <c r="A215">
        <v>314</v>
      </c>
      <c r="B215" t="s">
        <v>20</v>
      </c>
      <c r="C215" t="s">
        <v>28</v>
      </c>
      <c r="D215" t="s">
        <v>26</v>
      </c>
      <c r="E215" t="s">
        <v>30</v>
      </c>
      <c r="F215" t="s">
        <v>21</v>
      </c>
      <c r="G215" t="s">
        <v>24</v>
      </c>
      <c r="H215">
        <v>0.59696601174586095</v>
      </c>
      <c r="I215">
        <v>0.60325823466083695</v>
      </c>
      <c r="J215">
        <v>0.47206030958081502</v>
      </c>
      <c r="K215">
        <v>0.51242112316746302</v>
      </c>
      <c r="L215">
        <v>0.33091263343715899</v>
      </c>
      <c r="M215">
        <v>0.23826637371665799</v>
      </c>
      <c r="N215">
        <v>0.73266869333567997</v>
      </c>
      <c r="O215">
        <v>0.34873082257699201</v>
      </c>
    </row>
    <row r="216" spans="1:15">
      <c r="A216">
        <v>320</v>
      </c>
      <c r="B216" t="s">
        <v>20</v>
      </c>
      <c r="C216" t="s">
        <v>28</v>
      </c>
      <c r="D216" t="s">
        <v>26</v>
      </c>
      <c r="E216" t="s">
        <v>30</v>
      </c>
      <c r="F216" t="s">
        <v>28</v>
      </c>
      <c r="G216" t="s">
        <v>24</v>
      </c>
      <c r="H216">
        <v>0.59394104980765094</v>
      </c>
      <c r="I216">
        <v>0.61510947476803701</v>
      </c>
      <c r="J216">
        <v>0.470351245534955</v>
      </c>
      <c r="K216">
        <v>0.52597372349915394</v>
      </c>
      <c r="L216">
        <v>0.32778988022539102</v>
      </c>
      <c r="M216">
        <v>0.237882574097383</v>
      </c>
      <c r="N216">
        <v>0.72884296183199604</v>
      </c>
      <c r="O216">
        <v>0.35077521503686299</v>
      </c>
    </row>
    <row r="217" spans="1:15">
      <c r="A217">
        <v>326</v>
      </c>
      <c r="B217" t="s">
        <v>20</v>
      </c>
      <c r="C217" t="s">
        <v>28</v>
      </c>
      <c r="D217" t="s">
        <v>26</v>
      </c>
      <c r="E217" t="s">
        <v>30</v>
      </c>
      <c r="F217" t="s">
        <v>29</v>
      </c>
      <c r="G217" t="s">
        <v>24</v>
      </c>
      <c r="H217">
        <v>0.47093853387978801</v>
      </c>
      <c r="I217">
        <v>0.440218711798396</v>
      </c>
      <c r="J217">
        <v>0.39380716335218902</v>
      </c>
      <c r="K217">
        <v>0.38394594651609198</v>
      </c>
      <c r="L217">
        <v>0.26025376573612002</v>
      </c>
      <c r="M217">
        <v>0.19023551919057999</v>
      </c>
      <c r="N217">
        <v>0.51231502689392105</v>
      </c>
      <c r="O217">
        <v>0.30174569447764199</v>
      </c>
    </row>
    <row r="218" spans="1:15">
      <c r="A218">
        <v>401</v>
      </c>
      <c r="B218" t="s">
        <v>20</v>
      </c>
      <c r="C218" t="s">
        <v>29</v>
      </c>
      <c r="D218" t="s">
        <v>24</v>
      </c>
      <c r="E218" t="s">
        <v>20</v>
      </c>
      <c r="F218" t="s">
        <v>29</v>
      </c>
      <c r="G218" t="s">
        <v>26</v>
      </c>
      <c r="H218">
        <v>9.6422559590873799E-2</v>
      </c>
      <c r="I218">
        <v>9.1112119851115198E-2</v>
      </c>
      <c r="J218">
        <v>8.2022211806535905E-2</v>
      </c>
      <c r="K218">
        <v>8.11738151823687E-2</v>
      </c>
      <c r="L218">
        <v>6.0783704594262702E-2</v>
      </c>
      <c r="M218">
        <v>4.69842784565613E-2</v>
      </c>
      <c r="N218">
        <v>0.10462229952154301</v>
      </c>
      <c r="O218">
        <v>6.5042997178369297E-2</v>
      </c>
    </row>
    <row r="219" spans="1:15">
      <c r="A219">
        <v>406</v>
      </c>
      <c r="B219" t="s">
        <v>20</v>
      </c>
      <c r="C219" t="s">
        <v>29</v>
      </c>
      <c r="D219" t="s">
        <v>24</v>
      </c>
      <c r="E219" t="s">
        <v>30</v>
      </c>
      <c r="F219" t="s">
        <v>21</v>
      </c>
      <c r="G219" t="s">
        <v>26</v>
      </c>
      <c r="H219">
        <v>0.61390323807742697</v>
      </c>
      <c r="I219">
        <v>0.58914110234649297</v>
      </c>
      <c r="J219">
        <v>0.50369336962989897</v>
      </c>
      <c r="K219">
        <v>0.511238901146574</v>
      </c>
      <c r="L219">
        <v>0.36260930476303399</v>
      </c>
      <c r="M219">
        <v>0.26755637075316802</v>
      </c>
      <c r="N219">
        <v>0.70591805766312599</v>
      </c>
      <c r="O219">
        <v>0.38836609132745298</v>
      </c>
    </row>
    <row r="220" spans="1:15">
      <c r="A220">
        <v>412</v>
      </c>
      <c r="B220" t="s">
        <v>20</v>
      </c>
      <c r="C220" t="s">
        <v>29</v>
      </c>
      <c r="D220" t="s">
        <v>24</v>
      </c>
      <c r="E220" t="s">
        <v>30</v>
      </c>
      <c r="F220" t="s">
        <v>28</v>
      </c>
      <c r="G220" t="s">
        <v>26</v>
      </c>
      <c r="H220">
        <v>0.60920573786032695</v>
      </c>
      <c r="I220">
        <v>0.58510411678013496</v>
      </c>
      <c r="J220">
        <v>0.50119145808059096</v>
      </c>
      <c r="K220">
        <v>0.50872011782489202</v>
      </c>
      <c r="L220">
        <v>0.36098270355349199</v>
      </c>
      <c r="M220">
        <v>0.26672619614814802</v>
      </c>
      <c r="N220">
        <v>0.69828880216151301</v>
      </c>
      <c r="O220">
        <v>0.38800707863066802</v>
      </c>
    </row>
    <row r="221" spans="1:15">
      <c r="A221">
        <v>419</v>
      </c>
      <c r="B221" t="s">
        <v>20</v>
      </c>
      <c r="C221" t="s">
        <v>29</v>
      </c>
      <c r="D221" t="s">
        <v>24</v>
      </c>
      <c r="E221" t="s">
        <v>30</v>
      </c>
      <c r="F221" t="s">
        <v>29</v>
      </c>
      <c r="G221" t="s">
        <v>26</v>
      </c>
      <c r="H221">
        <v>0.109532927057877</v>
      </c>
      <c r="I221">
        <v>0.10343828556165199</v>
      </c>
      <c r="J221">
        <v>9.2988158876884303E-2</v>
      </c>
      <c r="K221">
        <v>9.17926750621951E-2</v>
      </c>
      <c r="L221">
        <v>6.88345534075753E-2</v>
      </c>
      <c r="M221">
        <v>5.3475856257933302E-2</v>
      </c>
      <c r="N221">
        <v>0.119404517453798</v>
      </c>
      <c r="O221">
        <v>7.3323294688428201E-2</v>
      </c>
    </row>
    <row r="222" spans="1:15">
      <c r="A222">
        <v>461</v>
      </c>
      <c r="B222" t="s">
        <v>20</v>
      </c>
      <c r="C222" t="s">
        <v>29</v>
      </c>
      <c r="D222" t="s">
        <v>26</v>
      </c>
      <c r="E222" t="s">
        <v>30</v>
      </c>
      <c r="F222" t="s">
        <v>21</v>
      </c>
      <c r="G222" t="s">
        <v>24</v>
      </c>
      <c r="H222">
        <v>9.6400508150838907E-2</v>
      </c>
      <c r="I222">
        <v>9.8849135588065795E-2</v>
      </c>
      <c r="J222">
        <v>7.0906366569186405E-2</v>
      </c>
      <c r="K222">
        <v>8.8456831031703695E-2</v>
      </c>
      <c r="L222">
        <v>5.3682630546253801E-2</v>
      </c>
      <c r="M222">
        <v>4.1439696443351499E-2</v>
      </c>
      <c r="N222">
        <v>0.113260165527168</v>
      </c>
      <c r="O222">
        <v>5.33521695836996E-2</v>
      </c>
    </row>
    <row r="223" spans="1:15">
      <c r="A223">
        <v>467</v>
      </c>
      <c r="B223" t="s">
        <v>20</v>
      </c>
      <c r="C223" t="s">
        <v>29</v>
      </c>
      <c r="D223" t="s">
        <v>26</v>
      </c>
      <c r="E223" t="s">
        <v>30</v>
      </c>
      <c r="F223" t="s">
        <v>28</v>
      </c>
      <c r="G223" t="s">
        <v>24</v>
      </c>
      <c r="H223">
        <v>9.6276282345883701E-2</v>
      </c>
      <c r="I223">
        <v>9.7428407653214505E-2</v>
      </c>
      <c r="J223">
        <v>6.8953888457000206E-2</v>
      </c>
      <c r="K223">
        <v>8.6329419679014405E-2</v>
      </c>
      <c r="L223">
        <v>5.1242830578709E-2</v>
      </c>
      <c r="M223">
        <v>3.8508482535738499E-2</v>
      </c>
      <c r="N223">
        <v>0.113078745352045</v>
      </c>
      <c r="O223">
        <v>5.0893750425797898E-2</v>
      </c>
    </row>
    <row r="224" spans="1:15">
      <c r="A224">
        <v>473</v>
      </c>
      <c r="B224" t="s">
        <v>20</v>
      </c>
      <c r="C224" t="s">
        <v>29</v>
      </c>
      <c r="D224" t="s">
        <v>26</v>
      </c>
      <c r="E224" t="s">
        <v>30</v>
      </c>
      <c r="F224" t="s">
        <v>29</v>
      </c>
      <c r="G224" t="s">
        <v>24</v>
      </c>
      <c r="H224">
        <v>7.1229528861065497E-2</v>
      </c>
      <c r="I224">
        <v>6.9499445463025E-2</v>
      </c>
      <c r="J224">
        <v>5.7373299209058801E-2</v>
      </c>
      <c r="K224">
        <v>6.2890279142451502E-2</v>
      </c>
      <c r="L224">
        <v>4.0982711825769298E-2</v>
      </c>
      <c r="M224">
        <v>3.1387159356471399E-2</v>
      </c>
      <c r="N224">
        <v>7.8220582943504799E-2</v>
      </c>
      <c r="O224">
        <v>4.4348906589674997E-2</v>
      </c>
    </row>
    <row r="225" spans="1:15">
      <c r="A225">
        <v>511</v>
      </c>
      <c r="B225" t="s">
        <v>30</v>
      </c>
      <c r="C225" t="s">
        <v>21</v>
      </c>
      <c r="D225" t="s">
        <v>24</v>
      </c>
      <c r="E225" t="s">
        <v>30</v>
      </c>
      <c r="F225" t="s">
        <v>21</v>
      </c>
      <c r="G225" t="s">
        <v>26</v>
      </c>
      <c r="H225">
        <v>0.594587293100723</v>
      </c>
      <c r="I225">
        <v>0.63152162407552903</v>
      </c>
      <c r="J225">
        <v>0.45230877231101801</v>
      </c>
      <c r="K225">
        <v>0.54788860636939796</v>
      </c>
      <c r="L225">
        <v>0.33405401628599701</v>
      </c>
      <c r="M225">
        <v>0.24444008073506401</v>
      </c>
      <c r="N225">
        <v>0.76418816388467303</v>
      </c>
      <c r="O225">
        <v>0.35128678847495498</v>
      </c>
    </row>
    <row r="226" spans="1:15">
      <c r="A226">
        <v>517</v>
      </c>
      <c r="B226" t="s">
        <v>30</v>
      </c>
      <c r="C226" t="s">
        <v>21</v>
      </c>
      <c r="D226" t="s">
        <v>24</v>
      </c>
      <c r="E226" t="s">
        <v>30</v>
      </c>
      <c r="F226" t="s">
        <v>28</v>
      </c>
      <c r="G226" t="s">
        <v>26</v>
      </c>
      <c r="H226">
        <v>0.60442316801361196</v>
      </c>
      <c r="I226">
        <v>0.62687181294148597</v>
      </c>
      <c r="J226">
        <v>0.45805664448136002</v>
      </c>
      <c r="K226">
        <v>0.54449872220609097</v>
      </c>
      <c r="L226">
        <v>0.33520839077673098</v>
      </c>
      <c r="M226">
        <v>0.24719398238905699</v>
      </c>
      <c r="N226">
        <v>0.75592915040528297</v>
      </c>
      <c r="O226">
        <v>0.35341309761491002</v>
      </c>
    </row>
    <row r="227" spans="1:15">
      <c r="A227">
        <v>524</v>
      </c>
      <c r="B227" t="s">
        <v>30</v>
      </c>
      <c r="C227" t="s">
        <v>21</v>
      </c>
      <c r="D227" t="s">
        <v>24</v>
      </c>
      <c r="E227" t="s">
        <v>30</v>
      </c>
      <c r="F227" t="s">
        <v>29</v>
      </c>
      <c r="G227" t="s">
        <v>26</v>
      </c>
      <c r="H227">
        <v>0.10881105734952499</v>
      </c>
      <c r="I227">
        <v>0.11222880956289399</v>
      </c>
      <c r="J227">
        <v>8.0164853584765994E-2</v>
      </c>
      <c r="K227">
        <v>0.10010370080453</v>
      </c>
      <c r="L227">
        <v>6.10247778319358E-2</v>
      </c>
      <c r="M227">
        <v>4.6785536722859802E-2</v>
      </c>
      <c r="N227">
        <v>0.12926078028747401</v>
      </c>
      <c r="O227">
        <v>6.0187911479963302E-2</v>
      </c>
    </row>
    <row r="228" spans="1:15">
      <c r="A228">
        <v>542</v>
      </c>
      <c r="B228" t="s">
        <v>30</v>
      </c>
      <c r="C228" t="s">
        <v>21</v>
      </c>
      <c r="D228" t="s">
        <v>26</v>
      </c>
      <c r="E228" t="s">
        <v>30</v>
      </c>
      <c r="F228" t="s">
        <v>28</v>
      </c>
      <c r="G228" t="s">
        <v>24</v>
      </c>
      <c r="H228">
        <v>0.58777977195828202</v>
      </c>
      <c r="I228">
        <v>0.62883207056312096</v>
      </c>
      <c r="J228">
        <v>0.444154502737236</v>
      </c>
      <c r="K228">
        <v>0.54264354495149703</v>
      </c>
      <c r="L228">
        <v>0.326780116255319</v>
      </c>
      <c r="M228">
        <v>0.23701958243027099</v>
      </c>
      <c r="N228">
        <v>0.76297420333839105</v>
      </c>
      <c r="O228">
        <v>0.34495197415436102</v>
      </c>
    </row>
    <row r="229" spans="1:15">
      <c r="A229">
        <v>548</v>
      </c>
      <c r="B229" t="s">
        <v>30</v>
      </c>
      <c r="C229" t="s">
        <v>21</v>
      </c>
      <c r="D229" t="s">
        <v>26</v>
      </c>
      <c r="E229" t="s">
        <v>30</v>
      </c>
      <c r="F229" t="s">
        <v>29</v>
      </c>
      <c r="G229" t="s">
        <v>24</v>
      </c>
      <c r="H229">
        <v>0.46721964043230602</v>
      </c>
      <c r="I229">
        <v>0.45859063879225997</v>
      </c>
      <c r="J229">
        <v>0.38017733475422899</v>
      </c>
      <c r="K229">
        <v>0.40864049646026601</v>
      </c>
      <c r="L229">
        <v>0.25910666830665602</v>
      </c>
      <c r="M229">
        <v>0.19031704357662099</v>
      </c>
      <c r="N229">
        <v>0.52776934749620596</v>
      </c>
      <c r="O229">
        <v>0.29329121402458103</v>
      </c>
    </row>
    <row r="230" spans="1:15">
      <c r="A230">
        <v>586</v>
      </c>
      <c r="B230" t="s">
        <v>30</v>
      </c>
      <c r="C230" t="s">
        <v>28</v>
      </c>
      <c r="D230" t="s">
        <v>24</v>
      </c>
      <c r="E230" t="s">
        <v>30</v>
      </c>
      <c r="F230" t="s">
        <v>28</v>
      </c>
      <c r="G230" t="s">
        <v>26</v>
      </c>
      <c r="H230">
        <v>0.59542496452093296</v>
      </c>
      <c r="I230">
        <v>0.62298609083274203</v>
      </c>
      <c r="J230">
        <v>0.447635649035595</v>
      </c>
      <c r="K230">
        <v>0.537831802257148</v>
      </c>
      <c r="L230">
        <v>0.32697223550307503</v>
      </c>
      <c r="M230">
        <v>0.238493794751511</v>
      </c>
      <c r="N230">
        <v>0.754728309816871</v>
      </c>
      <c r="O230">
        <v>0.34363711868429397</v>
      </c>
    </row>
    <row r="231" spans="1:15">
      <c r="A231">
        <v>593</v>
      </c>
      <c r="B231" t="s">
        <v>30</v>
      </c>
      <c r="C231" t="s">
        <v>28</v>
      </c>
      <c r="D231" t="s">
        <v>24</v>
      </c>
      <c r="E231" t="s">
        <v>30</v>
      </c>
      <c r="F231" t="s">
        <v>29</v>
      </c>
      <c r="G231" t="s">
        <v>26</v>
      </c>
      <c r="H231">
        <v>0.108595896942072</v>
      </c>
      <c r="I231">
        <v>0.110747464839567</v>
      </c>
      <c r="J231">
        <v>7.8142548538683895E-2</v>
      </c>
      <c r="K231">
        <v>9.7930118553010703E-2</v>
      </c>
      <c r="L231">
        <v>5.8775006901288798E-2</v>
      </c>
      <c r="M231">
        <v>4.4141645644936202E-2</v>
      </c>
      <c r="N231">
        <v>0.12905373032169701</v>
      </c>
      <c r="O231">
        <v>5.7700599271587501E-2</v>
      </c>
    </row>
    <row r="232" spans="1:15">
      <c r="A232">
        <v>605</v>
      </c>
      <c r="B232" t="s">
        <v>30</v>
      </c>
      <c r="C232" t="s">
        <v>28</v>
      </c>
      <c r="D232" t="s">
        <v>26</v>
      </c>
      <c r="E232" t="s">
        <v>30</v>
      </c>
      <c r="F232" t="s">
        <v>29</v>
      </c>
      <c r="G232" t="s">
        <v>24</v>
      </c>
      <c r="H232">
        <v>0.46503663439225001</v>
      </c>
      <c r="I232">
        <v>0.454354003064116</v>
      </c>
      <c r="J232">
        <v>0.377650888720164</v>
      </c>
      <c r="K232">
        <v>0.405200587455678</v>
      </c>
      <c r="L232">
        <v>0.25788464223124402</v>
      </c>
      <c r="M232">
        <v>0.18984541176141501</v>
      </c>
      <c r="N232">
        <v>0.52206544581206804</v>
      </c>
      <c r="O232">
        <v>0.291021711184901</v>
      </c>
    </row>
    <row r="233" spans="1:15">
      <c r="A233">
        <v>626</v>
      </c>
      <c r="B233" t="s">
        <v>30</v>
      </c>
      <c r="C233" t="s">
        <v>29</v>
      </c>
      <c r="D233" t="s">
        <v>24</v>
      </c>
      <c r="E233" t="s">
        <v>30</v>
      </c>
      <c r="F233" t="s">
        <v>29</v>
      </c>
      <c r="G233" t="s">
        <v>26</v>
      </c>
      <c r="H233">
        <v>8.0787263905629805E-2</v>
      </c>
      <c r="I233">
        <v>7.8808340461933898E-2</v>
      </c>
      <c r="J233">
        <v>6.4973079074544707E-2</v>
      </c>
      <c r="K233">
        <v>7.0982934034589801E-2</v>
      </c>
      <c r="L233">
        <v>4.6806865484182801E-2</v>
      </c>
      <c r="M233">
        <v>3.5862116183639603E-2</v>
      </c>
      <c r="N233">
        <v>8.9271047227926004E-2</v>
      </c>
      <c r="O233">
        <v>5.0113134458541E-2</v>
      </c>
    </row>
    <row r="235" spans="1:15">
      <c r="A235" t="s">
        <v>26</v>
      </c>
    </row>
    <row r="236" spans="1:15">
      <c r="A236" t="s">
        <v>24</v>
      </c>
      <c r="B236" t="s">
        <v>16</v>
      </c>
      <c r="E236" t="s">
        <v>18</v>
      </c>
      <c r="H236" t="s">
        <v>0</v>
      </c>
      <c r="I236" t="s">
        <v>2</v>
      </c>
      <c r="J236" t="s">
        <v>4</v>
      </c>
      <c r="K236" t="s">
        <v>6</v>
      </c>
      <c r="L236" t="s">
        <v>8</v>
      </c>
      <c r="M236" t="s">
        <v>10</v>
      </c>
      <c r="N236" t="s">
        <v>12</v>
      </c>
      <c r="O236" t="s">
        <v>14</v>
      </c>
    </row>
    <row r="237" spans="1:15">
      <c r="A237">
        <v>70</v>
      </c>
      <c r="B237" t="s">
        <v>20</v>
      </c>
      <c r="C237" t="s">
        <v>21</v>
      </c>
      <c r="D237" t="s">
        <v>24</v>
      </c>
      <c r="E237" t="s">
        <v>20</v>
      </c>
      <c r="F237" t="s">
        <v>21</v>
      </c>
      <c r="G237" t="s">
        <v>26</v>
      </c>
      <c r="H237">
        <v>0.641218738105923</v>
      </c>
      <c r="I237">
        <v>0.620445850417496</v>
      </c>
      <c r="J237">
        <v>0.53073032174573598</v>
      </c>
      <c r="K237">
        <v>0.53425743940291504</v>
      </c>
      <c r="L237">
        <v>0.39080309278931802</v>
      </c>
      <c r="M237">
        <v>0.29017289229680499</v>
      </c>
      <c r="N237">
        <v>0.75957257346393503</v>
      </c>
      <c r="O237">
        <v>0.40989154867139899</v>
      </c>
    </row>
    <row r="238" spans="1:15">
      <c r="A238">
        <v>76</v>
      </c>
      <c r="B238" t="s">
        <v>20</v>
      </c>
      <c r="C238" t="s">
        <v>21</v>
      </c>
      <c r="D238" t="s">
        <v>24</v>
      </c>
      <c r="E238" t="s">
        <v>20</v>
      </c>
      <c r="F238" t="s">
        <v>28</v>
      </c>
      <c r="G238" t="s">
        <v>26</v>
      </c>
      <c r="H238">
        <v>0.65636648979090895</v>
      </c>
      <c r="I238">
        <v>0.60265802104286303</v>
      </c>
      <c r="J238">
        <v>0.54689160620408594</v>
      </c>
      <c r="K238">
        <v>0.50894454582916304</v>
      </c>
      <c r="L238">
        <v>0.38142079975314402</v>
      </c>
      <c r="M238">
        <v>0.27792140474206001</v>
      </c>
      <c r="N238">
        <v>0.74665162406413998</v>
      </c>
      <c r="O238">
        <v>0.41165616668036897</v>
      </c>
    </row>
    <row r="239" spans="1:15">
      <c r="A239">
        <v>83</v>
      </c>
      <c r="B239" t="s">
        <v>20</v>
      </c>
      <c r="C239" t="s">
        <v>21</v>
      </c>
      <c r="D239" t="s">
        <v>24</v>
      </c>
      <c r="E239" t="s">
        <v>20</v>
      </c>
      <c r="F239" t="s">
        <v>29</v>
      </c>
      <c r="G239" t="s">
        <v>26</v>
      </c>
      <c r="H239">
        <v>0.103619813220257</v>
      </c>
      <c r="I239">
        <v>0.100605483476032</v>
      </c>
      <c r="J239">
        <v>8.7519533162208105E-2</v>
      </c>
      <c r="K239">
        <v>9.0130855187553399E-2</v>
      </c>
      <c r="L239">
        <v>6.70887708928498E-2</v>
      </c>
      <c r="M239">
        <v>5.3171255678894698E-2</v>
      </c>
      <c r="N239">
        <v>0.115102554875854</v>
      </c>
      <c r="O239">
        <v>6.9812968418098198E-2</v>
      </c>
    </row>
    <row r="240" spans="1:15">
      <c r="A240">
        <v>88</v>
      </c>
      <c r="B240" t="s">
        <v>20</v>
      </c>
      <c r="C240" t="s">
        <v>21</v>
      </c>
      <c r="D240" t="s">
        <v>24</v>
      </c>
      <c r="E240" t="s">
        <v>30</v>
      </c>
      <c r="F240" t="s">
        <v>21</v>
      </c>
      <c r="G240" t="s">
        <v>26</v>
      </c>
      <c r="H240">
        <v>0.65161611178025503</v>
      </c>
      <c r="I240">
        <v>0.63727143580490297</v>
      </c>
      <c r="J240">
        <v>0.53924089229640404</v>
      </c>
      <c r="K240">
        <v>0.54964066716660498</v>
      </c>
      <c r="L240">
        <v>0.39851282201302002</v>
      </c>
      <c r="M240">
        <v>0.29703789953464199</v>
      </c>
      <c r="N240">
        <v>0.77663125948406597</v>
      </c>
      <c r="O240">
        <v>0.41657909157647499</v>
      </c>
    </row>
    <row r="241" spans="1:15">
      <c r="A241">
        <v>94</v>
      </c>
      <c r="B241" t="s">
        <v>20</v>
      </c>
      <c r="C241" t="s">
        <v>21</v>
      </c>
      <c r="D241" t="s">
        <v>24</v>
      </c>
      <c r="E241" t="s">
        <v>30</v>
      </c>
      <c r="F241" t="s">
        <v>28</v>
      </c>
      <c r="G241" t="s">
        <v>26</v>
      </c>
      <c r="H241">
        <v>0.64664749908997499</v>
      </c>
      <c r="I241">
        <v>0.63305363112217805</v>
      </c>
      <c r="J241">
        <v>0.53750509566426796</v>
      </c>
      <c r="K241">
        <v>0.54744690631442605</v>
      </c>
      <c r="L241">
        <v>0.39527519655316401</v>
      </c>
      <c r="M241">
        <v>0.29609879943614398</v>
      </c>
      <c r="N241">
        <v>0.76823776643650499</v>
      </c>
      <c r="O241">
        <v>0.41635033887693101</v>
      </c>
    </row>
    <row r="242" spans="1:15">
      <c r="A242">
        <v>101</v>
      </c>
      <c r="B242" t="s">
        <v>20</v>
      </c>
      <c r="C242" t="s">
        <v>21</v>
      </c>
      <c r="D242" t="s">
        <v>24</v>
      </c>
      <c r="E242" t="s">
        <v>30</v>
      </c>
      <c r="F242" t="s">
        <v>29</v>
      </c>
      <c r="G242" t="s">
        <v>26</v>
      </c>
      <c r="H242">
        <v>0.117359824407678</v>
      </c>
      <c r="I242">
        <v>0.114479924012737</v>
      </c>
      <c r="J242">
        <v>9.9120010938216693E-2</v>
      </c>
      <c r="K242">
        <v>0.10237184250679</v>
      </c>
      <c r="L242">
        <v>7.6178509126726204E-2</v>
      </c>
      <c r="M242">
        <v>6.0491107353127099E-2</v>
      </c>
      <c r="N242">
        <v>0.13136550308008199</v>
      </c>
      <c r="O242">
        <v>7.8702676553328396E-2</v>
      </c>
    </row>
    <row r="243" spans="1:15">
      <c r="A243">
        <v>137</v>
      </c>
      <c r="B243" t="s">
        <v>20</v>
      </c>
      <c r="C243" t="s">
        <v>21</v>
      </c>
      <c r="D243" t="s">
        <v>26</v>
      </c>
      <c r="E243" t="s">
        <v>20</v>
      </c>
      <c r="F243" t="s">
        <v>28</v>
      </c>
      <c r="G243" t="s">
        <v>24</v>
      </c>
      <c r="H243">
        <v>0.66366910487173603</v>
      </c>
      <c r="I243">
        <v>0.630650041754513</v>
      </c>
      <c r="J243">
        <v>0.54541239297670296</v>
      </c>
      <c r="K243">
        <v>0.54527364389104505</v>
      </c>
      <c r="L243">
        <v>0.40146426844684002</v>
      </c>
      <c r="M243">
        <v>0.2996396719785</v>
      </c>
      <c r="N243">
        <v>0.76341986894079505</v>
      </c>
      <c r="O243">
        <v>0.423136405415525</v>
      </c>
    </row>
    <row r="244" spans="1:15">
      <c r="A244">
        <v>143</v>
      </c>
      <c r="B244" t="s">
        <v>20</v>
      </c>
      <c r="C244" t="s">
        <v>21</v>
      </c>
      <c r="D244" t="s">
        <v>26</v>
      </c>
      <c r="E244" t="s">
        <v>20</v>
      </c>
      <c r="F244" t="s">
        <v>29</v>
      </c>
      <c r="G244" t="s">
        <v>24</v>
      </c>
      <c r="H244">
        <v>0.60584754768357496</v>
      </c>
      <c r="I244">
        <v>0.57610613946357403</v>
      </c>
      <c r="J244">
        <v>0.49627361929785102</v>
      </c>
      <c r="K244">
        <v>0.49989742152231897</v>
      </c>
      <c r="L244">
        <v>0.359797816017903</v>
      </c>
      <c r="M244">
        <v>0.26472808481113602</v>
      </c>
      <c r="N244">
        <v>0.69040159185602901</v>
      </c>
      <c r="O244">
        <v>0.384368727446324</v>
      </c>
    </row>
    <row r="245" spans="1:15">
      <c r="A245">
        <v>149</v>
      </c>
      <c r="B245" t="s">
        <v>20</v>
      </c>
      <c r="C245" t="s">
        <v>21</v>
      </c>
      <c r="D245" t="s">
        <v>26</v>
      </c>
      <c r="E245" t="s">
        <v>30</v>
      </c>
      <c r="F245" t="s">
        <v>21</v>
      </c>
      <c r="G245" t="s">
        <v>24</v>
      </c>
      <c r="H245">
        <v>0.59067371802877799</v>
      </c>
      <c r="I245">
        <v>0.61181015199519495</v>
      </c>
      <c r="J245">
        <v>0.44364226163945403</v>
      </c>
      <c r="K245">
        <v>0.527113880617887</v>
      </c>
      <c r="L245">
        <v>0.32594639078533</v>
      </c>
      <c r="M245">
        <v>0.23642799918532101</v>
      </c>
      <c r="N245">
        <v>0.74738988475486201</v>
      </c>
      <c r="O245">
        <v>0.34305649832035001</v>
      </c>
    </row>
    <row r="246" spans="1:15">
      <c r="A246">
        <v>155</v>
      </c>
      <c r="B246" t="s">
        <v>20</v>
      </c>
      <c r="C246" t="s">
        <v>21</v>
      </c>
      <c r="D246" t="s">
        <v>26</v>
      </c>
      <c r="E246" t="s">
        <v>30</v>
      </c>
      <c r="F246" t="s">
        <v>28</v>
      </c>
      <c r="G246" t="s">
        <v>24</v>
      </c>
      <c r="H246">
        <v>0.58410307666014705</v>
      </c>
      <c r="I246">
        <v>0.61169766033708395</v>
      </c>
      <c r="J246">
        <v>0.43733948922403698</v>
      </c>
      <c r="K246">
        <v>0.52629625411256797</v>
      </c>
      <c r="L246">
        <v>0.31930897326329399</v>
      </c>
      <c r="M246">
        <v>0.23080061487241399</v>
      </c>
      <c r="N246">
        <v>0.74620407790487897</v>
      </c>
      <c r="O246">
        <v>0.33754566598700197</v>
      </c>
    </row>
    <row r="247" spans="1:15">
      <c r="A247">
        <v>161</v>
      </c>
      <c r="B247" t="s">
        <v>20</v>
      </c>
      <c r="C247" t="s">
        <v>21</v>
      </c>
      <c r="D247" t="s">
        <v>26</v>
      </c>
      <c r="E247" t="s">
        <v>30</v>
      </c>
      <c r="F247" t="s">
        <v>29</v>
      </c>
      <c r="G247" t="s">
        <v>24</v>
      </c>
      <c r="H247">
        <v>0.46178770395169499</v>
      </c>
      <c r="I247">
        <v>0.44713896694182298</v>
      </c>
      <c r="J247">
        <v>0.37509247515522698</v>
      </c>
      <c r="K247">
        <v>0.39751967969743501</v>
      </c>
      <c r="L247">
        <v>0.25565411133330801</v>
      </c>
      <c r="M247">
        <v>0.18697400882777299</v>
      </c>
      <c r="N247">
        <v>0.51617690709409303</v>
      </c>
      <c r="O247">
        <v>0.29087638873730598</v>
      </c>
    </row>
    <row r="248" spans="1:15">
      <c r="A248">
        <v>253</v>
      </c>
      <c r="B248" t="s">
        <v>20</v>
      </c>
      <c r="C248" t="s">
        <v>28</v>
      </c>
      <c r="D248" t="s">
        <v>24</v>
      </c>
      <c r="E248" t="s">
        <v>20</v>
      </c>
      <c r="F248" t="s">
        <v>28</v>
      </c>
      <c r="G248" t="s">
        <v>26</v>
      </c>
      <c r="H248">
        <v>0.66220114138764097</v>
      </c>
      <c r="I248">
        <v>0.61502271721878499</v>
      </c>
      <c r="J248">
        <v>0.55998942858316403</v>
      </c>
      <c r="K248">
        <v>0.52146020092985801</v>
      </c>
      <c r="L248">
        <v>0.39124584167057502</v>
      </c>
      <c r="M248">
        <v>0.288494800745906</v>
      </c>
      <c r="N248">
        <v>0.74574481639907397</v>
      </c>
      <c r="O248">
        <v>0.42311687396292302</v>
      </c>
    </row>
    <row r="249" spans="1:15">
      <c r="A249">
        <v>260</v>
      </c>
      <c r="B249" t="s">
        <v>20</v>
      </c>
      <c r="C249" t="s">
        <v>28</v>
      </c>
      <c r="D249" t="s">
        <v>24</v>
      </c>
      <c r="E249" t="s">
        <v>20</v>
      </c>
      <c r="F249" t="s">
        <v>29</v>
      </c>
      <c r="G249" t="s">
        <v>26</v>
      </c>
      <c r="H249">
        <v>0.105877677191036</v>
      </c>
      <c r="I249">
        <v>0.10068291582741599</v>
      </c>
      <c r="J249">
        <v>8.9686615665882097E-2</v>
      </c>
      <c r="K249">
        <v>8.9832588965525595E-2</v>
      </c>
      <c r="L249">
        <v>6.81121584131575E-2</v>
      </c>
      <c r="M249">
        <v>5.3125166919436098E-2</v>
      </c>
      <c r="N249">
        <v>0.115687366789381</v>
      </c>
      <c r="O249">
        <v>7.1579702432580494E-2</v>
      </c>
    </row>
    <row r="250" spans="1:15">
      <c r="A250">
        <v>265</v>
      </c>
      <c r="B250" t="s">
        <v>20</v>
      </c>
      <c r="C250" t="s">
        <v>28</v>
      </c>
      <c r="D250" t="s">
        <v>24</v>
      </c>
      <c r="E250" t="s">
        <v>30</v>
      </c>
      <c r="F250" t="s">
        <v>21</v>
      </c>
      <c r="G250" t="s">
        <v>26</v>
      </c>
      <c r="H250">
        <v>0.67468674134561402</v>
      </c>
      <c r="I250">
        <v>0.64662492207517397</v>
      </c>
      <c r="J250">
        <v>0.55406131382811297</v>
      </c>
      <c r="K250">
        <v>0.55959621990820096</v>
      </c>
      <c r="L250">
        <v>0.40739822809759801</v>
      </c>
      <c r="M250">
        <v>0.30432849962778602</v>
      </c>
      <c r="N250">
        <v>0.78057663125948396</v>
      </c>
      <c r="O250">
        <v>0.42943786797821598</v>
      </c>
    </row>
    <row r="251" spans="1:15">
      <c r="A251">
        <v>271</v>
      </c>
      <c r="B251" t="s">
        <v>20</v>
      </c>
      <c r="C251" t="s">
        <v>28</v>
      </c>
      <c r="D251" t="s">
        <v>24</v>
      </c>
      <c r="E251" t="s">
        <v>30</v>
      </c>
      <c r="F251" t="s">
        <v>28</v>
      </c>
      <c r="G251" t="s">
        <v>26</v>
      </c>
      <c r="H251">
        <v>0.66747348440103205</v>
      </c>
      <c r="I251">
        <v>0.64177093250221595</v>
      </c>
      <c r="J251">
        <v>0.55017544565260301</v>
      </c>
      <c r="K251">
        <v>0.55630311516765596</v>
      </c>
      <c r="L251">
        <v>0.404886440689807</v>
      </c>
      <c r="M251">
        <v>0.30347281809381299</v>
      </c>
      <c r="N251">
        <v>0.77214049834884402</v>
      </c>
      <c r="O251">
        <v>0.42716560450414898</v>
      </c>
    </row>
    <row r="252" spans="1:15">
      <c r="A252">
        <v>278</v>
      </c>
      <c r="B252" t="s">
        <v>20</v>
      </c>
      <c r="C252" t="s">
        <v>28</v>
      </c>
      <c r="D252" t="s">
        <v>24</v>
      </c>
      <c r="E252" t="s">
        <v>30</v>
      </c>
      <c r="F252" t="s">
        <v>29</v>
      </c>
      <c r="G252" t="s">
        <v>26</v>
      </c>
      <c r="H252">
        <v>0.120297350220558</v>
      </c>
      <c r="I252">
        <v>0.114298565330683</v>
      </c>
      <c r="J252">
        <v>0.10193965551331199</v>
      </c>
      <c r="K252">
        <v>0.10160591372200101</v>
      </c>
      <c r="L252">
        <v>7.7455996232121099E-2</v>
      </c>
      <c r="M252">
        <v>6.0951707840792402E-2</v>
      </c>
      <c r="N252">
        <v>0.13203285420944499</v>
      </c>
      <c r="O252">
        <v>8.1051638925527705E-2</v>
      </c>
    </row>
    <row r="253" spans="1:15">
      <c r="A253">
        <v>308</v>
      </c>
      <c r="B253" t="s">
        <v>20</v>
      </c>
      <c r="C253" t="s">
        <v>28</v>
      </c>
      <c r="D253" t="s">
        <v>26</v>
      </c>
      <c r="E253" t="s">
        <v>20</v>
      </c>
      <c r="F253" t="s">
        <v>29</v>
      </c>
      <c r="G253" t="s">
        <v>24</v>
      </c>
      <c r="H253">
        <v>0.60868327701737901</v>
      </c>
      <c r="I253">
        <v>0.560527465052575</v>
      </c>
      <c r="J253">
        <v>0.51675480625290804</v>
      </c>
      <c r="K253">
        <v>0.47604854093471399</v>
      </c>
      <c r="L253">
        <v>0.35401877407499699</v>
      </c>
      <c r="M253">
        <v>0.25867708462554401</v>
      </c>
      <c r="N253">
        <v>0.67185113830446497</v>
      </c>
      <c r="O253">
        <v>0.38963509830927401</v>
      </c>
    </row>
    <row r="254" spans="1:15">
      <c r="A254">
        <v>314</v>
      </c>
      <c r="B254" t="s">
        <v>20</v>
      </c>
      <c r="C254" t="s">
        <v>28</v>
      </c>
      <c r="D254" t="s">
        <v>26</v>
      </c>
      <c r="E254" t="s">
        <v>30</v>
      </c>
      <c r="F254" t="s">
        <v>21</v>
      </c>
      <c r="G254" t="s">
        <v>24</v>
      </c>
      <c r="H254">
        <v>0.59696601174586095</v>
      </c>
      <c r="I254">
        <v>0.60325823466083695</v>
      </c>
      <c r="J254">
        <v>0.47206030958081502</v>
      </c>
      <c r="K254">
        <v>0.51242112316746302</v>
      </c>
      <c r="L254">
        <v>0.33091263343715899</v>
      </c>
      <c r="M254">
        <v>0.23826637371665799</v>
      </c>
      <c r="N254">
        <v>0.73266869333567997</v>
      </c>
      <c r="O254">
        <v>0.34873082257699201</v>
      </c>
    </row>
    <row r="255" spans="1:15">
      <c r="A255">
        <v>320</v>
      </c>
      <c r="B255" t="s">
        <v>20</v>
      </c>
      <c r="C255" t="s">
        <v>28</v>
      </c>
      <c r="D255" t="s">
        <v>26</v>
      </c>
      <c r="E255" t="s">
        <v>30</v>
      </c>
      <c r="F255" t="s">
        <v>28</v>
      </c>
      <c r="G255" t="s">
        <v>24</v>
      </c>
      <c r="H255">
        <v>0.59394104980765094</v>
      </c>
      <c r="I255">
        <v>0.61510947476803701</v>
      </c>
      <c r="J255">
        <v>0.470351245534955</v>
      </c>
      <c r="K255">
        <v>0.52597372349915394</v>
      </c>
      <c r="L255">
        <v>0.32778988022539102</v>
      </c>
      <c r="M255">
        <v>0.237882574097383</v>
      </c>
      <c r="N255">
        <v>0.72884296183199604</v>
      </c>
      <c r="O255">
        <v>0.35077521503686299</v>
      </c>
    </row>
    <row r="256" spans="1:15">
      <c r="A256">
        <v>326</v>
      </c>
      <c r="B256" t="s">
        <v>20</v>
      </c>
      <c r="C256" t="s">
        <v>28</v>
      </c>
      <c r="D256" t="s">
        <v>26</v>
      </c>
      <c r="E256" t="s">
        <v>30</v>
      </c>
      <c r="F256" t="s">
        <v>29</v>
      </c>
      <c r="G256" t="s">
        <v>24</v>
      </c>
      <c r="H256">
        <v>0.47093853387978801</v>
      </c>
      <c r="I256">
        <v>0.440218711798396</v>
      </c>
      <c r="J256">
        <v>0.39380716335218902</v>
      </c>
      <c r="K256">
        <v>0.38394594651609198</v>
      </c>
      <c r="L256">
        <v>0.26025376573612002</v>
      </c>
      <c r="M256">
        <v>0.19023551919057999</v>
      </c>
      <c r="N256">
        <v>0.51231502689392105</v>
      </c>
      <c r="O256">
        <v>0.30174569447764199</v>
      </c>
    </row>
    <row r="257" spans="1:15">
      <c r="A257">
        <v>401</v>
      </c>
      <c r="B257" t="s">
        <v>20</v>
      </c>
      <c r="C257" t="s">
        <v>29</v>
      </c>
      <c r="D257" t="s">
        <v>24</v>
      </c>
      <c r="E257" t="s">
        <v>20</v>
      </c>
      <c r="F257" t="s">
        <v>29</v>
      </c>
      <c r="G257" t="s">
        <v>26</v>
      </c>
      <c r="H257">
        <v>9.6422559590873799E-2</v>
      </c>
      <c r="I257">
        <v>9.1112119851115198E-2</v>
      </c>
      <c r="J257">
        <v>8.2022211806535905E-2</v>
      </c>
      <c r="K257">
        <v>8.11738151823687E-2</v>
      </c>
      <c r="L257">
        <v>6.0783704594262702E-2</v>
      </c>
      <c r="M257">
        <v>4.69842784565613E-2</v>
      </c>
      <c r="N257">
        <v>0.10462229952154301</v>
      </c>
      <c r="O257">
        <v>6.5042997178369297E-2</v>
      </c>
    </row>
    <row r="258" spans="1:15">
      <c r="A258">
        <v>406</v>
      </c>
      <c r="B258" t="s">
        <v>20</v>
      </c>
      <c r="C258" t="s">
        <v>29</v>
      </c>
      <c r="D258" t="s">
        <v>24</v>
      </c>
      <c r="E258" t="s">
        <v>30</v>
      </c>
      <c r="F258" t="s">
        <v>21</v>
      </c>
      <c r="G258" t="s">
        <v>26</v>
      </c>
      <c r="H258">
        <v>0.61390323807742697</v>
      </c>
      <c r="I258">
        <v>0.58914110234649297</v>
      </c>
      <c r="J258">
        <v>0.50369336962989897</v>
      </c>
      <c r="K258">
        <v>0.511238901146574</v>
      </c>
      <c r="L258">
        <v>0.36260930476303399</v>
      </c>
      <c r="M258">
        <v>0.26755637075316802</v>
      </c>
      <c r="N258">
        <v>0.70591805766312599</v>
      </c>
      <c r="O258">
        <v>0.38836609132745298</v>
      </c>
    </row>
    <row r="259" spans="1:15">
      <c r="A259">
        <v>412</v>
      </c>
      <c r="B259" t="s">
        <v>20</v>
      </c>
      <c r="C259" t="s">
        <v>29</v>
      </c>
      <c r="D259" t="s">
        <v>24</v>
      </c>
      <c r="E259" t="s">
        <v>30</v>
      </c>
      <c r="F259" t="s">
        <v>28</v>
      </c>
      <c r="G259" t="s">
        <v>26</v>
      </c>
      <c r="H259">
        <v>0.60920573786032695</v>
      </c>
      <c r="I259">
        <v>0.58510411678013496</v>
      </c>
      <c r="J259">
        <v>0.50119145808059096</v>
      </c>
      <c r="K259">
        <v>0.50872011782489202</v>
      </c>
      <c r="L259">
        <v>0.36098270355349199</v>
      </c>
      <c r="M259">
        <v>0.26672619614814802</v>
      </c>
      <c r="N259">
        <v>0.69828880216151301</v>
      </c>
      <c r="O259">
        <v>0.38800707863066802</v>
      </c>
    </row>
    <row r="260" spans="1:15">
      <c r="A260">
        <v>419</v>
      </c>
      <c r="B260" t="s">
        <v>20</v>
      </c>
      <c r="C260" t="s">
        <v>29</v>
      </c>
      <c r="D260" t="s">
        <v>24</v>
      </c>
      <c r="E260" t="s">
        <v>30</v>
      </c>
      <c r="F260" t="s">
        <v>29</v>
      </c>
      <c r="G260" t="s">
        <v>26</v>
      </c>
      <c r="H260">
        <v>0.109532927057877</v>
      </c>
      <c r="I260">
        <v>0.10343828556165199</v>
      </c>
      <c r="J260">
        <v>9.2988158876884303E-2</v>
      </c>
      <c r="K260">
        <v>9.17926750621951E-2</v>
      </c>
      <c r="L260">
        <v>6.88345534075753E-2</v>
      </c>
      <c r="M260">
        <v>5.3475856257933302E-2</v>
      </c>
      <c r="N260">
        <v>0.119404517453798</v>
      </c>
      <c r="O260">
        <v>7.3323294688428201E-2</v>
      </c>
    </row>
    <row r="261" spans="1:15">
      <c r="A261">
        <v>461</v>
      </c>
      <c r="B261" t="s">
        <v>20</v>
      </c>
      <c r="C261" t="s">
        <v>29</v>
      </c>
      <c r="D261" t="s">
        <v>26</v>
      </c>
      <c r="E261" t="s">
        <v>30</v>
      </c>
      <c r="F261" t="s">
        <v>21</v>
      </c>
      <c r="G261" t="s">
        <v>24</v>
      </c>
      <c r="H261">
        <v>9.6400508150838907E-2</v>
      </c>
      <c r="I261">
        <v>9.8849135588065795E-2</v>
      </c>
      <c r="J261">
        <v>7.0906366569186405E-2</v>
      </c>
      <c r="K261">
        <v>8.8456831031703695E-2</v>
      </c>
      <c r="L261">
        <v>5.3682630546253801E-2</v>
      </c>
      <c r="M261">
        <v>4.1439696443351499E-2</v>
      </c>
      <c r="N261">
        <v>0.113260165527168</v>
      </c>
      <c r="O261">
        <v>5.33521695836996E-2</v>
      </c>
    </row>
    <row r="262" spans="1:15">
      <c r="A262">
        <v>467</v>
      </c>
      <c r="B262" t="s">
        <v>20</v>
      </c>
      <c r="C262" t="s">
        <v>29</v>
      </c>
      <c r="D262" t="s">
        <v>26</v>
      </c>
      <c r="E262" t="s">
        <v>30</v>
      </c>
      <c r="F262" t="s">
        <v>28</v>
      </c>
      <c r="G262" t="s">
        <v>24</v>
      </c>
      <c r="H262">
        <v>9.6276282345883701E-2</v>
      </c>
      <c r="I262">
        <v>9.7428407653214505E-2</v>
      </c>
      <c r="J262">
        <v>6.8953888457000206E-2</v>
      </c>
      <c r="K262">
        <v>8.6329419679014405E-2</v>
      </c>
      <c r="L262">
        <v>5.1242830578709E-2</v>
      </c>
      <c r="M262">
        <v>3.8508482535738499E-2</v>
      </c>
      <c r="N262">
        <v>0.113078745352045</v>
      </c>
      <c r="O262">
        <v>5.0893750425797898E-2</v>
      </c>
    </row>
    <row r="263" spans="1:15">
      <c r="A263">
        <v>473</v>
      </c>
      <c r="B263" t="s">
        <v>20</v>
      </c>
      <c r="C263" t="s">
        <v>29</v>
      </c>
      <c r="D263" t="s">
        <v>26</v>
      </c>
      <c r="E263" t="s">
        <v>30</v>
      </c>
      <c r="F263" t="s">
        <v>29</v>
      </c>
      <c r="G263" t="s">
        <v>24</v>
      </c>
      <c r="H263">
        <v>7.1229528861065497E-2</v>
      </c>
      <c r="I263">
        <v>6.9499445463025E-2</v>
      </c>
      <c r="J263">
        <v>5.7373299209058801E-2</v>
      </c>
      <c r="K263">
        <v>6.2890279142451502E-2</v>
      </c>
      <c r="L263">
        <v>4.0982711825769298E-2</v>
      </c>
      <c r="M263">
        <v>3.1387159356471399E-2</v>
      </c>
      <c r="N263">
        <v>7.8220582943504799E-2</v>
      </c>
      <c r="O263">
        <v>4.4348906589674997E-2</v>
      </c>
    </row>
    <row r="264" spans="1:15">
      <c r="A264">
        <v>511</v>
      </c>
      <c r="B264" t="s">
        <v>30</v>
      </c>
      <c r="C264" t="s">
        <v>21</v>
      </c>
      <c r="D264" t="s">
        <v>24</v>
      </c>
      <c r="E264" t="s">
        <v>30</v>
      </c>
      <c r="F264" t="s">
        <v>21</v>
      </c>
      <c r="G264" t="s">
        <v>26</v>
      </c>
      <c r="H264">
        <v>0.594587293100723</v>
      </c>
      <c r="I264">
        <v>0.63152162407552903</v>
      </c>
      <c r="J264">
        <v>0.45230877231101801</v>
      </c>
      <c r="K264">
        <v>0.54788860636939796</v>
      </c>
      <c r="L264">
        <v>0.33405401628599701</v>
      </c>
      <c r="M264">
        <v>0.24444008073506401</v>
      </c>
      <c r="N264">
        <v>0.76418816388467303</v>
      </c>
      <c r="O264">
        <v>0.35128678847495498</v>
      </c>
    </row>
    <row r="265" spans="1:15">
      <c r="A265">
        <v>517</v>
      </c>
      <c r="B265" t="s">
        <v>30</v>
      </c>
      <c r="C265" t="s">
        <v>21</v>
      </c>
      <c r="D265" t="s">
        <v>24</v>
      </c>
      <c r="E265" t="s">
        <v>30</v>
      </c>
      <c r="F265" t="s">
        <v>28</v>
      </c>
      <c r="G265" t="s">
        <v>26</v>
      </c>
      <c r="H265">
        <v>0.60442316801361196</v>
      </c>
      <c r="I265">
        <v>0.62687181294148597</v>
      </c>
      <c r="J265">
        <v>0.45805664448136002</v>
      </c>
      <c r="K265">
        <v>0.54449872220609097</v>
      </c>
      <c r="L265">
        <v>0.33520839077673098</v>
      </c>
      <c r="M265">
        <v>0.24719398238905699</v>
      </c>
      <c r="N265">
        <v>0.75592915040528297</v>
      </c>
      <c r="O265">
        <v>0.35341309761491002</v>
      </c>
    </row>
    <row r="266" spans="1:15">
      <c r="A266">
        <v>524</v>
      </c>
      <c r="B266" t="s">
        <v>30</v>
      </c>
      <c r="C266" t="s">
        <v>21</v>
      </c>
      <c r="D266" t="s">
        <v>24</v>
      </c>
      <c r="E266" t="s">
        <v>30</v>
      </c>
      <c r="F266" t="s">
        <v>29</v>
      </c>
      <c r="G266" t="s">
        <v>26</v>
      </c>
      <c r="H266">
        <v>0.10881105734952499</v>
      </c>
      <c r="I266">
        <v>0.11222880956289399</v>
      </c>
      <c r="J266">
        <v>8.0164853584765994E-2</v>
      </c>
      <c r="K266">
        <v>0.10010370080453</v>
      </c>
      <c r="L266">
        <v>6.10247778319358E-2</v>
      </c>
      <c r="M266">
        <v>4.6785536722859802E-2</v>
      </c>
      <c r="N266">
        <v>0.12926078028747401</v>
      </c>
      <c r="O266">
        <v>6.0187911479963302E-2</v>
      </c>
    </row>
    <row r="267" spans="1:15">
      <c r="A267">
        <v>542</v>
      </c>
      <c r="B267" t="s">
        <v>30</v>
      </c>
      <c r="C267" t="s">
        <v>21</v>
      </c>
      <c r="D267" t="s">
        <v>26</v>
      </c>
      <c r="E267" t="s">
        <v>30</v>
      </c>
      <c r="F267" t="s">
        <v>28</v>
      </c>
      <c r="G267" t="s">
        <v>24</v>
      </c>
      <c r="H267">
        <v>0.58777977195828202</v>
      </c>
      <c r="I267">
        <v>0.62883207056312096</v>
      </c>
      <c r="J267">
        <v>0.444154502737236</v>
      </c>
      <c r="K267">
        <v>0.54264354495149703</v>
      </c>
      <c r="L267">
        <v>0.326780116255319</v>
      </c>
      <c r="M267">
        <v>0.23701958243027099</v>
      </c>
      <c r="N267">
        <v>0.76297420333839105</v>
      </c>
      <c r="O267">
        <v>0.34495197415436102</v>
      </c>
    </row>
    <row r="268" spans="1:15">
      <c r="A268">
        <v>548</v>
      </c>
      <c r="B268" t="s">
        <v>30</v>
      </c>
      <c r="C268" t="s">
        <v>21</v>
      </c>
      <c r="D268" t="s">
        <v>26</v>
      </c>
      <c r="E268" t="s">
        <v>30</v>
      </c>
      <c r="F268" t="s">
        <v>29</v>
      </c>
      <c r="G268" t="s">
        <v>24</v>
      </c>
      <c r="H268">
        <v>0.46721964043230602</v>
      </c>
      <c r="I268">
        <v>0.45859063879225997</v>
      </c>
      <c r="J268">
        <v>0.38017733475422899</v>
      </c>
      <c r="K268">
        <v>0.40864049646026601</v>
      </c>
      <c r="L268">
        <v>0.25910666830665602</v>
      </c>
      <c r="M268">
        <v>0.19031704357662099</v>
      </c>
      <c r="N268">
        <v>0.52776934749620596</v>
      </c>
      <c r="O268">
        <v>0.29329121402458103</v>
      </c>
    </row>
    <row r="269" spans="1:15">
      <c r="A269">
        <v>586</v>
      </c>
      <c r="B269" t="s">
        <v>30</v>
      </c>
      <c r="C269" t="s">
        <v>28</v>
      </c>
      <c r="D269" t="s">
        <v>24</v>
      </c>
      <c r="E269" t="s">
        <v>30</v>
      </c>
      <c r="F269" t="s">
        <v>28</v>
      </c>
      <c r="G269" t="s">
        <v>26</v>
      </c>
      <c r="H269">
        <v>0.59542496452093296</v>
      </c>
      <c r="I269">
        <v>0.62298609083274203</v>
      </c>
      <c r="J269">
        <v>0.447635649035595</v>
      </c>
      <c r="K269">
        <v>0.537831802257148</v>
      </c>
      <c r="L269">
        <v>0.32697223550307503</v>
      </c>
      <c r="M269">
        <v>0.238493794751511</v>
      </c>
      <c r="N269">
        <v>0.754728309816871</v>
      </c>
      <c r="O269">
        <v>0.34363711868429397</v>
      </c>
    </row>
    <row r="270" spans="1:15">
      <c r="A270">
        <v>593</v>
      </c>
      <c r="B270" t="s">
        <v>30</v>
      </c>
      <c r="C270" t="s">
        <v>28</v>
      </c>
      <c r="D270" t="s">
        <v>24</v>
      </c>
      <c r="E270" t="s">
        <v>30</v>
      </c>
      <c r="F270" t="s">
        <v>29</v>
      </c>
      <c r="G270" t="s">
        <v>26</v>
      </c>
      <c r="H270">
        <v>0.108595896942072</v>
      </c>
      <c r="I270">
        <v>0.110747464839567</v>
      </c>
      <c r="J270">
        <v>7.8142548538683895E-2</v>
      </c>
      <c r="K270">
        <v>9.7930118553010703E-2</v>
      </c>
      <c r="L270">
        <v>5.8775006901288798E-2</v>
      </c>
      <c r="M270">
        <v>4.4141645644936202E-2</v>
      </c>
      <c r="N270">
        <v>0.12905373032169701</v>
      </c>
      <c r="O270">
        <v>5.7700599271587501E-2</v>
      </c>
    </row>
    <row r="271" spans="1:15">
      <c r="A271">
        <v>605</v>
      </c>
      <c r="B271" t="s">
        <v>30</v>
      </c>
      <c r="C271" t="s">
        <v>28</v>
      </c>
      <c r="D271" t="s">
        <v>26</v>
      </c>
      <c r="E271" t="s">
        <v>30</v>
      </c>
      <c r="F271" t="s">
        <v>29</v>
      </c>
      <c r="G271" t="s">
        <v>24</v>
      </c>
      <c r="H271">
        <v>0.46503663439225001</v>
      </c>
      <c r="I271">
        <v>0.454354003064116</v>
      </c>
      <c r="J271">
        <v>0.377650888720164</v>
      </c>
      <c r="K271">
        <v>0.405200587455678</v>
      </c>
      <c r="L271">
        <v>0.25788464223124402</v>
      </c>
      <c r="M271">
        <v>0.18984541176141501</v>
      </c>
      <c r="N271">
        <v>0.52206544581206804</v>
      </c>
      <c r="O271">
        <v>0.291021711184901</v>
      </c>
    </row>
    <row r="272" spans="1:15">
      <c r="A272">
        <v>626</v>
      </c>
      <c r="B272" t="s">
        <v>30</v>
      </c>
      <c r="C272" t="s">
        <v>29</v>
      </c>
      <c r="D272" t="s">
        <v>24</v>
      </c>
      <c r="E272" t="s">
        <v>30</v>
      </c>
      <c r="F272" t="s">
        <v>29</v>
      </c>
      <c r="G272" t="s">
        <v>26</v>
      </c>
      <c r="H272">
        <v>8.0787263905629805E-2</v>
      </c>
      <c r="I272">
        <v>7.8808340461933898E-2</v>
      </c>
      <c r="J272">
        <v>6.4973079074544707E-2</v>
      </c>
      <c r="K272">
        <v>7.0982934034589801E-2</v>
      </c>
      <c r="L272">
        <v>4.6806865484182801E-2</v>
      </c>
      <c r="M272">
        <v>3.5862116183639603E-2</v>
      </c>
      <c r="N272">
        <v>8.9271047227926004E-2</v>
      </c>
      <c r="O272">
        <v>5.0113134458541E-2</v>
      </c>
    </row>
    <row r="274" spans="1:15">
      <c r="A274" t="s">
        <v>26</v>
      </c>
    </row>
    <row r="275" spans="1:15">
      <c r="A275" t="s">
        <v>42</v>
      </c>
      <c r="B275" t="s">
        <v>16</v>
      </c>
      <c r="E275" t="s">
        <v>18</v>
      </c>
      <c r="H275" t="s">
        <v>0</v>
      </c>
      <c r="I275" t="s">
        <v>2</v>
      </c>
      <c r="J275" t="s">
        <v>4</v>
      </c>
      <c r="K275" t="s">
        <v>6</v>
      </c>
      <c r="L275" t="s">
        <v>8</v>
      </c>
      <c r="M275" t="s">
        <v>10</v>
      </c>
      <c r="N275" t="s">
        <v>12</v>
      </c>
      <c r="O275" t="s">
        <v>14</v>
      </c>
    </row>
    <row r="276" spans="1:15">
      <c r="A276">
        <v>134</v>
      </c>
      <c r="B276" t="s">
        <v>20</v>
      </c>
      <c r="C276" t="s">
        <v>21</v>
      </c>
      <c r="D276" t="s">
        <v>26</v>
      </c>
      <c r="E276" t="s">
        <v>20</v>
      </c>
      <c r="F276" t="s">
        <v>21</v>
      </c>
      <c r="G276" t="s">
        <v>27</v>
      </c>
      <c r="H276">
        <v>0.15714350530472301</v>
      </c>
      <c r="I276">
        <v>0.15331937414983701</v>
      </c>
      <c r="J276">
        <v>0.13425938433669801</v>
      </c>
      <c r="K276">
        <v>0.14028142641521099</v>
      </c>
      <c r="L276">
        <v>0.102050807384732</v>
      </c>
      <c r="M276">
        <v>8.04586712063739E-2</v>
      </c>
      <c r="N276">
        <v>0.17097061442564501</v>
      </c>
      <c r="O276">
        <v>0.111110389432996</v>
      </c>
    </row>
    <row r="277" spans="1:15">
      <c r="A277">
        <v>140</v>
      </c>
      <c r="B277" t="s">
        <v>20</v>
      </c>
      <c r="C277" t="s">
        <v>21</v>
      </c>
      <c r="D277" t="s">
        <v>26</v>
      </c>
      <c r="E277" t="s">
        <v>20</v>
      </c>
      <c r="F277" t="s">
        <v>28</v>
      </c>
      <c r="G277" t="s">
        <v>27</v>
      </c>
      <c r="H277">
        <v>0.18429960076735899</v>
      </c>
      <c r="I277">
        <v>0.182067555352076</v>
      </c>
      <c r="J277">
        <v>0.154507225225715</v>
      </c>
      <c r="K277">
        <v>0.16380898162212801</v>
      </c>
      <c r="L277">
        <v>0.11738736350263999</v>
      </c>
      <c r="M277">
        <v>9.1253869274394106E-2</v>
      </c>
      <c r="N277">
        <v>0.208073612347877</v>
      </c>
      <c r="O277">
        <v>0.124698556777826</v>
      </c>
    </row>
    <row r="278" spans="1:15">
      <c r="A278">
        <v>152</v>
      </c>
      <c r="B278" t="s">
        <v>20</v>
      </c>
      <c r="C278" t="s">
        <v>21</v>
      </c>
      <c r="D278" t="s">
        <v>26</v>
      </c>
      <c r="E278" t="s">
        <v>30</v>
      </c>
      <c r="F278" t="s">
        <v>21</v>
      </c>
      <c r="G278" t="s">
        <v>27</v>
      </c>
      <c r="H278">
        <v>0.24686022420873199</v>
      </c>
      <c r="I278">
        <v>0.23230438707218301</v>
      </c>
      <c r="J278">
        <v>0.20706651844861301</v>
      </c>
      <c r="K278">
        <v>0.20513827305684301</v>
      </c>
      <c r="L278">
        <v>0.176831407876261</v>
      </c>
      <c r="M278">
        <v>0.14176660378730399</v>
      </c>
      <c r="N278">
        <v>0.29355891956070002</v>
      </c>
      <c r="O278">
        <v>0.171746921221302</v>
      </c>
    </row>
    <row r="279" spans="1:15">
      <c r="A279">
        <v>158</v>
      </c>
      <c r="B279" t="s">
        <v>20</v>
      </c>
      <c r="C279" t="s">
        <v>21</v>
      </c>
      <c r="D279" t="s">
        <v>26</v>
      </c>
      <c r="E279" t="s">
        <v>30</v>
      </c>
      <c r="F279" t="s">
        <v>28</v>
      </c>
      <c r="G279" t="s">
        <v>27</v>
      </c>
      <c r="H279">
        <v>0.295399633713406</v>
      </c>
      <c r="I279">
        <v>0.27704122550288801</v>
      </c>
      <c r="J279">
        <v>0.243966396864851</v>
      </c>
      <c r="K279">
        <v>0.24085218514663101</v>
      </c>
      <c r="L279">
        <v>0.20263236561324</v>
      </c>
      <c r="M279">
        <v>0.159504848563362</v>
      </c>
      <c r="N279">
        <v>0.36004749183733997</v>
      </c>
      <c r="O279">
        <v>0.19525508917370901</v>
      </c>
    </row>
    <row r="280" spans="1:15">
      <c r="A280">
        <v>169</v>
      </c>
      <c r="B280" t="s">
        <v>20</v>
      </c>
      <c r="C280" t="s">
        <v>21</v>
      </c>
      <c r="D280" t="s">
        <v>27</v>
      </c>
      <c r="E280" t="s">
        <v>20</v>
      </c>
      <c r="F280" t="s">
        <v>28</v>
      </c>
      <c r="G280" t="s">
        <v>26</v>
      </c>
      <c r="H280">
        <v>0.14971263996332701</v>
      </c>
      <c r="I280">
        <v>0.1465258738421</v>
      </c>
      <c r="J280">
        <v>0.12617312075890899</v>
      </c>
      <c r="K280">
        <v>0.128830281807954</v>
      </c>
      <c r="L280">
        <v>9.42160723023278E-2</v>
      </c>
      <c r="M280">
        <v>7.1324178613828101E-2</v>
      </c>
      <c r="N280">
        <v>0.172610128858255</v>
      </c>
      <c r="O280">
        <v>9.9605229993803293E-2</v>
      </c>
    </row>
    <row r="281" spans="1:15">
      <c r="A281">
        <v>176</v>
      </c>
      <c r="B281" t="s">
        <v>20</v>
      </c>
      <c r="C281" t="s">
        <v>21</v>
      </c>
      <c r="D281" t="s">
        <v>27</v>
      </c>
      <c r="E281" t="s">
        <v>20</v>
      </c>
      <c r="F281" t="s">
        <v>29</v>
      </c>
      <c r="G281" t="s">
        <v>26</v>
      </c>
      <c r="H281">
        <v>2.3975153740768699E-2</v>
      </c>
      <c r="I281">
        <v>2.34624575997644E-2</v>
      </c>
      <c r="J281">
        <v>2.0635594526319499E-2</v>
      </c>
      <c r="K281">
        <v>2.1616762190606501E-2</v>
      </c>
      <c r="L281">
        <v>1.5992790735879302E-2</v>
      </c>
      <c r="M281">
        <v>1.28299647212644E-2</v>
      </c>
      <c r="N281">
        <v>2.5908600215904999E-2</v>
      </c>
      <c r="O281">
        <v>1.7323344597541101E-2</v>
      </c>
    </row>
    <row r="282" spans="1:15">
      <c r="A282">
        <v>181</v>
      </c>
      <c r="B282" t="s">
        <v>20</v>
      </c>
      <c r="C282" t="s">
        <v>21</v>
      </c>
      <c r="D282" t="s">
        <v>27</v>
      </c>
      <c r="E282" t="s">
        <v>30</v>
      </c>
      <c r="F282" t="s">
        <v>21</v>
      </c>
      <c r="G282" t="s">
        <v>26</v>
      </c>
      <c r="H282">
        <v>0.16035741622731001</v>
      </c>
      <c r="I282">
        <v>0.15721372771603701</v>
      </c>
      <c r="J282">
        <v>0.13694211139201601</v>
      </c>
      <c r="K282">
        <v>0.144251645535107</v>
      </c>
      <c r="L282">
        <v>0.103914610390641</v>
      </c>
      <c r="M282">
        <v>8.1533546895345504E-2</v>
      </c>
      <c r="N282">
        <v>0.174810318664643</v>
      </c>
      <c r="O282">
        <v>0.113336679064761</v>
      </c>
    </row>
    <row r="283" spans="1:15">
      <c r="A283">
        <v>187</v>
      </c>
      <c r="B283" t="s">
        <v>20</v>
      </c>
      <c r="C283" t="s">
        <v>21</v>
      </c>
      <c r="D283" t="s">
        <v>27</v>
      </c>
      <c r="E283" t="s">
        <v>30</v>
      </c>
      <c r="F283" t="s">
        <v>28</v>
      </c>
      <c r="G283" t="s">
        <v>26</v>
      </c>
      <c r="H283">
        <v>0.15904901136136601</v>
      </c>
      <c r="I283">
        <v>0.155861539905298</v>
      </c>
      <c r="J283">
        <v>0.13579971924886899</v>
      </c>
      <c r="K283">
        <v>0.14319485390966399</v>
      </c>
      <c r="L283">
        <v>0.102875746055762</v>
      </c>
      <c r="M283">
        <v>8.1067061297515106E-2</v>
      </c>
      <c r="N283">
        <v>0.17292104473131101</v>
      </c>
      <c r="O283">
        <v>0.11225270859884801</v>
      </c>
    </row>
    <row r="284" spans="1:15">
      <c r="A284">
        <v>194</v>
      </c>
      <c r="B284" t="s">
        <v>20</v>
      </c>
      <c r="C284" t="s">
        <v>21</v>
      </c>
      <c r="D284" t="s">
        <v>27</v>
      </c>
      <c r="E284" t="s">
        <v>30</v>
      </c>
      <c r="F284" t="s">
        <v>29</v>
      </c>
      <c r="G284" t="s">
        <v>26</v>
      </c>
      <c r="H284">
        <v>2.7368981718234899E-2</v>
      </c>
      <c r="I284">
        <v>2.6848227257462699E-2</v>
      </c>
      <c r="J284">
        <v>2.3622214546050801E-2</v>
      </c>
      <c r="K284">
        <v>2.47877230169018E-2</v>
      </c>
      <c r="L284">
        <v>1.8279072223171999E-2</v>
      </c>
      <c r="M284">
        <v>1.4655769567564401E-2</v>
      </c>
      <c r="N284">
        <v>2.9568788501026601E-2</v>
      </c>
      <c r="O284">
        <v>1.9754418671588499E-2</v>
      </c>
    </row>
    <row r="285" spans="1:15">
      <c r="A285">
        <v>305</v>
      </c>
      <c r="B285" t="s">
        <v>20</v>
      </c>
      <c r="C285" t="s">
        <v>28</v>
      </c>
      <c r="D285" t="s">
        <v>26</v>
      </c>
      <c r="E285" t="s">
        <v>20</v>
      </c>
      <c r="F285" t="s">
        <v>28</v>
      </c>
      <c r="G285" t="s">
        <v>27</v>
      </c>
      <c r="H285">
        <v>0.17733952083172499</v>
      </c>
      <c r="I285">
        <v>0.176081339341607</v>
      </c>
      <c r="J285">
        <v>0.148599948447691</v>
      </c>
      <c r="K285">
        <v>0.153811992016054</v>
      </c>
      <c r="L285">
        <v>0.11148786892251999</v>
      </c>
      <c r="M285">
        <v>8.4775883582759004E-2</v>
      </c>
      <c r="N285">
        <v>0.21006892418339801</v>
      </c>
      <c r="O285">
        <v>0.115238965369268</v>
      </c>
    </row>
    <row r="286" spans="1:15">
      <c r="A286">
        <v>317</v>
      </c>
      <c r="B286" t="s">
        <v>20</v>
      </c>
      <c r="C286" t="s">
        <v>28</v>
      </c>
      <c r="D286" t="s">
        <v>26</v>
      </c>
      <c r="E286" t="s">
        <v>30</v>
      </c>
      <c r="F286" t="s">
        <v>21</v>
      </c>
      <c r="G286" t="s">
        <v>27</v>
      </c>
      <c r="H286">
        <v>0.20654448645921999</v>
      </c>
      <c r="I286">
        <v>0.19811286777612</v>
      </c>
      <c r="J286">
        <v>0.17304631518672201</v>
      </c>
      <c r="K286">
        <v>0.16444499697154799</v>
      </c>
      <c r="L286">
        <v>0.137292754349123</v>
      </c>
      <c r="M286">
        <v>0.102893904851926</v>
      </c>
      <c r="N286">
        <v>0.29637398861252601</v>
      </c>
      <c r="O286">
        <v>0.12752494027077099</v>
      </c>
    </row>
    <row r="287" spans="1:15">
      <c r="A287">
        <v>323</v>
      </c>
      <c r="B287" t="s">
        <v>20</v>
      </c>
      <c r="C287" t="s">
        <v>28</v>
      </c>
      <c r="D287" t="s">
        <v>26</v>
      </c>
      <c r="E287" t="s">
        <v>30</v>
      </c>
      <c r="F287" t="s">
        <v>28</v>
      </c>
      <c r="G287" t="s">
        <v>27</v>
      </c>
      <c r="H287">
        <v>0.25769158505962497</v>
      </c>
      <c r="I287">
        <v>0.24275097483208399</v>
      </c>
      <c r="J287">
        <v>0.210671362455424</v>
      </c>
      <c r="K287">
        <v>0.19968212241553099</v>
      </c>
      <c r="L287">
        <v>0.166277713697665</v>
      </c>
      <c r="M287">
        <v>0.12349789837758</v>
      </c>
      <c r="N287">
        <v>0.36350014983518097</v>
      </c>
      <c r="O287">
        <v>0.15381579095504899</v>
      </c>
    </row>
    <row r="288" spans="1:15">
      <c r="A288">
        <v>335</v>
      </c>
      <c r="B288" t="s">
        <v>20</v>
      </c>
      <c r="C288" t="s">
        <v>28</v>
      </c>
      <c r="D288" t="s">
        <v>27</v>
      </c>
      <c r="E288" t="s">
        <v>20</v>
      </c>
      <c r="F288" t="s">
        <v>29</v>
      </c>
      <c r="G288" t="s">
        <v>26</v>
      </c>
      <c r="H288">
        <v>2.8250722712551898E-2</v>
      </c>
      <c r="I288">
        <v>2.8091206066461E-2</v>
      </c>
      <c r="J288">
        <v>2.3822858094279298E-2</v>
      </c>
      <c r="K288">
        <v>2.55481104566633E-2</v>
      </c>
      <c r="L288">
        <v>1.8376388856144801E-2</v>
      </c>
      <c r="M288">
        <v>1.44783059050206E-2</v>
      </c>
      <c r="N288">
        <v>3.1531126304425998E-2</v>
      </c>
      <c r="O288">
        <v>1.9536698630877501E-2</v>
      </c>
    </row>
    <row r="289" spans="1:15">
      <c r="A289">
        <v>340</v>
      </c>
      <c r="B289" t="s">
        <v>20</v>
      </c>
      <c r="C289" t="s">
        <v>28</v>
      </c>
      <c r="D289" t="s">
        <v>27</v>
      </c>
      <c r="E289" t="s">
        <v>30</v>
      </c>
      <c r="F289" t="s">
        <v>21</v>
      </c>
      <c r="G289" t="s">
        <v>26</v>
      </c>
      <c r="H289">
        <v>0.18776328248440799</v>
      </c>
      <c r="I289">
        <v>0.18661228914168199</v>
      </c>
      <c r="J289">
        <v>0.157842342470563</v>
      </c>
      <c r="K289">
        <v>0.16820762670026601</v>
      </c>
      <c r="L289">
        <v>0.11979786834355</v>
      </c>
      <c r="M289">
        <v>9.3028217642717403E-2</v>
      </c>
      <c r="N289">
        <v>0.212746585735963</v>
      </c>
      <c r="O289">
        <v>0.127315617609568</v>
      </c>
    </row>
    <row r="290" spans="1:15">
      <c r="A290">
        <v>346</v>
      </c>
      <c r="B290" t="s">
        <v>20</v>
      </c>
      <c r="C290" t="s">
        <v>28</v>
      </c>
      <c r="D290" t="s">
        <v>27</v>
      </c>
      <c r="E290" t="s">
        <v>30</v>
      </c>
      <c r="F290" t="s">
        <v>28</v>
      </c>
      <c r="G290" t="s">
        <v>26</v>
      </c>
      <c r="H290">
        <v>0.18673280393873701</v>
      </c>
      <c r="I290">
        <v>0.18513995623186599</v>
      </c>
      <c r="J290">
        <v>0.15684808937077299</v>
      </c>
      <c r="K290">
        <v>0.167282844102176</v>
      </c>
      <c r="L290">
        <v>0.119269872166131</v>
      </c>
      <c r="M290">
        <v>9.2567917310198797E-2</v>
      </c>
      <c r="N290">
        <v>0.21044731311918299</v>
      </c>
      <c r="O290">
        <v>0.12685850530621001</v>
      </c>
    </row>
    <row r="291" spans="1:15">
      <c r="A291">
        <v>353</v>
      </c>
      <c r="B291" t="s">
        <v>20</v>
      </c>
      <c r="C291" t="s">
        <v>28</v>
      </c>
      <c r="D291" t="s">
        <v>27</v>
      </c>
      <c r="E291" t="s">
        <v>30</v>
      </c>
      <c r="F291" t="s">
        <v>29</v>
      </c>
      <c r="G291" t="s">
        <v>26</v>
      </c>
      <c r="H291">
        <v>3.2123654127718101E-2</v>
      </c>
      <c r="I291">
        <v>3.21920042840061E-2</v>
      </c>
      <c r="J291">
        <v>2.7174020848382701E-2</v>
      </c>
      <c r="K291">
        <v>2.9394937379262898E-2</v>
      </c>
      <c r="L291">
        <v>2.1069534063591001E-2</v>
      </c>
      <c r="M291">
        <v>1.6612685668645401E-2</v>
      </c>
      <c r="N291">
        <v>3.5985626283367503E-2</v>
      </c>
      <c r="O291">
        <v>2.2279100125335499E-2</v>
      </c>
    </row>
    <row r="292" spans="1:15">
      <c r="A292">
        <v>464</v>
      </c>
      <c r="B292" t="s">
        <v>20</v>
      </c>
      <c r="C292" t="s">
        <v>29</v>
      </c>
      <c r="D292" t="s">
        <v>26</v>
      </c>
      <c r="E292" t="s">
        <v>30</v>
      </c>
      <c r="F292" t="s">
        <v>21</v>
      </c>
      <c r="G292" t="s">
        <v>27</v>
      </c>
      <c r="H292">
        <v>4.2428117604498099E-2</v>
      </c>
      <c r="I292">
        <v>4.1870042370151503E-2</v>
      </c>
      <c r="J292">
        <v>3.8864805195202697E-2</v>
      </c>
      <c r="K292">
        <v>3.9888908784214097E-2</v>
      </c>
      <c r="L292">
        <v>3.4129269627843697E-2</v>
      </c>
      <c r="M292">
        <v>3.0787679442146599E-2</v>
      </c>
      <c r="N292">
        <v>4.4485426412378501E-2</v>
      </c>
      <c r="O292">
        <v>3.5353095802074998E-2</v>
      </c>
    </row>
    <row r="293" spans="1:15">
      <c r="A293">
        <v>470</v>
      </c>
      <c r="B293" t="s">
        <v>20</v>
      </c>
      <c r="C293" t="s">
        <v>29</v>
      </c>
      <c r="D293" t="s">
        <v>26</v>
      </c>
      <c r="E293" t="s">
        <v>30</v>
      </c>
      <c r="F293" t="s">
        <v>28</v>
      </c>
      <c r="G293" t="s">
        <v>27</v>
      </c>
      <c r="H293">
        <v>5.1068010388822097E-2</v>
      </c>
      <c r="I293">
        <v>5.0373066824593499E-2</v>
      </c>
      <c r="J293">
        <v>4.5867648404074E-2</v>
      </c>
      <c r="K293">
        <v>4.7257012727066998E-2</v>
      </c>
      <c r="L293">
        <v>4.0023971203148101E-2</v>
      </c>
      <c r="M293">
        <v>3.5432176856332598E-2</v>
      </c>
      <c r="N293">
        <v>5.4560993163008199E-2</v>
      </c>
      <c r="O293">
        <v>4.11133274777849E-2</v>
      </c>
    </row>
    <row r="294" spans="1:15">
      <c r="A294">
        <v>539</v>
      </c>
      <c r="B294" t="s">
        <v>30</v>
      </c>
      <c r="C294" t="s">
        <v>21</v>
      </c>
      <c r="D294" t="s">
        <v>26</v>
      </c>
      <c r="E294" t="s">
        <v>30</v>
      </c>
      <c r="F294" t="s">
        <v>21</v>
      </c>
      <c r="G294" t="s">
        <v>27</v>
      </c>
      <c r="H294">
        <v>0.252868668917971</v>
      </c>
      <c r="I294">
        <v>0.23933377889601901</v>
      </c>
      <c r="J294">
        <v>0.212550476519622</v>
      </c>
      <c r="K294">
        <v>0.211663952938593</v>
      </c>
      <c r="L294">
        <v>0.182990197828622</v>
      </c>
      <c r="M294">
        <v>0.14742878917614299</v>
      </c>
      <c r="N294">
        <v>0.30015174506828501</v>
      </c>
      <c r="O294">
        <v>0.176541476750356</v>
      </c>
    </row>
    <row r="295" spans="1:15">
      <c r="A295">
        <v>545</v>
      </c>
      <c r="B295" t="s">
        <v>30</v>
      </c>
      <c r="C295" t="s">
        <v>21</v>
      </c>
      <c r="D295" t="s">
        <v>26</v>
      </c>
      <c r="E295" t="s">
        <v>30</v>
      </c>
      <c r="F295" t="s">
        <v>28</v>
      </c>
      <c r="G295" t="s">
        <v>27</v>
      </c>
      <c r="H295">
        <v>0.30264482209806498</v>
      </c>
      <c r="I295">
        <v>0.28544229447137698</v>
      </c>
      <c r="J295">
        <v>0.249840851866621</v>
      </c>
      <c r="K295">
        <v>0.24847454437582001</v>
      </c>
      <c r="L295">
        <v>0.20864629162672199</v>
      </c>
      <c r="M295">
        <v>0.16457396418935999</v>
      </c>
      <c r="N295">
        <v>0.36813353566009099</v>
      </c>
      <c r="O295">
        <v>0.20076997149909501</v>
      </c>
    </row>
    <row r="296" spans="1:15">
      <c r="A296">
        <v>556</v>
      </c>
      <c r="B296" t="s">
        <v>30</v>
      </c>
      <c r="C296" t="s">
        <v>21</v>
      </c>
      <c r="D296" t="s">
        <v>27</v>
      </c>
      <c r="E296" t="s">
        <v>30</v>
      </c>
      <c r="F296" t="s">
        <v>28</v>
      </c>
      <c r="G296" t="s">
        <v>26</v>
      </c>
      <c r="H296">
        <v>0.25200092027992499</v>
      </c>
      <c r="I296">
        <v>0.238574999194337</v>
      </c>
      <c r="J296">
        <v>0.212352148830944</v>
      </c>
      <c r="K296">
        <v>0.21202165462066799</v>
      </c>
      <c r="L296">
        <v>0.183182461370304</v>
      </c>
      <c r="M296">
        <v>0.14846617490993499</v>
      </c>
      <c r="N296">
        <v>0.29690783548483901</v>
      </c>
      <c r="O296">
        <v>0.17753865217086001</v>
      </c>
    </row>
    <row r="297" spans="1:15">
      <c r="A297">
        <v>563</v>
      </c>
      <c r="B297" t="s">
        <v>30</v>
      </c>
      <c r="C297" t="s">
        <v>21</v>
      </c>
      <c r="D297" t="s">
        <v>27</v>
      </c>
      <c r="E297" t="s">
        <v>30</v>
      </c>
      <c r="F297" t="s">
        <v>29</v>
      </c>
      <c r="G297" t="s">
        <v>26</v>
      </c>
      <c r="H297">
        <v>4.8529468734682599E-2</v>
      </c>
      <c r="I297">
        <v>4.8060644590974803E-2</v>
      </c>
      <c r="J297">
        <v>4.45933250199698E-2</v>
      </c>
      <c r="K297">
        <v>4.5990961550519502E-2</v>
      </c>
      <c r="L297">
        <v>3.9342254229144002E-2</v>
      </c>
      <c r="M297">
        <v>3.56735528046071E-2</v>
      </c>
      <c r="N297">
        <v>5.0770020533880897E-2</v>
      </c>
      <c r="O297">
        <v>4.0543239393780198E-2</v>
      </c>
    </row>
    <row r="298" spans="1:15">
      <c r="A298">
        <v>602</v>
      </c>
      <c r="B298" t="s">
        <v>30</v>
      </c>
      <c r="C298" t="s">
        <v>28</v>
      </c>
      <c r="D298" t="s">
        <v>26</v>
      </c>
      <c r="E298" t="s">
        <v>30</v>
      </c>
      <c r="F298" t="s">
        <v>28</v>
      </c>
      <c r="G298" t="s">
        <v>27</v>
      </c>
      <c r="H298">
        <v>0.30192604812527202</v>
      </c>
      <c r="I298">
        <v>0.28426831802424002</v>
      </c>
      <c r="J298">
        <v>0.249618618301473</v>
      </c>
      <c r="K298">
        <v>0.24820783966096899</v>
      </c>
      <c r="L298">
        <v>0.20901174379568899</v>
      </c>
      <c r="M298">
        <v>0.16586143766939301</v>
      </c>
      <c r="N298">
        <v>0.36415490843590498</v>
      </c>
      <c r="O298">
        <v>0.20128724999539099</v>
      </c>
    </row>
    <row r="299" spans="1:15">
      <c r="A299">
        <v>614</v>
      </c>
      <c r="B299" t="s">
        <v>30</v>
      </c>
      <c r="C299" t="s">
        <v>28</v>
      </c>
      <c r="D299" t="s">
        <v>27</v>
      </c>
      <c r="E299" t="s">
        <v>30</v>
      </c>
      <c r="F299" t="s">
        <v>29</v>
      </c>
      <c r="G299" t="s">
        <v>26</v>
      </c>
      <c r="H299">
        <v>5.8406484025856999E-2</v>
      </c>
      <c r="I299">
        <v>5.7804288680883401E-2</v>
      </c>
      <c r="J299">
        <v>5.2613364048344102E-2</v>
      </c>
      <c r="K299">
        <v>5.4495523317668298E-2</v>
      </c>
      <c r="L299">
        <v>4.6419500295658903E-2</v>
      </c>
      <c r="M299">
        <v>4.1293944988384498E-2</v>
      </c>
      <c r="N299">
        <v>6.2268993839835703E-2</v>
      </c>
      <c r="O299">
        <v>4.7258673486433901E-2</v>
      </c>
    </row>
    <row r="301" spans="1:15">
      <c r="A301" t="s">
        <v>41</v>
      </c>
    </row>
    <row r="302" spans="1:15">
      <c r="A302" t="s">
        <v>43</v>
      </c>
      <c r="B302" t="s">
        <v>16</v>
      </c>
      <c r="E302" t="s">
        <v>18</v>
      </c>
      <c r="H302" t="s">
        <v>0</v>
      </c>
      <c r="I302" t="s">
        <v>2</v>
      </c>
      <c r="J302" t="s">
        <v>4</v>
      </c>
      <c r="K302" t="s">
        <v>6</v>
      </c>
      <c r="L302" t="s">
        <v>8</v>
      </c>
      <c r="M302" t="s">
        <v>10</v>
      </c>
      <c r="N302" t="s">
        <v>12</v>
      </c>
      <c r="O302" t="s">
        <v>14</v>
      </c>
    </row>
    <row r="303" spans="1:15">
      <c r="A303">
        <v>69</v>
      </c>
      <c r="B303" t="s">
        <v>20</v>
      </c>
      <c r="C303" t="s">
        <v>21</v>
      </c>
      <c r="D303" t="s">
        <v>24</v>
      </c>
      <c r="E303" t="s">
        <v>20</v>
      </c>
      <c r="F303" t="s">
        <v>21</v>
      </c>
      <c r="G303" t="s">
        <v>25</v>
      </c>
      <c r="H303">
        <v>0.63424970305585104</v>
      </c>
      <c r="I303">
        <v>0.61298048326746901</v>
      </c>
      <c r="J303">
        <v>0.52512205348943397</v>
      </c>
      <c r="K303">
        <v>0.52812479428954695</v>
      </c>
      <c r="L303">
        <v>0.38602642181088798</v>
      </c>
      <c r="M303">
        <v>0.28646505016103602</v>
      </c>
      <c r="N303">
        <v>0.74976853208321104</v>
      </c>
      <c r="O303">
        <v>0.40560347866706697</v>
      </c>
    </row>
    <row r="304" spans="1:15">
      <c r="A304">
        <v>75</v>
      </c>
      <c r="B304" t="s">
        <v>20</v>
      </c>
      <c r="C304" t="s">
        <v>21</v>
      </c>
      <c r="D304" t="s">
        <v>24</v>
      </c>
      <c r="E304" t="s">
        <v>20</v>
      </c>
      <c r="F304" t="s">
        <v>28</v>
      </c>
      <c r="G304" t="s">
        <v>25</v>
      </c>
      <c r="H304">
        <v>0.647159285946735</v>
      </c>
      <c r="I304">
        <v>0.59464756717071598</v>
      </c>
      <c r="J304">
        <v>0.53942494036974997</v>
      </c>
      <c r="K304">
        <v>0.50251782608461104</v>
      </c>
      <c r="L304">
        <v>0.37640907814548702</v>
      </c>
      <c r="M304">
        <v>0.27441434200445097</v>
      </c>
      <c r="N304">
        <v>0.736194610154421</v>
      </c>
      <c r="O304">
        <v>0.40631785230627998</v>
      </c>
    </row>
    <row r="305" spans="1:15">
      <c r="A305">
        <v>82</v>
      </c>
      <c r="B305" t="s">
        <v>20</v>
      </c>
      <c r="C305" t="s">
        <v>21</v>
      </c>
      <c r="D305" t="s">
        <v>24</v>
      </c>
      <c r="E305" t="s">
        <v>20</v>
      </c>
      <c r="F305" t="s">
        <v>29</v>
      </c>
      <c r="G305" t="s">
        <v>25</v>
      </c>
      <c r="H305">
        <v>0.10116710782511</v>
      </c>
      <c r="I305">
        <v>9.8356155130874895E-2</v>
      </c>
      <c r="J305">
        <v>8.5369831787623598E-2</v>
      </c>
      <c r="K305">
        <v>8.8186313162518001E-2</v>
      </c>
      <c r="L305">
        <v>6.54696801676794E-2</v>
      </c>
      <c r="M305">
        <v>5.1887926260998397E-2</v>
      </c>
      <c r="N305">
        <v>0.112397768700311</v>
      </c>
      <c r="O305">
        <v>6.8110449488108002E-2</v>
      </c>
    </row>
    <row r="306" spans="1:15">
      <c r="A306">
        <v>87</v>
      </c>
      <c r="B306" t="s">
        <v>20</v>
      </c>
      <c r="C306" t="s">
        <v>21</v>
      </c>
      <c r="D306" t="s">
        <v>24</v>
      </c>
      <c r="E306" t="s">
        <v>30</v>
      </c>
      <c r="F306" t="s">
        <v>21</v>
      </c>
      <c r="G306" t="s">
        <v>25</v>
      </c>
      <c r="H306">
        <v>0.64491975583946504</v>
      </c>
      <c r="I306">
        <v>0.63011052381474397</v>
      </c>
      <c r="J306">
        <v>0.53419013356112399</v>
      </c>
      <c r="K306">
        <v>0.54389931006592696</v>
      </c>
      <c r="L306">
        <v>0.39422336103752798</v>
      </c>
      <c r="M306">
        <v>0.29393394960695801</v>
      </c>
      <c r="N306">
        <v>0.76707434052757795</v>
      </c>
      <c r="O306">
        <v>0.41287355493193301</v>
      </c>
    </row>
    <row r="307" spans="1:15">
      <c r="A307">
        <v>93</v>
      </c>
      <c r="B307" t="s">
        <v>20</v>
      </c>
      <c r="C307" t="s">
        <v>21</v>
      </c>
      <c r="D307" t="s">
        <v>24</v>
      </c>
      <c r="E307" t="s">
        <v>30</v>
      </c>
      <c r="F307" t="s">
        <v>28</v>
      </c>
      <c r="G307" t="s">
        <v>25</v>
      </c>
      <c r="H307">
        <v>0.63896386644938097</v>
      </c>
      <c r="I307">
        <v>0.62457490966664497</v>
      </c>
      <c r="J307">
        <v>0.53086247938086495</v>
      </c>
      <c r="K307">
        <v>0.54060877002778995</v>
      </c>
      <c r="L307">
        <v>0.38982026153744598</v>
      </c>
      <c r="M307">
        <v>0.29214124933381302</v>
      </c>
      <c r="N307">
        <v>0.75663315592351599</v>
      </c>
      <c r="O307">
        <v>0.41149631475013398</v>
      </c>
    </row>
    <row r="308" spans="1:15">
      <c r="A308">
        <v>100</v>
      </c>
      <c r="B308" t="s">
        <v>20</v>
      </c>
      <c r="C308" t="s">
        <v>21</v>
      </c>
      <c r="D308" t="s">
        <v>24</v>
      </c>
      <c r="E308" t="s">
        <v>30</v>
      </c>
      <c r="F308" t="s">
        <v>29</v>
      </c>
      <c r="G308" t="s">
        <v>25</v>
      </c>
      <c r="H308">
        <v>0.114797421876859</v>
      </c>
      <c r="I308">
        <v>0.112079892169691</v>
      </c>
      <c r="J308">
        <v>9.6897442346901203E-2</v>
      </c>
      <c r="K308">
        <v>0.100307206490861</v>
      </c>
      <c r="L308">
        <v>7.4454473936148402E-2</v>
      </c>
      <c r="M308">
        <v>5.9120288277203503E-2</v>
      </c>
      <c r="N308">
        <v>0.128454060204474</v>
      </c>
      <c r="O308">
        <v>7.6954036011004298E-2</v>
      </c>
    </row>
    <row r="309" spans="1:15">
      <c r="A309">
        <v>106</v>
      </c>
      <c r="B309" t="s">
        <v>20</v>
      </c>
      <c r="C309" t="s">
        <v>21</v>
      </c>
      <c r="D309" t="s">
        <v>25</v>
      </c>
      <c r="E309" t="s">
        <v>20</v>
      </c>
      <c r="F309" t="s">
        <v>28</v>
      </c>
      <c r="G309" t="s">
        <v>24</v>
      </c>
      <c r="H309">
        <v>0.65643013164613395</v>
      </c>
      <c r="I309">
        <v>0.62324971257332595</v>
      </c>
      <c r="J309">
        <v>0.53956163851785999</v>
      </c>
      <c r="K309">
        <v>0.53926776887379502</v>
      </c>
      <c r="L309">
        <v>0.396636106424405</v>
      </c>
      <c r="M309">
        <v>0.29606204161813199</v>
      </c>
      <c r="N309">
        <v>0.75357198255803903</v>
      </c>
      <c r="O309">
        <v>0.41869060708283101</v>
      </c>
    </row>
    <row r="310" spans="1:15">
      <c r="A310">
        <v>112</v>
      </c>
      <c r="B310" t="s">
        <v>20</v>
      </c>
      <c r="C310" t="s">
        <v>21</v>
      </c>
      <c r="D310" t="s">
        <v>25</v>
      </c>
      <c r="E310" t="s">
        <v>20</v>
      </c>
      <c r="F310" t="s">
        <v>29</v>
      </c>
      <c r="G310" t="s">
        <v>24</v>
      </c>
      <c r="H310">
        <v>0.59924431961884805</v>
      </c>
      <c r="I310">
        <v>0.56922809829605603</v>
      </c>
      <c r="J310">
        <v>0.49112070086833698</v>
      </c>
      <c r="K310">
        <v>0.49420682746732802</v>
      </c>
      <c r="L310">
        <v>0.35556877296967498</v>
      </c>
      <c r="M310">
        <v>0.26160665284248602</v>
      </c>
      <c r="N310">
        <v>0.68149854833124601</v>
      </c>
      <c r="O310">
        <v>0.38042881016912899</v>
      </c>
    </row>
    <row r="311" spans="1:15">
      <c r="A311">
        <v>118</v>
      </c>
      <c r="B311" t="s">
        <v>20</v>
      </c>
      <c r="C311" t="s">
        <v>21</v>
      </c>
      <c r="D311" t="s">
        <v>25</v>
      </c>
      <c r="E311" t="s">
        <v>30</v>
      </c>
      <c r="F311" t="s">
        <v>21</v>
      </c>
      <c r="G311" t="s">
        <v>24</v>
      </c>
      <c r="H311">
        <v>0.58414601041605896</v>
      </c>
      <c r="I311">
        <v>0.60462838983450196</v>
      </c>
      <c r="J311">
        <v>0.44157448296429203</v>
      </c>
      <c r="K311">
        <v>0.52126027053110002</v>
      </c>
      <c r="L311">
        <v>0.32301680853529702</v>
      </c>
      <c r="M311">
        <v>0.234465926619702</v>
      </c>
      <c r="N311">
        <v>0.73775462107797496</v>
      </c>
      <c r="O311">
        <v>0.34112092459125998</v>
      </c>
    </row>
    <row r="312" spans="1:15">
      <c r="A312">
        <v>124</v>
      </c>
      <c r="B312" t="s">
        <v>20</v>
      </c>
      <c r="C312" t="s">
        <v>21</v>
      </c>
      <c r="D312" t="s">
        <v>25</v>
      </c>
      <c r="E312" t="s">
        <v>30</v>
      </c>
      <c r="F312" t="s">
        <v>28</v>
      </c>
      <c r="G312" t="s">
        <v>24</v>
      </c>
      <c r="H312">
        <v>0.57827152621120603</v>
      </c>
      <c r="I312">
        <v>0.60487312169187801</v>
      </c>
      <c r="J312">
        <v>0.43541434793674999</v>
      </c>
      <c r="K312">
        <v>0.52104762743837996</v>
      </c>
      <c r="L312">
        <v>0.316507670805805</v>
      </c>
      <c r="M312">
        <v>0.228837256492294</v>
      </c>
      <c r="N312">
        <v>0.73658410151231701</v>
      </c>
      <c r="O312">
        <v>0.33584422421670002</v>
      </c>
    </row>
    <row r="313" spans="1:15">
      <c r="A313">
        <v>130</v>
      </c>
      <c r="B313" t="s">
        <v>20</v>
      </c>
      <c r="C313" t="s">
        <v>21</v>
      </c>
      <c r="D313" t="s">
        <v>25</v>
      </c>
      <c r="E313" t="s">
        <v>30</v>
      </c>
      <c r="F313" t="s">
        <v>29</v>
      </c>
      <c r="G313" t="s">
        <v>24</v>
      </c>
      <c r="H313">
        <v>0.45656716245096302</v>
      </c>
      <c r="I313">
        <v>0.441725588069455</v>
      </c>
      <c r="J313">
        <v>0.37191774271459299</v>
      </c>
      <c r="K313">
        <v>0.39292527250831799</v>
      </c>
      <c r="L313">
        <v>0.252725109020144</v>
      </c>
      <c r="M313">
        <v>0.18478090591663601</v>
      </c>
      <c r="N313">
        <v>0.50952241429827105</v>
      </c>
      <c r="O313">
        <v>0.28840317308147501</v>
      </c>
    </row>
    <row r="314" spans="1:15">
      <c r="A314">
        <v>252</v>
      </c>
      <c r="B314" t="s">
        <v>20</v>
      </c>
      <c r="C314" t="s">
        <v>28</v>
      </c>
      <c r="D314" t="s">
        <v>24</v>
      </c>
      <c r="E314" t="s">
        <v>20</v>
      </c>
      <c r="F314" t="s">
        <v>28</v>
      </c>
      <c r="G314" t="s">
        <v>25</v>
      </c>
      <c r="H314">
        <v>0.65296126860822401</v>
      </c>
      <c r="I314">
        <v>0.60640934527648405</v>
      </c>
      <c r="J314">
        <v>0.55224731951922601</v>
      </c>
      <c r="K314">
        <v>0.51436116573936197</v>
      </c>
      <c r="L314">
        <v>0.38596265006314101</v>
      </c>
      <c r="M314">
        <v>0.284544085446581</v>
      </c>
      <c r="N314">
        <v>0.73535742717296004</v>
      </c>
      <c r="O314">
        <v>0.41751696392561899</v>
      </c>
    </row>
    <row r="315" spans="1:15">
      <c r="A315">
        <v>259</v>
      </c>
      <c r="B315" t="s">
        <v>20</v>
      </c>
      <c r="C315" t="s">
        <v>28</v>
      </c>
      <c r="D315" t="s">
        <v>24</v>
      </c>
      <c r="E315" t="s">
        <v>20</v>
      </c>
      <c r="F315" t="s">
        <v>29</v>
      </c>
      <c r="G315" t="s">
        <v>25</v>
      </c>
      <c r="H315">
        <v>0.103385885488903</v>
      </c>
      <c r="I315">
        <v>9.8470058686357401E-2</v>
      </c>
      <c r="J315">
        <v>8.7550694875996302E-2</v>
      </c>
      <c r="K315">
        <v>8.7956065095549693E-2</v>
      </c>
      <c r="L315">
        <v>6.6451620407631695E-2</v>
      </c>
      <c r="M315">
        <v>5.1836622535928703E-2</v>
      </c>
      <c r="N315">
        <v>0.112967599303084</v>
      </c>
      <c r="O315">
        <v>6.9877136952650298E-2</v>
      </c>
    </row>
    <row r="316" spans="1:15">
      <c r="A316">
        <v>264</v>
      </c>
      <c r="B316" t="s">
        <v>20</v>
      </c>
      <c r="C316" t="s">
        <v>28</v>
      </c>
      <c r="D316" t="s">
        <v>24</v>
      </c>
      <c r="E316" t="s">
        <v>30</v>
      </c>
      <c r="F316" t="s">
        <v>21</v>
      </c>
      <c r="G316" t="s">
        <v>25</v>
      </c>
      <c r="H316">
        <v>0.66765882642382202</v>
      </c>
      <c r="I316">
        <v>0.63942381638143897</v>
      </c>
      <c r="J316">
        <v>0.54845549903369695</v>
      </c>
      <c r="K316">
        <v>0.55376198709463598</v>
      </c>
      <c r="L316">
        <v>0.40257140516893702</v>
      </c>
      <c r="M316">
        <v>0.300784259166609</v>
      </c>
      <c r="N316">
        <v>0.77096447841726601</v>
      </c>
      <c r="O316">
        <v>0.42531331349152701</v>
      </c>
    </row>
    <row r="317" spans="1:15">
      <c r="A317">
        <v>270</v>
      </c>
      <c r="B317" t="s">
        <v>20</v>
      </c>
      <c r="C317" t="s">
        <v>28</v>
      </c>
      <c r="D317" t="s">
        <v>24</v>
      </c>
      <c r="E317" t="s">
        <v>30</v>
      </c>
      <c r="F317" t="s">
        <v>28</v>
      </c>
      <c r="G317" t="s">
        <v>25</v>
      </c>
      <c r="H317">
        <v>0.65937379960645603</v>
      </c>
      <c r="I317">
        <v>0.63340134471635501</v>
      </c>
      <c r="J317">
        <v>0.54323451319274896</v>
      </c>
      <c r="K317">
        <v>0.54969055968198199</v>
      </c>
      <c r="L317">
        <v>0.39899415606209698</v>
      </c>
      <c r="M317">
        <v>0.299053821134941</v>
      </c>
      <c r="N317">
        <v>0.76047935436741199</v>
      </c>
      <c r="O317">
        <v>0.421894067014707</v>
      </c>
    </row>
    <row r="318" spans="1:15">
      <c r="A318">
        <v>277</v>
      </c>
      <c r="B318" t="s">
        <v>20</v>
      </c>
      <c r="C318" t="s">
        <v>28</v>
      </c>
      <c r="D318" t="s">
        <v>24</v>
      </c>
      <c r="E318" t="s">
        <v>30</v>
      </c>
      <c r="F318" t="s">
        <v>29</v>
      </c>
      <c r="G318" t="s">
        <v>25</v>
      </c>
      <c r="H318">
        <v>0.117664164773281</v>
      </c>
      <c r="I318">
        <v>0.111936365398183</v>
      </c>
      <c r="J318">
        <v>9.9694245903648601E-2</v>
      </c>
      <c r="K318">
        <v>9.9611468047872104E-2</v>
      </c>
      <c r="L318">
        <v>7.5713645654617898E-2</v>
      </c>
      <c r="M318">
        <v>5.9584801252851399E-2</v>
      </c>
      <c r="N318">
        <v>0.129106847045831</v>
      </c>
      <c r="O318">
        <v>7.9244944236157203E-2</v>
      </c>
    </row>
    <row r="319" spans="1:15">
      <c r="A319">
        <v>283</v>
      </c>
      <c r="B319" t="s">
        <v>20</v>
      </c>
      <c r="C319" t="s">
        <v>28</v>
      </c>
      <c r="D319" t="s">
        <v>25</v>
      </c>
      <c r="E319" t="s">
        <v>20</v>
      </c>
      <c r="F319" t="s">
        <v>29</v>
      </c>
      <c r="G319" t="s">
        <v>24</v>
      </c>
      <c r="H319">
        <v>0.59995770533395598</v>
      </c>
      <c r="I319">
        <v>0.55248124185009295</v>
      </c>
      <c r="J319">
        <v>0.50925758845553604</v>
      </c>
      <c r="K319">
        <v>0.46935744098554999</v>
      </c>
      <c r="L319">
        <v>0.34898665127658302</v>
      </c>
      <c r="M319">
        <v>0.25487730045700102</v>
      </c>
      <c r="N319">
        <v>0.662523987645251</v>
      </c>
      <c r="O319">
        <v>0.38401647009180201</v>
      </c>
    </row>
    <row r="320" spans="1:15">
      <c r="A320">
        <v>289</v>
      </c>
      <c r="B320" t="s">
        <v>20</v>
      </c>
      <c r="C320" t="s">
        <v>28</v>
      </c>
      <c r="D320" t="s">
        <v>25</v>
      </c>
      <c r="E320" t="s">
        <v>30</v>
      </c>
      <c r="F320" t="s">
        <v>21</v>
      </c>
      <c r="G320" t="s">
        <v>24</v>
      </c>
      <c r="H320">
        <v>0.58905103024134697</v>
      </c>
      <c r="I320">
        <v>0.59526886915820099</v>
      </c>
      <c r="J320">
        <v>0.46733272796306402</v>
      </c>
      <c r="K320">
        <v>0.50601591064762697</v>
      </c>
      <c r="L320">
        <v>0.32711974034680902</v>
      </c>
      <c r="M320">
        <v>0.235756324326477</v>
      </c>
      <c r="N320">
        <v>0.72243301653130798</v>
      </c>
      <c r="O320">
        <v>0.34563841394515998</v>
      </c>
    </row>
    <row r="321" spans="1:15">
      <c r="A321">
        <v>295</v>
      </c>
      <c r="B321" t="s">
        <v>20</v>
      </c>
      <c r="C321" t="s">
        <v>28</v>
      </c>
      <c r="D321" t="s">
        <v>25</v>
      </c>
      <c r="E321" t="s">
        <v>30</v>
      </c>
      <c r="F321" t="s">
        <v>28</v>
      </c>
      <c r="G321" t="s">
        <v>24</v>
      </c>
      <c r="H321">
        <v>0.58645537956387095</v>
      </c>
      <c r="I321">
        <v>0.60670141418839996</v>
      </c>
      <c r="J321">
        <v>0.46572393453062799</v>
      </c>
      <c r="K321">
        <v>0.51908152739716196</v>
      </c>
      <c r="L321">
        <v>0.32382684075698598</v>
      </c>
      <c r="M321">
        <v>0.23478143172403701</v>
      </c>
      <c r="N321">
        <v>0.71866627803400096</v>
      </c>
      <c r="O321">
        <v>0.34749389224160698</v>
      </c>
    </row>
    <row r="322" spans="1:15">
      <c r="A322">
        <v>301</v>
      </c>
      <c r="B322" t="s">
        <v>20</v>
      </c>
      <c r="C322" t="s">
        <v>28</v>
      </c>
      <c r="D322" t="s">
        <v>25</v>
      </c>
      <c r="E322" t="s">
        <v>30</v>
      </c>
      <c r="F322" t="s">
        <v>29</v>
      </c>
      <c r="G322" t="s">
        <v>24</v>
      </c>
      <c r="H322">
        <v>0.46425192582483499</v>
      </c>
      <c r="I322">
        <v>0.43399143851757499</v>
      </c>
      <c r="J322">
        <v>0.38843656464494702</v>
      </c>
      <c r="K322">
        <v>0.37871819911716997</v>
      </c>
      <c r="L322">
        <v>0.25645788399936198</v>
      </c>
      <c r="M322">
        <v>0.187435758017129</v>
      </c>
      <c r="N322">
        <v>0.505151856318794</v>
      </c>
      <c r="O322">
        <v>0.297894003920531</v>
      </c>
    </row>
    <row r="323" spans="1:15">
      <c r="A323">
        <v>400</v>
      </c>
      <c r="B323" t="s">
        <v>20</v>
      </c>
      <c r="C323" t="s">
        <v>29</v>
      </c>
      <c r="D323" t="s">
        <v>24</v>
      </c>
      <c r="E323" t="s">
        <v>20</v>
      </c>
      <c r="F323" t="s">
        <v>29</v>
      </c>
      <c r="G323" t="s">
        <v>25</v>
      </c>
      <c r="H323">
        <v>9.4160904821253305E-2</v>
      </c>
      <c r="I323">
        <v>8.9117733096477497E-2</v>
      </c>
      <c r="J323">
        <v>8.0070370833694005E-2</v>
      </c>
      <c r="K323">
        <v>7.9488315660737399E-2</v>
      </c>
      <c r="L323">
        <v>5.9310548846907798E-2</v>
      </c>
      <c r="M323">
        <v>4.5843095265878903E-2</v>
      </c>
      <c r="N323">
        <v>0.102162974675822</v>
      </c>
      <c r="O323">
        <v>6.3498436593830698E-2</v>
      </c>
    </row>
    <row r="324" spans="1:15">
      <c r="A324">
        <v>405</v>
      </c>
      <c r="B324" t="s">
        <v>20</v>
      </c>
      <c r="C324" t="s">
        <v>29</v>
      </c>
      <c r="D324" t="s">
        <v>24</v>
      </c>
      <c r="E324" t="s">
        <v>30</v>
      </c>
      <c r="F324" t="s">
        <v>21</v>
      </c>
      <c r="G324" t="s">
        <v>25</v>
      </c>
      <c r="H324">
        <v>0.607563976133212</v>
      </c>
      <c r="I324">
        <v>0.58260141913403996</v>
      </c>
      <c r="J324">
        <v>0.498782385813486</v>
      </c>
      <c r="K324">
        <v>0.50595767142330905</v>
      </c>
      <c r="L324">
        <v>0.35843835461447499</v>
      </c>
      <c r="M324">
        <v>0.26444181586224502</v>
      </c>
      <c r="N324">
        <v>0.69722793194016197</v>
      </c>
      <c r="O324">
        <v>0.38471254175123198</v>
      </c>
    </row>
    <row r="325" spans="1:15">
      <c r="A325">
        <v>411</v>
      </c>
      <c r="B325" t="s">
        <v>20</v>
      </c>
      <c r="C325" t="s">
        <v>29</v>
      </c>
      <c r="D325" t="s">
        <v>24</v>
      </c>
      <c r="E325" t="s">
        <v>30</v>
      </c>
      <c r="F325" t="s">
        <v>28</v>
      </c>
      <c r="G325" t="s">
        <v>25</v>
      </c>
      <c r="H325">
        <v>0.60173150193082103</v>
      </c>
      <c r="I325">
        <v>0.57729633418925197</v>
      </c>
      <c r="J325">
        <v>0.495096914919399</v>
      </c>
      <c r="K325">
        <v>0.50246765629536405</v>
      </c>
      <c r="L325">
        <v>0.35583983248120499</v>
      </c>
      <c r="M325">
        <v>0.26296885283326099</v>
      </c>
      <c r="N325">
        <v>0.687744642505139</v>
      </c>
      <c r="O325">
        <v>0.38321027690509901</v>
      </c>
    </row>
    <row r="326" spans="1:15">
      <c r="A326">
        <v>418</v>
      </c>
      <c r="B326" t="s">
        <v>20</v>
      </c>
      <c r="C326" t="s">
        <v>29</v>
      </c>
      <c r="D326" t="s">
        <v>24</v>
      </c>
      <c r="E326" t="s">
        <v>30</v>
      </c>
      <c r="F326" t="s">
        <v>29</v>
      </c>
      <c r="G326" t="s">
        <v>25</v>
      </c>
      <c r="H326">
        <v>0.107106846198792</v>
      </c>
      <c r="I326">
        <v>0.10128005489858199</v>
      </c>
      <c r="J326">
        <v>9.0903223299900096E-2</v>
      </c>
      <c r="K326">
        <v>8.9962240459167203E-2</v>
      </c>
      <c r="L326">
        <v>6.7244129920491197E-2</v>
      </c>
      <c r="M326">
        <v>5.2215883891011901E-2</v>
      </c>
      <c r="N326">
        <v>0.116758696852567</v>
      </c>
      <c r="O326">
        <v>7.1670404676694902E-2</v>
      </c>
    </row>
    <row r="327" spans="1:15">
      <c r="A327">
        <v>443</v>
      </c>
      <c r="B327" t="s">
        <v>20</v>
      </c>
      <c r="C327" t="s">
        <v>29</v>
      </c>
      <c r="D327" t="s">
        <v>25</v>
      </c>
      <c r="E327" t="s">
        <v>30</v>
      </c>
      <c r="F327" t="s">
        <v>21</v>
      </c>
      <c r="G327" t="s">
        <v>24</v>
      </c>
      <c r="H327">
        <v>9.4082101215994807E-2</v>
      </c>
      <c r="I327">
        <v>9.6659986500992501E-2</v>
      </c>
      <c r="J327">
        <v>6.9088223939220705E-2</v>
      </c>
      <c r="K327">
        <v>8.6573070350832004E-2</v>
      </c>
      <c r="L327">
        <v>5.2331910363402602E-2</v>
      </c>
      <c r="M327">
        <v>4.0385417012769299E-2</v>
      </c>
      <c r="N327">
        <v>0.11059676381337499</v>
      </c>
      <c r="O327">
        <v>5.1999131683325102E-2</v>
      </c>
    </row>
    <row r="328" spans="1:15">
      <c r="A328">
        <v>449</v>
      </c>
      <c r="B328" t="s">
        <v>20</v>
      </c>
      <c r="C328" t="s">
        <v>29</v>
      </c>
      <c r="D328" t="s">
        <v>25</v>
      </c>
      <c r="E328" t="s">
        <v>30</v>
      </c>
      <c r="F328" t="s">
        <v>28</v>
      </c>
      <c r="G328" t="s">
        <v>24</v>
      </c>
      <c r="H328">
        <v>9.3955682839280005E-2</v>
      </c>
      <c r="I328">
        <v>9.5296070700698093E-2</v>
      </c>
      <c r="J328">
        <v>6.7194709185857293E-2</v>
      </c>
      <c r="K328">
        <v>8.4534887478394605E-2</v>
      </c>
      <c r="L328">
        <v>4.9941498340200403E-2</v>
      </c>
      <c r="M328">
        <v>3.7507788732642898E-2</v>
      </c>
      <c r="N328">
        <v>0.11042107092454501</v>
      </c>
      <c r="O328">
        <v>4.9619968047306402E-2</v>
      </c>
    </row>
    <row r="329" spans="1:15">
      <c r="A329">
        <v>455</v>
      </c>
      <c r="B329" t="s">
        <v>20</v>
      </c>
      <c r="C329" t="s">
        <v>29</v>
      </c>
      <c r="D329" t="s">
        <v>25</v>
      </c>
      <c r="E329" t="s">
        <v>30</v>
      </c>
      <c r="F329" t="s">
        <v>29</v>
      </c>
      <c r="G329" t="s">
        <v>24</v>
      </c>
      <c r="H329">
        <v>6.9521516387363494E-2</v>
      </c>
      <c r="I329">
        <v>6.7948188837455195E-2</v>
      </c>
      <c r="J329">
        <v>5.59259261229108E-2</v>
      </c>
      <c r="K329">
        <v>6.1536411968345903E-2</v>
      </c>
      <c r="L329">
        <v>3.9939461442417799E-2</v>
      </c>
      <c r="M329">
        <v>3.0587456909834599E-2</v>
      </c>
      <c r="N329">
        <v>7.6382483418983599E-2</v>
      </c>
      <c r="O329">
        <v>4.32089129383239E-2</v>
      </c>
    </row>
    <row r="330" spans="1:15">
      <c r="A330">
        <v>510</v>
      </c>
      <c r="B330" t="s">
        <v>30</v>
      </c>
      <c r="C330" t="s">
        <v>21</v>
      </c>
      <c r="D330" t="s">
        <v>24</v>
      </c>
      <c r="E330" t="s">
        <v>30</v>
      </c>
      <c r="F330" t="s">
        <v>21</v>
      </c>
      <c r="G330" t="s">
        <v>25</v>
      </c>
      <c r="H330">
        <v>0.58841874456932697</v>
      </c>
      <c r="I330">
        <v>0.62466271883442304</v>
      </c>
      <c r="J330">
        <v>0.44982139615219002</v>
      </c>
      <c r="K330">
        <v>0.54234858815954601</v>
      </c>
      <c r="L330">
        <v>0.33113689438271898</v>
      </c>
      <c r="M330">
        <v>0.24248093201934701</v>
      </c>
      <c r="N330">
        <v>0.75478313001772501</v>
      </c>
      <c r="O330">
        <v>0.34906561203598202</v>
      </c>
    </row>
    <row r="331" spans="1:15">
      <c r="A331">
        <v>516</v>
      </c>
      <c r="B331" t="s">
        <v>30</v>
      </c>
      <c r="C331" t="s">
        <v>21</v>
      </c>
      <c r="D331" t="s">
        <v>24</v>
      </c>
      <c r="E331" t="s">
        <v>30</v>
      </c>
      <c r="F331" t="s">
        <v>28</v>
      </c>
      <c r="G331" t="s">
        <v>25</v>
      </c>
      <c r="H331">
        <v>0.596302805014023</v>
      </c>
      <c r="I331">
        <v>0.618825184611007</v>
      </c>
      <c r="J331">
        <v>0.45468689932096101</v>
      </c>
      <c r="K331">
        <v>0.53813341999449604</v>
      </c>
      <c r="L331">
        <v>0.33146327448018398</v>
      </c>
      <c r="M331">
        <v>0.244588586835325</v>
      </c>
      <c r="N331">
        <v>0.74451700820198996</v>
      </c>
      <c r="O331">
        <v>0.35061538296432598</v>
      </c>
    </row>
    <row r="332" spans="1:15">
      <c r="A332">
        <v>523</v>
      </c>
      <c r="B332" t="s">
        <v>30</v>
      </c>
      <c r="C332" t="s">
        <v>21</v>
      </c>
      <c r="D332" t="s">
        <v>24</v>
      </c>
      <c r="E332" t="s">
        <v>30</v>
      </c>
      <c r="F332" t="s">
        <v>29</v>
      </c>
      <c r="G332" t="s">
        <v>25</v>
      </c>
      <c r="H332">
        <v>0.106417489901699</v>
      </c>
      <c r="I332">
        <v>0.109893613298661</v>
      </c>
      <c r="J332">
        <v>7.8404449814437394E-2</v>
      </c>
      <c r="K332">
        <v>9.8120363597249197E-2</v>
      </c>
      <c r="L332">
        <v>5.9647710080306802E-2</v>
      </c>
      <c r="M332">
        <v>4.5751182515772801E-2</v>
      </c>
      <c r="N332">
        <v>0.12639726921339201</v>
      </c>
      <c r="O332">
        <v>5.88614517031463E-2</v>
      </c>
    </row>
    <row r="333" spans="1:15">
      <c r="A333">
        <v>529</v>
      </c>
      <c r="B333" t="s">
        <v>30</v>
      </c>
      <c r="C333" t="s">
        <v>21</v>
      </c>
      <c r="D333" t="s">
        <v>25</v>
      </c>
      <c r="E333" t="s">
        <v>30</v>
      </c>
      <c r="F333" t="s">
        <v>28</v>
      </c>
      <c r="G333" t="s">
        <v>24</v>
      </c>
      <c r="H333">
        <v>0.58179867309076305</v>
      </c>
      <c r="I333">
        <v>0.62217678847548497</v>
      </c>
      <c r="J333">
        <v>0.44181303199918798</v>
      </c>
      <c r="K333">
        <v>0.53740091209113705</v>
      </c>
      <c r="L333">
        <v>0.323789966584414</v>
      </c>
      <c r="M333">
        <v>0.234813742240566</v>
      </c>
      <c r="N333">
        <v>0.75358559306400996</v>
      </c>
      <c r="O333">
        <v>0.34290920246540701</v>
      </c>
    </row>
    <row r="334" spans="1:15">
      <c r="A334">
        <v>535</v>
      </c>
      <c r="B334" t="s">
        <v>30</v>
      </c>
      <c r="C334" t="s">
        <v>21</v>
      </c>
      <c r="D334" t="s">
        <v>25</v>
      </c>
      <c r="E334" t="s">
        <v>30</v>
      </c>
      <c r="F334" t="s">
        <v>29</v>
      </c>
      <c r="G334" t="s">
        <v>24</v>
      </c>
      <c r="H334">
        <v>0.46209721674258197</v>
      </c>
      <c r="I334">
        <v>0.45330020118833902</v>
      </c>
      <c r="J334">
        <v>0.37692585733787698</v>
      </c>
      <c r="K334">
        <v>0.40412043320088298</v>
      </c>
      <c r="L334">
        <v>0.25626125772138197</v>
      </c>
      <c r="M334">
        <v>0.18805910477616999</v>
      </c>
      <c r="N334">
        <v>0.52128297362110299</v>
      </c>
      <c r="O334">
        <v>0.290596573091919</v>
      </c>
    </row>
    <row r="335" spans="1:15">
      <c r="A335">
        <v>585</v>
      </c>
      <c r="B335" t="s">
        <v>30</v>
      </c>
      <c r="C335" t="s">
        <v>28</v>
      </c>
      <c r="D335" t="s">
        <v>24</v>
      </c>
      <c r="E335" t="s">
        <v>30</v>
      </c>
      <c r="F335" t="s">
        <v>28</v>
      </c>
      <c r="G335" t="s">
        <v>25</v>
      </c>
      <c r="H335">
        <v>0.58771801523497202</v>
      </c>
      <c r="I335">
        <v>0.61543541878152297</v>
      </c>
      <c r="J335">
        <v>0.44451518096413001</v>
      </c>
      <c r="K335">
        <v>0.532160761324599</v>
      </c>
      <c r="L335">
        <v>0.323298925790234</v>
      </c>
      <c r="M335">
        <v>0.23572639100414</v>
      </c>
      <c r="N335">
        <v>0.74333427609081304</v>
      </c>
      <c r="O335">
        <v>0.34114652700348802</v>
      </c>
    </row>
    <row r="336" spans="1:15">
      <c r="A336">
        <v>592</v>
      </c>
      <c r="B336" t="s">
        <v>30</v>
      </c>
      <c r="C336" t="s">
        <v>28</v>
      </c>
      <c r="D336" t="s">
        <v>24</v>
      </c>
      <c r="E336" t="s">
        <v>30</v>
      </c>
      <c r="F336" t="s">
        <v>29</v>
      </c>
      <c r="G336" t="s">
        <v>25</v>
      </c>
      <c r="H336">
        <v>0.10620629430846</v>
      </c>
      <c r="I336">
        <v>0.108481838758582</v>
      </c>
      <c r="J336">
        <v>7.6440437400716599E-2</v>
      </c>
      <c r="K336">
        <v>9.6042281609034594E-2</v>
      </c>
      <c r="L336">
        <v>5.7453824508465E-2</v>
      </c>
      <c r="M336">
        <v>4.3152021771089601E-2</v>
      </c>
      <c r="N336">
        <v>0.12619647608051801</v>
      </c>
      <c r="O336">
        <v>5.6449316707943897E-2</v>
      </c>
    </row>
    <row r="337" spans="1:15">
      <c r="A337">
        <v>598</v>
      </c>
      <c r="B337" t="s">
        <v>30</v>
      </c>
      <c r="C337" t="s">
        <v>28</v>
      </c>
      <c r="D337" t="s">
        <v>25</v>
      </c>
      <c r="E337" t="s">
        <v>30</v>
      </c>
      <c r="F337" t="s">
        <v>29</v>
      </c>
      <c r="G337" t="s">
        <v>24</v>
      </c>
      <c r="H337">
        <v>0.45891185752096803</v>
      </c>
      <c r="I337">
        <v>0.44803992910874502</v>
      </c>
      <c r="J337">
        <v>0.37378430834061499</v>
      </c>
      <c r="K337">
        <v>0.39990285469532899</v>
      </c>
      <c r="L337">
        <v>0.25426161073576498</v>
      </c>
      <c r="M337">
        <v>0.18706239631250601</v>
      </c>
      <c r="N337">
        <v>0.51419278533412105</v>
      </c>
      <c r="O337">
        <v>0.28807632769268998</v>
      </c>
    </row>
    <row r="338" spans="1:15">
      <c r="A338">
        <v>625</v>
      </c>
      <c r="B338" t="s">
        <v>30</v>
      </c>
      <c r="C338" t="s">
        <v>29</v>
      </c>
      <c r="D338" t="s">
        <v>24</v>
      </c>
      <c r="E338" t="s">
        <v>30</v>
      </c>
      <c r="F338" t="s">
        <v>29</v>
      </c>
      <c r="G338" t="s">
        <v>25</v>
      </c>
      <c r="H338">
        <v>7.8967802584889807E-2</v>
      </c>
      <c r="I338">
        <v>7.7178208099601797E-2</v>
      </c>
      <c r="J338">
        <v>6.3495203141248999E-2</v>
      </c>
      <c r="K338">
        <v>6.9590286328227696E-2</v>
      </c>
      <c r="L338">
        <v>4.5714887352658502E-2</v>
      </c>
      <c r="M338">
        <v>3.5034927869584703E-2</v>
      </c>
      <c r="N338">
        <v>8.72948145173435E-2</v>
      </c>
      <c r="O338">
        <v>4.8936190887749802E-2</v>
      </c>
    </row>
    <row r="340" spans="1:15">
      <c r="A340" t="s">
        <v>41</v>
      </c>
    </row>
    <row r="341" spans="1:15">
      <c r="A341" t="s">
        <v>42</v>
      </c>
      <c r="B341" t="s">
        <v>16</v>
      </c>
      <c r="E341" t="s">
        <v>18</v>
      </c>
      <c r="H341" t="s">
        <v>0</v>
      </c>
      <c r="I341" t="s">
        <v>2</v>
      </c>
      <c r="J341" t="s">
        <v>4</v>
      </c>
      <c r="K341" t="s">
        <v>6</v>
      </c>
      <c r="L341" t="s">
        <v>8</v>
      </c>
      <c r="M341" t="s">
        <v>10</v>
      </c>
      <c r="N341" t="s">
        <v>12</v>
      </c>
      <c r="O341" t="s">
        <v>14</v>
      </c>
    </row>
    <row r="342" spans="1:15">
      <c r="A342">
        <v>103</v>
      </c>
      <c r="B342" t="s">
        <v>20</v>
      </c>
      <c r="C342" t="s">
        <v>21</v>
      </c>
      <c r="D342" t="s">
        <v>25</v>
      </c>
      <c r="E342" t="s">
        <v>20</v>
      </c>
      <c r="F342" t="s">
        <v>21</v>
      </c>
      <c r="G342" t="s">
        <v>27</v>
      </c>
      <c r="H342">
        <v>0.155087532379099</v>
      </c>
      <c r="I342">
        <v>0.151246390188574</v>
      </c>
      <c r="J342">
        <v>0.132469969455041</v>
      </c>
      <c r="K342">
        <v>0.138327195403734</v>
      </c>
      <c r="L342">
        <v>0.10072817129071999</v>
      </c>
      <c r="M342">
        <v>7.9327163486417399E-2</v>
      </c>
      <c r="N342">
        <v>0.16876648110167</v>
      </c>
      <c r="O342">
        <v>0.109589667038427</v>
      </c>
    </row>
    <row r="343" spans="1:15">
      <c r="A343">
        <v>109</v>
      </c>
      <c r="B343" t="s">
        <v>20</v>
      </c>
      <c r="C343" t="s">
        <v>21</v>
      </c>
      <c r="D343" t="s">
        <v>25</v>
      </c>
      <c r="E343" t="s">
        <v>20</v>
      </c>
      <c r="F343" t="s">
        <v>28</v>
      </c>
      <c r="G343" t="s">
        <v>27</v>
      </c>
      <c r="H343">
        <v>0.18185630330991401</v>
      </c>
      <c r="I343">
        <v>0.17958376774041801</v>
      </c>
      <c r="J343">
        <v>0.15237208639782701</v>
      </c>
      <c r="K343">
        <v>0.161504663721356</v>
      </c>
      <c r="L343">
        <v>0.115781327861675</v>
      </c>
      <c r="M343">
        <v>8.9975224986014707E-2</v>
      </c>
      <c r="N343">
        <v>0.20539115147963599</v>
      </c>
      <c r="O343">
        <v>0.12302319499509901</v>
      </c>
    </row>
    <row r="344" spans="1:15">
      <c r="A344">
        <v>121</v>
      </c>
      <c r="B344" t="s">
        <v>20</v>
      </c>
      <c r="C344" t="s">
        <v>21</v>
      </c>
      <c r="D344" t="s">
        <v>25</v>
      </c>
      <c r="E344" t="s">
        <v>30</v>
      </c>
      <c r="F344" t="s">
        <v>21</v>
      </c>
      <c r="G344" t="s">
        <v>27</v>
      </c>
      <c r="H344">
        <v>0.24331227445540901</v>
      </c>
      <c r="I344">
        <v>0.22913330493862499</v>
      </c>
      <c r="J344">
        <v>0.203985180529728</v>
      </c>
      <c r="K344">
        <v>0.20227753975860699</v>
      </c>
      <c r="L344">
        <v>0.17425153137225399</v>
      </c>
      <c r="M344">
        <v>0.139710585808383</v>
      </c>
      <c r="N344">
        <v>0.28977439203047101</v>
      </c>
      <c r="O344">
        <v>0.16916622358282399</v>
      </c>
    </row>
    <row r="345" spans="1:15">
      <c r="A345">
        <v>127</v>
      </c>
      <c r="B345" t="s">
        <v>20</v>
      </c>
      <c r="C345" t="s">
        <v>21</v>
      </c>
      <c r="D345" t="s">
        <v>25</v>
      </c>
      <c r="E345" t="s">
        <v>30</v>
      </c>
      <c r="F345" t="s">
        <v>28</v>
      </c>
      <c r="G345" t="s">
        <v>27</v>
      </c>
      <c r="H345">
        <v>0.29104608643402502</v>
      </c>
      <c r="I345">
        <v>0.27328550947160701</v>
      </c>
      <c r="J345">
        <v>0.24038647402023999</v>
      </c>
      <c r="K345">
        <v>0.23742361548291899</v>
      </c>
      <c r="L345">
        <v>0.19972493094560001</v>
      </c>
      <c r="M345">
        <v>0.157087761229255</v>
      </c>
      <c r="N345">
        <v>0.35540580134778699</v>
      </c>
      <c r="O345">
        <v>0.192403406273957</v>
      </c>
    </row>
    <row r="346" spans="1:15">
      <c r="A346">
        <v>168</v>
      </c>
      <c r="B346" t="s">
        <v>20</v>
      </c>
      <c r="C346" t="s">
        <v>21</v>
      </c>
      <c r="D346" t="s">
        <v>27</v>
      </c>
      <c r="E346" t="s">
        <v>20</v>
      </c>
      <c r="F346" t="s">
        <v>28</v>
      </c>
      <c r="G346" t="s">
        <v>25</v>
      </c>
      <c r="H346">
        <v>0.147445953887993</v>
      </c>
      <c r="I346">
        <v>0.14411371923229699</v>
      </c>
      <c r="J346">
        <v>0.12419755744760801</v>
      </c>
      <c r="K346">
        <v>0.126612171675065</v>
      </c>
      <c r="L346">
        <v>9.2618548117470195E-2</v>
      </c>
      <c r="M346">
        <v>7.0038113545849004E-2</v>
      </c>
      <c r="N346">
        <v>0.17006200177147901</v>
      </c>
      <c r="O346">
        <v>9.7988646582210306E-2</v>
      </c>
    </row>
    <row r="347" spans="1:15">
      <c r="A347">
        <v>175</v>
      </c>
      <c r="B347" t="s">
        <v>20</v>
      </c>
      <c r="C347" t="s">
        <v>21</v>
      </c>
      <c r="D347" t="s">
        <v>27</v>
      </c>
      <c r="E347" t="s">
        <v>20</v>
      </c>
      <c r="F347" t="s">
        <v>29</v>
      </c>
      <c r="G347" t="s">
        <v>25</v>
      </c>
      <c r="H347">
        <v>2.34151194412618E-2</v>
      </c>
      <c r="I347">
        <v>2.2918597491479599E-2</v>
      </c>
      <c r="J347">
        <v>2.0125468244548899E-2</v>
      </c>
      <c r="K347">
        <v>2.1121033786315701E-2</v>
      </c>
      <c r="L347">
        <v>1.5604220653886801E-2</v>
      </c>
      <c r="M347">
        <v>1.2521889607243699E-2</v>
      </c>
      <c r="N347">
        <v>2.52997759915667E-2</v>
      </c>
      <c r="O347">
        <v>1.6890070382712501E-2</v>
      </c>
    </row>
    <row r="348" spans="1:15">
      <c r="A348">
        <v>180</v>
      </c>
      <c r="B348" t="s">
        <v>20</v>
      </c>
      <c r="C348" t="s">
        <v>21</v>
      </c>
      <c r="D348" t="s">
        <v>27</v>
      </c>
      <c r="E348" t="s">
        <v>30</v>
      </c>
      <c r="F348" t="s">
        <v>21</v>
      </c>
      <c r="G348" t="s">
        <v>25</v>
      </c>
      <c r="H348">
        <v>0.15840385728985201</v>
      </c>
      <c r="I348">
        <v>0.15525681363727301</v>
      </c>
      <c r="J348">
        <v>0.13534510847891101</v>
      </c>
      <c r="K348">
        <v>0.14245523017117201</v>
      </c>
      <c r="L348">
        <v>0.102719092300078</v>
      </c>
      <c r="M348">
        <v>8.0571574920566102E-2</v>
      </c>
      <c r="N348">
        <v>0.17266187050359699</v>
      </c>
      <c r="O348">
        <v>0.112023208965864</v>
      </c>
    </row>
    <row r="349" spans="1:15">
      <c r="A349">
        <v>186</v>
      </c>
      <c r="B349" t="s">
        <v>20</v>
      </c>
      <c r="C349" t="s">
        <v>21</v>
      </c>
      <c r="D349" t="s">
        <v>27</v>
      </c>
      <c r="E349" t="s">
        <v>30</v>
      </c>
      <c r="F349" t="s">
        <v>28</v>
      </c>
      <c r="G349" t="s">
        <v>25</v>
      </c>
      <c r="H349">
        <v>0.15663332017693499</v>
      </c>
      <c r="I349">
        <v>0.153470777498705</v>
      </c>
      <c r="J349">
        <v>0.13378708893498101</v>
      </c>
      <c r="K349">
        <v>0.14097891469624399</v>
      </c>
      <c r="L349">
        <v>0.101346012679467</v>
      </c>
      <c r="M349">
        <v>7.9733687493638405E-2</v>
      </c>
      <c r="N349">
        <v>0.17031342400946101</v>
      </c>
      <c r="O349">
        <v>0.110635583831377</v>
      </c>
    </row>
    <row r="350" spans="1:15">
      <c r="A350">
        <v>193</v>
      </c>
      <c r="B350" t="s">
        <v>20</v>
      </c>
      <c r="C350" t="s">
        <v>21</v>
      </c>
      <c r="D350" t="s">
        <v>27</v>
      </c>
      <c r="E350" t="s">
        <v>30</v>
      </c>
      <c r="F350" t="s">
        <v>29</v>
      </c>
      <c r="G350" t="s">
        <v>25</v>
      </c>
      <c r="H350">
        <v>2.6747070161132001E-2</v>
      </c>
      <c r="I350">
        <v>2.62605622280065E-2</v>
      </c>
      <c r="J350">
        <v>2.30682953930305E-2</v>
      </c>
      <c r="K350">
        <v>2.4247169493608101E-2</v>
      </c>
      <c r="L350">
        <v>1.7868076217727898E-2</v>
      </c>
      <c r="M350">
        <v>1.43396772610278E-2</v>
      </c>
      <c r="N350">
        <v>2.8914211133979201E-2</v>
      </c>
      <c r="O350">
        <v>1.9300955403007001E-2</v>
      </c>
    </row>
    <row r="351" spans="1:15">
      <c r="A351">
        <v>280</v>
      </c>
      <c r="B351" t="s">
        <v>20</v>
      </c>
      <c r="C351" t="s">
        <v>28</v>
      </c>
      <c r="D351" t="s">
        <v>25</v>
      </c>
      <c r="E351" t="s">
        <v>20</v>
      </c>
      <c r="F351" t="s">
        <v>28</v>
      </c>
      <c r="G351" t="s">
        <v>27</v>
      </c>
      <c r="H351">
        <v>0.17458153081244901</v>
      </c>
      <c r="I351">
        <v>0.17327646841830899</v>
      </c>
      <c r="J351">
        <v>0.146227239238369</v>
      </c>
      <c r="K351">
        <v>0.15120829425069399</v>
      </c>
      <c r="L351">
        <v>0.109721480412525</v>
      </c>
      <c r="M351">
        <v>8.3247675472700899E-2</v>
      </c>
      <c r="N351">
        <v>0.206967818128137</v>
      </c>
      <c r="O351">
        <v>0.11332014480002101</v>
      </c>
    </row>
    <row r="352" spans="1:15">
      <c r="A352">
        <v>292</v>
      </c>
      <c r="B352" t="s">
        <v>20</v>
      </c>
      <c r="C352" t="s">
        <v>28</v>
      </c>
      <c r="D352" t="s">
        <v>25</v>
      </c>
      <c r="E352" t="s">
        <v>30</v>
      </c>
      <c r="F352" t="s">
        <v>21</v>
      </c>
      <c r="G352" t="s">
        <v>27</v>
      </c>
      <c r="H352">
        <v>0.204041343688629</v>
      </c>
      <c r="I352">
        <v>0.19563517948655301</v>
      </c>
      <c r="J352">
        <v>0.17092829198972501</v>
      </c>
      <c r="K352">
        <v>0.16240536085450999</v>
      </c>
      <c r="L352">
        <v>0.135840016933823</v>
      </c>
      <c r="M352">
        <v>0.101845663702779</v>
      </c>
      <c r="N352">
        <v>0.29199881901387598</v>
      </c>
      <c r="O352">
        <v>0.12619697280979</v>
      </c>
    </row>
    <row r="353" spans="1:15">
      <c r="A353">
        <v>298</v>
      </c>
      <c r="B353" t="s">
        <v>20</v>
      </c>
      <c r="C353" t="s">
        <v>28</v>
      </c>
      <c r="D353" t="s">
        <v>25</v>
      </c>
      <c r="E353" t="s">
        <v>30</v>
      </c>
      <c r="F353" t="s">
        <v>28</v>
      </c>
      <c r="G353" t="s">
        <v>27</v>
      </c>
      <c r="H353">
        <v>0.25436409494804402</v>
      </c>
      <c r="I353">
        <v>0.23969342671972099</v>
      </c>
      <c r="J353">
        <v>0.20809880945312001</v>
      </c>
      <c r="K353">
        <v>0.197230398996976</v>
      </c>
      <c r="L353">
        <v>0.16440013903511</v>
      </c>
      <c r="M353">
        <v>0.122154731555217</v>
      </c>
      <c r="N353">
        <v>0.35813404192500697</v>
      </c>
      <c r="O353">
        <v>0.152156909049638</v>
      </c>
    </row>
    <row r="354" spans="1:15">
      <c r="A354">
        <v>334</v>
      </c>
      <c r="B354" t="s">
        <v>20</v>
      </c>
      <c r="C354" t="s">
        <v>28</v>
      </c>
      <c r="D354" t="s">
        <v>27</v>
      </c>
      <c r="E354" t="s">
        <v>20</v>
      </c>
      <c r="F354" t="s">
        <v>29</v>
      </c>
      <c r="G354" t="s">
        <v>25</v>
      </c>
      <c r="H354">
        <v>2.75851351550838E-2</v>
      </c>
      <c r="I354">
        <v>2.7446428630667302E-2</v>
      </c>
      <c r="J354">
        <v>2.32480213994136E-2</v>
      </c>
      <c r="K354">
        <v>2.4972460601236899E-2</v>
      </c>
      <c r="L354">
        <v>1.7926830528238999E-2</v>
      </c>
      <c r="M354">
        <v>1.41131246443523E-2</v>
      </c>
      <c r="N354">
        <v>3.07901787675143E-2</v>
      </c>
      <c r="O354">
        <v>1.9072692644128201E-2</v>
      </c>
    </row>
    <row r="355" spans="1:15">
      <c r="A355">
        <v>339</v>
      </c>
      <c r="B355" t="s">
        <v>20</v>
      </c>
      <c r="C355" t="s">
        <v>28</v>
      </c>
      <c r="D355" t="s">
        <v>27</v>
      </c>
      <c r="E355" t="s">
        <v>30</v>
      </c>
      <c r="F355" t="s">
        <v>21</v>
      </c>
      <c r="G355" t="s">
        <v>25</v>
      </c>
      <c r="H355">
        <v>0.18542342669304401</v>
      </c>
      <c r="I355">
        <v>0.184179936802913</v>
      </c>
      <c r="J355">
        <v>0.155848261575459</v>
      </c>
      <c r="K355">
        <v>0.165952374396553</v>
      </c>
      <c r="L355">
        <v>0.118314967271855</v>
      </c>
      <c r="M355">
        <v>9.1900816773882094E-2</v>
      </c>
      <c r="N355">
        <v>0.210131894484412</v>
      </c>
      <c r="O355">
        <v>0.125661520348577</v>
      </c>
    </row>
    <row r="356" spans="1:15">
      <c r="A356">
        <v>345</v>
      </c>
      <c r="B356" t="s">
        <v>20</v>
      </c>
      <c r="C356" t="s">
        <v>28</v>
      </c>
      <c r="D356" t="s">
        <v>27</v>
      </c>
      <c r="E356" t="s">
        <v>30</v>
      </c>
      <c r="F356" t="s">
        <v>28</v>
      </c>
      <c r="G356" t="s">
        <v>25</v>
      </c>
      <c r="H356">
        <v>0.18391955035414501</v>
      </c>
      <c r="I356">
        <v>0.18216402298168299</v>
      </c>
      <c r="J356">
        <v>0.154415827600103</v>
      </c>
      <c r="K356">
        <v>0.164485297510818</v>
      </c>
      <c r="L356">
        <v>0.11732148315187201</v>
      </c>
      <c r="M356">
        <v>9.1045703810799794E-2</v>
      </c>
      <c r="N356">
        <v>0.207273802483737</v>
      </c>
      <c r="O356">
        <v>0.124826065138752</v>
      </c>
    </row>
    <row r="357" spans="1:15">
      <c r="A357">
        <v>352</v>
      </c>
      <c r="B357" t="s">
        <v>20</v>
      </c>
      <c r="C357" t="s">
        <v>28</v>
      </c>
      <c r="D357" t="s">
        <v>27</v>
      </c>
      <c r="E357" t="s">
        <v>30</v>
      </c>
      <c r="F357" t="s">
        <v>29</v>
      </c>
      <c r="G357" t="s">
        <v>25</v>
      </c>
      <c r="H357">
        <v>3.1413790747514499E-2</v>
      </c>
      <c r="I357">
        <v>3.1505443880357802E-2</v>
      </c>
      <c r="J357">
        <v>2.65843412623324E-2</v>
      </c>
      <c r="K357">
        <v>2.8789048182469201E-2</v>
      </c>
      <c r="L357">
        <v>2.0635535287307601E-2</v>
      </c>
      <c r="M357">
        <v>1.6286975288802401E-2</v>
      </c>
      <c r="N357">
        <v>3.51889965363184E-2</v>
      </c>
      <c r="O357">
        <v>2.1802249130554001E-2</v>
      </c>
    </row>
    <row r="358" spans="1:15">
      <c r="A358">
        <v>446</v>
      </c>
      <c r="B358" t="s">
        <v>20</v>
      </c>
      <c r="C358" t="s">
        <v>29</v>
      </c>
      <c r="D358" t="s">
        <v>25</v>
      </c>
      <c r="E358" t="s">
        <v>30</v>
      </c>
      <c r="F358" t="s">
        <v>21</v>
      </c>
      <c r="G358" t="s">
        <v>27</v>
      </c>
      <c r="H358">
        <v>4.1431791248460498E-2</v>
      </c>
      <c r="I358">
        <v>4.0896690550609197E-2</v>
      </c>
      <c r="J358">
        <v>3.7943391754191501E-2</v>
      </c>
      <c r="K358">
        <v>3.8968550639779199E-2</v>
      </c>
      <c r="L358">
        <v>3.3310494842661797E-2</v>
      </c>
      <c r="M358">
        <v>3.0059075685276899E-2</v>
      </c>
      <c r="N358">
        <v>4.3440066763297702E-2</v>
      </c>
      <c r="O358">
        <v>3.4509466093589403E-2</v>
      </c>
    </row>
    <row r="359" spans="1:15">
      <c r="A359">
        <v>452</v>
      </c>
      <c r="B359" t="s">
        <v>20</v>
      </c>
      <c r="C359" t="s">
        <v>29</v>
      </c>
      <c r="D359" t="s">
        <v>25</v>
      </c>
      <c r="E359" t="s">
        <v>30</v>
      </c>
      <c r="F359" t="s">
        <v>28</v>
      </c>
      <c r="G359" t="s">
        <v>27</v>
      </c>
      <c r="H359">
        <v>4.9860939361723998E-2</v>
      </c>
      <c r="I359">
        <v>4.9199845118942903E-2</v>
      </c>
      <c r="J359">
        <v>4.4768095181105999E-2</v>
      </c>
      <c r="K359">
        <v>4.6163032820735202E-2</v>
      </c>
      <c r="L359">
        <v>3.9088000734816199E-2</v>
      </c>
      <c r="M359">
        <v>3.4610316365525001E-2</v>
      </c>
      <c r="N359">
        <v>5.3278868537795898E-2</v>
      </c>
      <c r="O359">
        <v>4.0126261253343599E-2</v>
      </c>
    </row>
    <row r="360" spans="1:15">
      <c r="A360">
        <v>526</v>
      </c>
      <c r="B360" t="s">
        <v>30</v>
      </c>
      <c r="C360" t="s">
        <v>21</v>
      </c>
      <c r="D360" t="s">
        <v>25</v>
      </c>
      <c r="E360" t="s">
        <v>30</v>
      </c>
      <c r="F360" t="s">
        <v>21</v>
      </c>
      <c r="G360" t="s">
        <v>27</v>
      </c>
      <c r="H360">
        <v>0.249893049325424</v>
      </c>
      <c r="I360">
        <v>0.23651974805916201</v>
      </c>
      <c r="J360">
        <v>0.210146686352809</v>
      </c>
      <c r="K360">
        <v>0.20918592598945401</v>
      </c>
      <c r="L360">
        <v>0.18098532725140301</v>
      </c>
      <c r="M360">
        <v>0.145984401966543</v>
      </c>
      <c r="N360">
        <v>0.29646282973621102</v>
      </c>
      <c r="O360">
        <v>0.174770381478458</v>
      </c>
    </row>
    <row r="361" spans="1:15">
      <c r="A361">
        <v>532</v>
      </c>
      <c r="B361" t="s">
        <v>30</v>
      </c>
      <c r="C361" t="s">
        <v>21</v>
      </c>
      <c r="D361" t="s">
        <v>25</v>
      </c>
      <c r="E361" t="s">
        <v>30</v>
      </c>
      <c r="F361" t="s">
        <v>28</v>
      </c>
      <c r="G361" t="s">
        <v>27</v>
      </c>
      <c r="H361">
        <v>0.29903877691928299</v>
      </c>
      <c r="I361">
        <v>0.28204302430737599</v>
      </c>
      <c r="J361">
        <v>0.24700484850151</v>
      </c>
      <c r="K361">
        <v>0.245503303214852</v>
      </c>
      <c r="L361">
        <v>0.20640776200085201</v>
      </c>
      <c r="M361">
        <v>0.16294361865510401</v>
      </c>
      <c r="N361">
        <v>0.36360911270983198</v>
      </c>
      <c r="O361">
        <v>0.19857513495998599</v>
      </c>
    </row>
    <row r="362" spans="1:15">
      <c r="A362">
        <v>555</v>
      </c>
      <c r="B362" t="s">
        <v>30</v>
      </c>
      <c r="C362" t="s">
        <v>21</v>
      </c>
      <c r="D362" t="s">
        <v>27</v>
      </c>
      <c r="E362" t="s">
        <v>30</v>
      </c>
      <c r="F362" t="s">
        <v>28</v>
      </c>
      <c r="G362" t="s">
        <v>25</v>
      </c>
      <c r="H362">
        <v>0.248137045867594</v>
      </c>
      <c r="I362">
        <v>0.23516839617925001</v>
      </c>
      <c r="J362">
        <v>0.209238286331698</v>
      </c>
      <c r="K362">
        <v>0.20901582926660001</v>
      </c>
      <c r="L362">
        <v>0.18068261950928699</v>
      </c>
      <c r="M362">
        <v>0.14648978388091799</v>
      </c>
      <c r="N362">
        <v>0.29243051448846802</v>
      </c>
      <c r="O362">
        <v>0.17505290728193801</v>
      </c>
    </row>
    <row r="363" spans="1:15">
      <c r="A363">
        <v>562</v>
      </c>
      <c r="B363" t="s">
        <v>30</v>
      </c>
      <c r="C363" t="s">
        <v>21</v>
      </c>
      <c r="D363" t="s">
        <v>27</v>
      </c>
      <c r="E363" t="s">
        <v>30</v>
      </c>
      <c r="F363" t="s">
        <v>29</v>
      </c>
      <c r="G363" t="s">
        <v>25</v>
      </c>
      <c r="H363">
        <v>4.7445707715564799E-2</v>
      </c>
      <c r="I363">
        <v>4.6995114433269897E-2</v>
      </c>
      <c r="J363">
        <v>4.3591498036852701E-2</v>
      </c>
      <c r="K363">
        <v>4.4969027765853702E-2</v>
      </c>
      <c r="L363">
        <v>3.84614615851709E-2</v>
      </c>
      <c r="M363">
        <v>3.48798049988654E-2</v>
      </c>
      <c r="N363">
        <v>4.9646102103307999E-2</v>
      </c>
      <c r="O363">
        <v>3.9646873099266497E-2</v>
      </c>
    </row>
    <row r="364" spans="1:15">
      <c r="A364">
        <v>595</v>
      </c>
      <c r="B364" t="s">
        <v>30</v>
      </c>
      <c r="C364" t="s">
        <v>28</v>
      </c>
      <c r="D364" t="s">
        <v>25</v>
      </c>
      <c r="E364" t="s">
        <v>30</v>
      </c>
      <c r="F364" t="s">
        <v>28</v>
      </c>
      <c r="G364" t="s">
        <v>27</v>
      </c>
      <c r="H364">
        <v>0.29735361114626102</v>
      </c>
      <c r="I364">
        <v>0.28009320190050502</v>
      </c>
      <c r="J364">
        <v>0.24597523814036701</v>
      </c>
      <c r="K364">
        <v>0.24453108702967699</v>
      </c>
      <c r="L364">
        <v>0.206144317437609</v>
      </c>
      <c r="M364">
        <v>0.16366215070175399</v>
      </c>
      <c r="N364">
        <v>0.35866351271437003</v>
      </c>
      <c r="O364">
        <v>0.198573564214272</v>
      </c>
    </row>
    <row r="365" spans="1:15">
      <c r="A365">
        <v>613</v>
      </c>
      <c r="B365" t="s">
        <v>30</v>
      </c>
      <c r="C365" t="s">
        <v>28</v>
      </c>
      <c r="D365" t="s">
        <v>27</v>
      </c>
      <c r="E365" t="s">
        <v>30</v>
      </c>
      <c r="F365" t="s">
        <v>29</v>
      </c>
      <c r="G365" t="s">
        <v>25</v>
      </c>
      <c r="H365">
        <v>5.7094593023569798E-2</v>
      </c>
      <c r="I365">
        <v>5.6487609630029398E-2</v>
      </c>
      <c r="J365">
        <v>5.1422729772570903E-2</v>
      </c>
      <c r="K365">
        <v>5.3227703924610598E-2</v>
      </c>
      <c r="L365">
        <v>4.5439252351784302E-2</v>
      </c>
      <c r="M365">
        <v>4.0445349295997302E-2</v>
      </c>
      <c r="N365">
        <v>6.0890517544299902E-2</v>
      </c>
      <c r="O365">
        <v>4.6183076699593102E-2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whole_data</vt:lpstr>
      <vt:lpstr>Bullet in Report</vt:lpstr>
      <vt:lpstr>Windows</vt:lpstr>
      <vt:lpstr>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2026-06-13T11:28:48Z</dcterms:created>
  <dcterms:modified xsi:type="dcterms:W3CDTF">2026-06-15T09:54:49Z</dcterms:modified>
</cp:coreProperties>
</file>