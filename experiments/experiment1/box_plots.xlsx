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papers/2026snpd_tamada/data/experiment0/"/>
    </mc:Choice>
  </mc:AlternateContent>
  <xr:revisionPtr revIDLastSave="0" documentId="13_ncr:9_{DD535D76-A2D4-5440-99A1-9ACE37E987F6}" xr6:coauthVersionLast="47" xr6:coauthVersionMax="47" xr10:uidLastSave="{00000000-0000-0000-0000-000000000000}"/>
  <bookViews>
    <workbookView xWindow="940" yWindow="1160" windowWidth="27900" windowHeight="16760" activeTab="1" xr2:uid="{FCBF6477-EEDF-4F42-88D2-1868A8CC162F}"/>
  </bookViews>
  <sheets>
    <sheet name="data" sheetId="1" r:id="rId1"/>
    <sheet name="Box Pl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2" l="1"/>
  <c r="X11" i="2"/>
  <c r="X12" i="2"/>
  <c r="X13" i="2"/>
  <c r="X14" i="2"/>
  <c r="B2" i="2"/>
  <c r="B10" i="2" s="1"/>
  <c r="C2" i="2"/>
  <c r="C10" i="2" s="1"/>
  <c r="D2" i="2"/>
  <c r="D10" i="2" s="1"/>
  <c r="E2" i="2"/>
  <c r="E10" i="2" s="1"/>
  <c r="F2" i="2"/>
  <c r="F10" i="2" s="1"/>
  <c r="G2" i="2"/>
  <c r="G10" i="2" s="1"/>
  <c r="H2" i="2"/>
  <c r="H10" i="2" s="1"/>
  <c r="I2" i="2"/>
  <c r="I10" i="2" s="1"/>
  <c r="J2" i="2"/>
  <c r="J10" i="2" s="1"/>
  <c r="K2" i="2"/>
  <c r="K10" i="2" s="1"/>
  <c r="L2" i="2"/>
  <c r="L10" i="2" s="1"/>
  <c r="M2" i="2"/>
  <c r="M10" i="2" s="1"/>
  <c r="N2" i="2"/>
  <c r="N10" i="2" s="1"/>
  <c r="O2" i="2"/>
  <c r="O10" i="2" s="1"/>
  <c r="P2" i="2"/>
  <c r="P10" i="2" s="1"/>
  <c r="Q2" i="2"/>
  <c r="Q10" i="2" s="1"/>
  <c r="R2" i="2"/>
  <c r="R10" i="2" s="1"/>
  <c r="S2" i="2"/>
  <c r="S10" i="2" s="1"/>
  <c r="T2" i="2"/>
  <c r="T10" i="2" s="1"/>
  <c r="U2" i="2"/>
  <c r="U10" i="2" s="1"/>
  <c r="V2" i="2"/>
  <c r="V10" i="2" s="1"/>
  <c r="W2" i="2"/>
  <c r="W10" i="2" s="1"/>
  <c r="Y2" i="2"/>
  <c r="Y10" i="2" s="1"/>
  <c r="C3" i="2"/>
  <c r="C11" i="2" s="1"/>
  <c r="D3" i="2"/>
  <c r="D11" i="2" s="1"/>
  <c r="E3" i="2"/>
  <c r="E11" i="2" s="1"/>
  <c r="F3" i="2"/>
  <c r="F11" i="2" s="1"/>
  <c r="G3" i="2"/>
  <c r="G11" i="2" s="1"/>
  <c r="H3" i="2"/>
  <c r="H11" i="2" s="1"/>
  <c r="I3" i="2"/>
  <c r="I11" i="2" s="1"/>
  <c r="J3" i="2"/>
  <c r="J11" i="2" s="1"/>
  <c r="K3" i="2"/>
  <c r="K11" i="2" s="1"/>
  <c r="L3" i="2"/>
  <c r="L11" i="2" s="1"/>
  <c r="M3" i="2"/>
  <c r="M11" i="2" s="1"/>
  <c r="N3" i="2"/>
  <c r="N11" i="2" s="1"/>
  <c r="O3" i="2"/>
  <c r="O11" i="2" s="1"/>
  <c r="P3" i="2"/>
  <c r="P11" i="2" s="1"/>
  <c r="Q3" i="2"/>
  <c r="Q11" i="2" s="1"/>
  <c r="R3" i="2"/>
  <c r="R11" i="2" s="1"/>
  <c r="S3" i="2"/>
  <c r="S11" i="2" s="1"/>
  <c r="T3" i="2"/>
  <c r="T11" i="2" s="1"/>
  <c r="U3" i="2"/>
  <c r="U11" i="2" s="1"/>
  <c r="V3" i="2"/>
  <c r="V11" i="2" s="1"/>
  <c r="W3" i="2"/>
  <c r="W11" i="2" s="1"/>
  <c r="Y3" i="2"/>
  <c r="Y11" i="2" s="1"/>
  <c r="C4" i="2"/>
  <c r="C12" i="2" s="1"/>
  <c r="D4" i="2"/>
  <c r="D12" i="2" s="1"/>
  <c r="E4" i="2"/>
  <c r="E12" i="2" s="1"/>
  <c r="F4" i="2"/>
  <c r="F12" i="2" s="1"/>
  <c r="G4" i="2"/>
  <c r="G12" i="2" s="1"/>
  <c r="H4" i="2"/>
  <c r="H12" i="2" s="1"/>
  <c r="I4" i="2"/>
  <c r="I12" i="2" s="1"/>
  <c r="J4" i="2"/>
  <c r="J12" i="2" s="1"/>
  <c r="K4" i="2"/>
  <c r="K12" i="2" s="1"/>
  <c r="L4" i="2"/>
  <c r="L12" i="2" s="1"/>
  <c r="M4" i="2"/>
  <c r="M12" i="2" s="1"/>
  <c r="N4" i="2"/>
  <c r="N12" i="2" s="1"/>
  <c r="O4" i="2"/>
  <c r="O12" i="2" s="1"/>
  <c r="P4" i="2"/>
  <c r="P12" i="2" s="1"/>
  <c r="Q4" i="2"/>
  <c r="Q12" i="2" s="1"/>
  <c r="R4" i="2"/>
  <c r="R12" i="2" s="1"/>
  <c r="S4" i="2"/>
  <c r="S12" i="2" s="1"/>
  <c r="T4" i="2"/>
  <c r="T12" i="2" s="1"/>
  <c r="U4" i="2"/>
  <c r="U12" i="2" s="1"/>
  <c r="V4" i="2"/>
  <c r="V12" i="2" s="1"/>
  <c r="W4" i="2"/>
  <c r="W12" i="2" s="1"/>
  <c r="Y4" i="2"/>
  <c r="Y12" i="2" s="1"/>
  <c r="C5" i="2"/>
  <c r="C13" i="2" s="1"/>
  <c r="D5" i="2"/>
  <c r="D13" i="2" s="1"/>
  <c r="E5" i="2"/>
  <c r="E13" i="2" s="1"/>
  <c r="F5" i="2"/>
  <c r="F13" i="2" s="1"/>
  <c r="G5" i="2"/>
  <c r="G13" i="2" s="1"/>
  <c r="H5" i="2"/>
  <c r="H14" i="2" s="1"/>
  <c r="I5" i="2"/>
  <c r="I14" i="2" s="1"/>
  <c r="J5" i="2"/>
  <c r="J14" i="2" s="1"/>
  <c r="K5" i="2"/>
  <c r="K13" i="2" s="1"/>
  <c r="L5" i="2"/>
  <c r="L13" i="2" s="1"/>
  <c r="M5" i="2"/>
  <c r="M13" i="2" s="1"/>
  <c r="N5" i="2"/>
  <c r="N13" i="2" s="1"/>
  <c r="O5" i="2"/>
  <c r="O13" i="2" s="1"/>
  <c r="P5" i="2"/>
  <c r="P13" i="2" s="1"/>
  <c r="Q5" i="2"/>
  <c r="Q13" i="2" s="1"/>
  <c r="R5" i="2"/>
  <c r="R14" i="2" s="1"/>
  <c r="S5" i="2"/>
  <c r="S14" i="2" s="1"/>
  <c r="T5" i="2"/>
  <c r="T14" i="2" s="1"/>
  <c r="U5" i="2"/>
  <c r="U13" i="2" s="1"/>
  <c r="V5" i="2"/>
  <c r="V13" i="2" s="1"/>
  <c r="W5" i="2"/>
  <c r="W13" i="2" s="1"/>
  <c r="Y5" i="2"/>
  <c r="Y13" i="2" s="1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Y6" i="2"/>
  <c r="B6" i="2"/>
  <c r="B5" i="2"/>
  <c r="B13" i="2" s="1"/>
  <c r="B3" i="2"/>
  <c r="B11" i="2" s="1"/>
  <c r="B4" i="2"/>
  <c r="B12" i="2" s="1"/>
  <c r="Y1" i="2"/>
  <c r="Y9" i="2" s="1"/>
  <c r="V1" i="2"/>
  <c r="V9" i="2" s="1"/>
  <c r="W1" i="2"/>
  <c r="W9" i="2" s="1"/>
  <c r="X1" i="2"/>
  <c r="X9" i="2" s="1"/>
  <c r="S1" i="2"/>
  <c r="S9" i="2" s="1"/>
  <c r="T1" i="2"/>
  <c r="T9" i="2" s="1"/>
  <c r="U1" i="2"/>
  <c r="U9" i="2" s="1"/>
  <c r="P1" i="2"/>
  <c r="P9" i="2" s="1"/>
  <c r="Q1" i="2"/>
  <c r="Q9" i="2" s="1"/>
  <c r="R1" i="2"/>
  <c r="R9" i="2" s="1"/>
  <c r="C1" i="2"/>
  <c r="C9" i="2" s="1"/>
  <c r="D1" i="2"/>
  <c r="D9" i="2" s="1"/>
  <c r="E1" i="2"/>
  <c r="E9" i="2" s="1"/>
  <c r="F1" i="2"/>
  <c r="F9" i="2" s="1"/>
  <c r="G1" i="2"/>
  <c r="G9" i="2" s="1"/>
  <c r="H1" i="2"/>
  <c r="H9" i="2" s="1"/>
  <c r="I1" i="2"/>
  <c r="I9" i="2" s="1"/>
  <c r="J1" i="2"/>
  <c r="J9" i="2" s="1"/>
  <c r="K1" i="2"/>
  <c r="K9" i="2" s="1"/>
  <c r="L1" i="2"/>
  <c r="L9" i="2" s="1"/>
  <c r="M1" i="2"/>
  <c r="M9" i="2" s="1"/>
  <c r="N1" i="2"/>
  <c r="N9" i="2" s="1"/>
  <c r="O1" i="2"/>
  <c r="O9" i="2" s="1"/>
  <c r="B1" i="2"/>
  <c r="B9" i="2" s="1"/>
  <c r="B14" i="2" l="1"/>
  <c r="Q14" i="2"/>
  <c r="G14" i="2"/>
  <c r="T13" i="2"/>
  <c r="J13" i="2"/>
  <c r="P14" i="2"/>
  <c r="F14" i="2"/>
  <c r="S13" i="2"/>
  <c r="I13" i="2"/>
  <c r="Y14" i="2"/>
  <c r="O14" i="2"/>
  <c r="E14" i="2"/>
  <c r="R13" i="2"/>
  <c r="H13" i="2"/>
  <c r="N14" i="2"/>
  <c r="D14" i="2"/>
  <c r="W14" i="2"/>
  <c r="M14" i="2"/>
  <c r="C14" i="2"/>
  <c r="V14" i="2"/>
  <c r="L14" i="2"/>
  <c r="U14" i="2"/>
  <c r="K14" i="2"/>
</calcChain>
</file>

<file path=xl/sharedStrings.xml><?xml version="1.0" encoding="utf-8"?>
<sst xmlns="http://schemas.openxmlformats.org/spreadsheetml/2006/main" count="87" uniqueCount="48">
  <si>
    <t>### SUMMARY STATISTICS ###</t>
  </si>
  <si>
    <t>hungarian_dice</t>
  </si>
  <si>
    <t>hungarian_jaccard</t>
  </si>
  <si>
    <t>hungarian_simpson</t>
  </si>
  <si>
    <t>hungarian_euclidean</t>
  </si>
  <si>
    <t>hungarian_lcs</t>
  </si>
  <si>
    <t>hungarian_levenshtein</t>
  </si>
  <si>
    <t>hungarian_cosine</t>
  </si>
  <si>
    <t>hungarian_weighted-jaccard</t>
  </si>
  <si>
    <t>top-n-all_dice</t>
  </si>
  <si>
    <t>top-n-all_jaccard</t>
  </si>
  <si>
    <t>top-n-all_simpson</t>
  </si>
  <si>
    <t>top-n-all_euclidean</t>
  </si>
  <si>
    <t>top-n-all_lcs</t>
  </si>
  <si>
    <t>top-n-all_levenshtein</t>
  </si>
  <si>
    <t>top-n-all_cosine</t>
  </si>
  <si>
    <t>top-n-all_weighted-jaccard</t>
  </si>
  <si>
    <t>top-n-one_dice</t>
  </si>
  <si>
    <t>top-n-one_jaccard</t>
  </si>
  <si>
    <t>top-n-one_simpson</t>
  </si>
  <si>
    <t>top-n-one_euclidean</t>
  </si>
  <si>
    <t>top-n-one_lcs</t>
  </si>
  <si>
    <t>top-n-one_levenshtein</t>
  </si>
  <si>
    <t>top-n-one_weighted-jaccard</t>
  </si>
  <si>
    <t>count</t>
  </si>
  <si>
    <t>mean</t>
  </si>
  <si>
    <t>std</t>
  </si>
  <si>
    <t>min</t>
  </si>
  <si>
    <t>max</t>
  </si>
  <si>
    <t>### RAW DATA FOR BOX PLOT ###</t>
  </si>
  <si>
    <t>top-n-one_cosine</t>
  </si>
  <si>
    <t>max</t>
    <phoneticPr fontId="18"/>
  </si>
  <si>
    <t>median</t>
    <phoneticPr fontId="18"/>
  </si>
  <si>
    <t>min</t>
    <phoneticPr fontId="18"/>
  </si>
  <si>
    <t>グラフ用データ</t>
    <phoneticPr fontId="18"/>
  </si>
  <si>
    <t>max-75%</t>
    <phoneticPr fontId="18"/>
  </si>
  <si>
    <t>75%-median</t>
    <phoneticPr fontId="18"/>
  </si>
  <si>
    <t>median-25%</t>
    <phoneticPr fontId="18"/>
  </si>
  <si>
    <t>25%-min</t>
    <phoneticPr fontId="18"/>
  </si>
  <si>
    <t>25%</t>
    <phoneticPr fontId="18"/>
  </si>
  <si>
    <t>Dice</t>
    <phoneticPr fontId="18"/>
  </si>
  <si>
    <t>Jaccard</t>
    <phoneticPr fontId="18"/>
  </si>
  <si>
    <t>Simpson</t>
    <phoneticPr fontId="18"/>
  </si>
  <si>
    <t>Euclidean</t>
    <phoneticPr fontId="18"/>
  </si>
  <si>
    <t>LCS</t>
    <phoneticPr fontId="18"/>
  </si>
  <si>
    <t>Levenshtein</t>
    <phoneticPr fontId="18"/>
  </si>
  <si>
    <t>Cosine</t>
    <phoneticPr fontId="18"/>
  </si>
  <si>
    <t>W-Jaccard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</si>
</sst>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9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'Box Plot'!$A$13</c:f>
              <c:strCache>
                <c:ptCount val="1"/>
                <c:pt idx="0">
                  <c:v>25%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'Box Plot'!$B$14:$Y$14</c:f>
                <c:numCache>
                  <c:formatCode>General</c:formatCode>
                  <c:ptCount val="24"/>
                  <c:pt idx="0">
                    <c:v>2.3390517959060997E-2</c:v>
                  </c:pt>
                  <c:pt idx="1">
                    <c:v>2.7617777970546986E-2</c:v>
                  </c:pt>
                  <c:pt idx="2">
                    <c:v>2.9391504018369985E-2</c:v>
                  </c:pt>
                  <c:pt idx="3">
                    <c:v>5.7205907458392047E-2</c:v>
                  </c:pt>
                  <c:pt idx="4">
                    <c:v>7.9412837677361958E-2</c:v>
                  </c:pt>
                  <c:pt idx="5">
                    <c:v>0.12045816442995416</c:v>
                  </c:pt>
                  <c:pt idx="6">
                    <c:v>1.8069068792287313E-2</c:v>
                  </c:pt>
                  <c:pt idx="7">
                    <c:v>7.7641832542012512E-2</c:v>
                  </c:pt>
                  <c:pt idx="8">
                    <c:v>1.3036059008247003E-2</c:v>
                  </c:pt>
                  <c:pt idx="9">
                    <c:v>1.7212023930026077E-2</c:v>
                  </c:pt>
                  <c:pt idx="10">
                    <c:v>1.4695752009185048E-2</c:v>
                  </c:pt>
                  <c:pt idx="11">
                    <c:v>5.3900024372988908E-2</c:v>
                  </c:pt>
                  <c:pt idx="12">
                    <c:v>8.4144464761654048E-2</c:v>
                  </c:pt>
                  <c:pt idx="13">
                    <c:v>0.12168589707957922</c:v>
                  </c:pt>
                  <c:pt idx="14">
                    <c:v>1.0179965413224967E-2</c:v>
                  </c:pt>
                  <c:pt idx="15">
                    <c:v>7.7476230641264743E-2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  <c:pt idx="2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'Box Plot'!$B$8:$Y$8</c:f>
              <c:strCache>
                <c:ptCount val="24"/>
                <c:pt idx="0">
                  <c:v>Dice</c:v>
                </c:pt>
                <c:pt idx="1">
                  <c:v>Jaccard</c:v>
                </c:pt>
                <c:pt idx="2">
                  <c:v>Simpson</c:v>
                </c:pt>
                <c:pt idx="3">
                  <c:v>Euclidean</c:v>
                </c:pt>
                <c:pt idx="4">
                  <c:v>LCS</c:v>
                </c:pt>
                <c:pt idx="5">
                  <c:v>Levenshtein</c:v>
                </c:pt>
                <c:pt idx="6">
                  <c:v>Cosine</c:v>
                </c:pt>
                <c:pt idx="7">
                  <c:v>W-Jaccard</c:v>
                </c:pt>
                <c:pt idx="8">
                  <c:v>Dice</c:v>
                </c:pt>
                <c:pt idx="9">
                  <c:v>Jaccard</c:v>
                </c:pt>
                <c:pt idx="10">
                  <c:v>Simpson</c:v>
                </c:pt>
                <c:pt idx="11">
                  <c:v>Euclidean</c:v>
                </c:pt>
                <c:pt idx="12">
                  <c:v>LCS</c:v>
                </c:pt>
                <c:pt idx="13">
                  <c:v>Levenshtein</c:v>
                </c:pt>
                <c:pt idx="14">
                  <c:v>Cosine</c:v>
                </c:pt>
                <c:pt idx="15">
                  <c:v>W-Jaccard</c:v>
                </c:pt>
                <c:pt idx="16">
                  <c:v>Dice</c:v>
                </c:pt>
                <c:pt idx="17">
                  <c:v>Jaccard</c:v>
                </c:pt>
                <c:pt idx="18">
                  <c:v>Simpson</c:v>
                </c:pt>
                <c:pt idx="19">
                  <c:v>Euclidean</c:v>
                </c:pt>
                <c:pt idx="20">
                  <c:v>LCS</c:v>
                </c:pt>
                <c:pt idx="21">
                  <c:v>Levenshtein</c:v>
                </c:pt>
                <c:pt idx="22">
                  <c:v>Cosine</c:v>
                </c:pt>
                <c:pt idx="23">
                  <c:v>W-Jaccard</c:v>
                </c:pt>
              </c:strCache>
            </c:strRef>
          </c:cat>
          <c:val>
            <c:numRef>
              <c:f>'Box Plot'!$B$13:$Y$13</c:f>
              <c:numCache>
                <c:formatCode>General</c:formatCode>
                <c:ptCount val="24"/>
                <c:pt idx="0">
                  <c:v>0.96164211216385698</c:v>
                </c:pt>
                <c:pt idx="1">
                  <c:v>0.94715166154296504</c:v>
                </c:pt>
                <c:pt idx="2">
                  <c:v>0.984615384615384</c:v>
                </c:pt>
                <c:pt idx="3">
                  <c:v>0.91580883244317801</c:v>
                </c:pt>
                <c:pt idx="4">
                  <c:v>0.908591684896628</c:v>
                </c:pt>
                <c:pt idx="5">
                  <c:v>0.89262317384685819</c:v>
                </c:pt>
                <c:pt idx="6">
                  <c:v>0.95365669626605332</c:v>
                </c:pt>
                <c:pt idx="7">
                  <c:v>0.89928850356992951</c:v>
                </c:pt>
                <c:pt idx="8">
                  <c:v>0.97684922288801002</c:v>
                </c:pt>
                <c:pt idx="9">
                  <c:v>0.96398117190188704</c:v>
                </c:pt>
                <c:pt idx="10">
                  <c:v>0.992307692307692</c:v>
                </c:pt>
                <c:pt idx="11">
                  <c:v>0.94855092225856896</c:v>
                </c:pt>
                <c:pt idx="12">
                  <c:v>0.93258966445553904</c:v>
                </c:pt>
                <c:pt idx="13">
                  <c:v>0.91276959436281224</c:v>
                </c:pt>
                <c:pt idx="14">
                  <c:v>0.97479932942728598</c:v>
                </c:pt>
                <c:pt idx="15">
                  <c:v>0.9316050256012387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6D-C44F-A805-7A760BFB8B56}"/>
            </c:ext>
          </c:extLst>
        </c:ser>
        <c:ser>
          <c:idx val="1"/>
          <c:order val="1"/>
          <c:tx>
            <c:strRef>
              <c:f>'Box Plot'!$A$12</c:f>
              <c:strCache>
                <c:ptCount val="1"/>
                <c:pt idx="0">
                  <c:v>median-25%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cat>
            <c:strRef>
              <c:f>'Box Plot'!$B$8:$Y$8</c:f>
              <c:strCache>
                <c:ptCount val="24"/>
                <c:pt idx="0">
                  <c:v>Dice</c:v>
                </c:pt>
                <c:pt idx="1">
                  <c:v>Jaccard</c:v>
                </c:pt>
                <c:pt idx="2">
                  <c:v>Simpson</c:v>
                </c:pt>
                <c:pt idx="3">
                  <c:v>Euclidean</c:v>
                </c:pt>
                <c:pt idx="4">
                  <c:v>LCS</c:v>
                </c:pt>
                <c:pt idx="5">
                  <c:v>Levenshtein</c:v>
                </c:pt>
                <c:pt idx="6">
                  <c:v>Cosine</c:v>
                </c:pt>
                <c:pt idx="7">
                  <c:v>W-Jaccard</c:v>
                </c:pt>
                <c:pt idx="8">
                  <c:v>Dice</c:v>
                </c:pt>
                <c:pt idx="9">
                  <c:v>Jaccard</c:v>
                </c:pt>
                <c:pt idx="10">
                  <c:v>Simpson</c:v>
                </c:pt>
                <c:pt idx="11">
                  <c:v>Euclidean</c:v>
                </c:pt>
                <c:pt idx="12">
                  <c:v>LCS</c:v>
                </c:pt>
                <c:pt idx="13">
                  <c:v>Levenshtein</c:v>
                </c:pt>
                <c:pt idx="14">
                  <c:v>Cosine</c:v>
                </c:pt>
                <c:pt idx="15">
                  <c:v>W-Jaccard</c:v>
                </c:pt>
                <c:pt idx="16">
                  <c:v>Dice</c:v>
                </c:pt>
                <c:pt idx="17">
                  <c:v>Jaccard</c:v>
                </c:pt>
                <c:pt idx="18">
                  <c:v>Simpson</c:v>
                </c:pt>
                <c:pt idx="19">
                  <c:v>Euclidean</c:v>
                </c:pt>
                <c:pt idx="20">
                  <c:v>LCS</c:v>
                </c:pt>
                <c:pt idx="21">
                  <c:v>Levenshtein</c:v>
                </c:pt>
                <c:pt idx="22">
                  <c:v>Cosine</c:v>
                </c:pt>
                <c:pt idx="23">
                  <c:v>W-Jaccard</c:v>
                </c:pt>
              </c:strCache>
            </c:strRef>
          </c:cat>
          <c:val>
            <c:numRef>
              <c:f>'Box Plot'!$B$12:$Y$12</c:f>
              <c:numCache>
                <c:formatCode>General</c:formatCode>
                <c:ptCount val="24"/>
                <c:pt idx="0">
                  <c:v>2.7086919447830038E-2</c:v>
                </c:pt>
                <c:pt idx="1">
                  <c:v>3.9778153144202411E-2</c:v>
                </c:pt>
                <c:pt idx="2">
                  <c:v>1.5384615384615996E-2</c:v>
                </c:pt>
                <c:pt idx="3">
                  <c:v>6.7675854784864042E-2</c:v>
                </c:pt>
                <c:pt idx="4">
                  <c:v>7.3814820110194024E-2</c:v>
                </c:pt>
                <c:pt idx="5">
                  <c:v>8.8474101528726812E-2</c:v>
                </c:pt>
                <c:pt idx="6">
                  <c:v>3.4648689053309645E-2</c:v>
                </c:pt>
                <c:pt idx="7">
                  <c:v>8.3816939525057532E-2</c:v>
                </c:pt>
                <c:pt idx="8">
                  <c:v>1.7579060664084545E-2</c:v>
                </c:pt>
                <c:pt idx="9">
                  <c:v>2.9009429660212027E-2</c:v>
                </c:pt>
                <c:pt idx="10">
                  <c:v>7.692307692307998E-3</c:v>
                </c:pt>
                <c:pt idx="11">
                  <c:v>4.4464216761675446E-2</c:v>
                </c:pt>
                <c:pt idx="12">
                  <c:v>5.7698335348755458E-2</c:v>
                </c:pt>
                <c:pt idx="13">
                  <c:v>7.4620987722870735E-2</c:v>
                </c:pt>
                <c:pt idx="14">
                  <c:v>2.0535003470508517E-2</c:v>
                </c:pt>
                <c:pt idx="15">
                  <c:v>5.9308556616286756E-2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6D-C44F-A805-7A760BFB8B56}"/>
            </c:ext>
          </c:extLst>
        </c:ser>
        <c:ser>
          <c:idx val="0"/>
          <c:order val="2"/>
          <c:tx>
            <c:strRef>
              <c:f>'Box Plot'!$A$11</c:f>
              <c:strCache>
                <c:ptCount val="1"/>
                <c:pt idx="0">
                  <c:v>75%-median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'Box Plot'!$B$8:$Y$8</c:f>
              <c:strCache>
                <c:ptCount val="24"/>
                <c:pt idx="0">
                  <c:v>Dice</c:v>
                </c:pt>
                <c:pt idx="1">
                  <c:v>Jaccard</c:v>
                </c:pt>
                <c:pt idx="2">
                  <c:v>Simpson</c:v>
                </c:pt>
                <c:pt idx="3">
                  <c:v>Euclidean</c:v>
                </c:pt>
                <c:pt idx="4">
                  <c:v>LCS</c:v>
                </c:pt>
                <c:pt idx="5">
                  <c:v>Levenshtein</c:v>
                </c:pt>
                <c:pt idx="6">
                  <c:v>Cosine</c:v>
                </c:pt>
                <c:pt idx="7">
                  <c:v>W-Jaccard</c:v>
                </c:pt>
                <c:pt idx="8">
                  <c:v>Dice</c:v>
                </c:pt>
                <c:pt idx="9">
                  <c:v>Jaccard</c:v>
                </c:pt>
                <c:pt idx="10">
                  <c:v>Simpson</c:v>
                </c:pt>
                <c:pt idx="11">
                  <c:v>Euclidean</c:v>
                </c:pt>
                <c:pt idx="12">
                  <c:v>LCS</c:v>
                </c:pt>
                <c:pt idx="13">
                  <c:v>Levenshtein</c:v>
                </c:pt>
                <c:pt idx="14">
                  <c:v>Cosine</c:v>
                </c:pt>
                <c:pt idx="15">
                  <c:v>W-Jaccard</c:v>
                </c:pt>
                <c:pt idx="16">
                  <c:v>Dice</c:v>
                </c:pt>
                <c:pt idx="17">
                  <c:v>Jaccard</c:v>
                </c:pt>
                <c:pt idx="18">
                  <c:v>Simpson</c:v>
                </c:pt>
                <c:pt idx="19">
                  <c:v>Euclidean</c:v>
                </c:pt>
                <c:pt idx="20">
                  <c:v>LCS</c:v>
                </c:pt>
                <c:pt idx="21">
                  <c:v>Levenshtein</c:v>
                </c:pt>
                <c:pt idx="22">
                  <c:v>Cosine</c:v>
                </c:pt>
                <c:pt idx="23">
                  <c:v>W-Jaccard</c:v>
                </c:pt>
              </c:strCache>
            </c:strRef>
          </c:cat>
          <c:val>
            <c:numRef>
              <c:f>'Box Plot'!$B$11:$Y$11</c:f>
              <c:numCache>
                <c:formatCode>General</c:formatCode>
                <c:ptCount val="24"/>
                <c:pt idx="0">
                  <c:v>1.1270968388312985E-2</c:v>
                </c:pt>
                <c:pt idx="1">
                  <c:v>1.307018531283255E-2</c:v>
                </c:pt>
                <c:pt idx="2">
                  <c:v>0</c:v>
                </c:pt>
                <c:pt idx="3">
                  <c:v>1.6515312771957946E-2</c:v>
                </c:pt>
                <c:pt idx="4">
                  <c:v>1.7537691421749213E-2</c:v>
                </c:pt>
                <c:pt idx="5">
                  <c:v>1.8791117481557484E-2</c:v>
                </c:pt>
                <c:pt idx="6">
                  <c:v>1.1694614680637039E-2</c:v>
                </c:pt>
                <c:pt idx="7">
                  <c:v>1.6894556905012958E-2</c:v>
                </c:pt>
                <c:pt idx="8">
                  <c:v>5.5717164479054393E-3</c:v>
                </c:pt>
                <c:pt idx="9">
                  <c:v>7.0093984379009378E-3</c:v>
                </c:pt>
                <c:pt idx="10">
                  <c:v>0</c:v>
                </c:pt>
                <c:pt idx="11">
                  <c:v>6.9848609797555916E-3</c:v>
                </c:pt>
                <c:pt idx="12">
                  <c:v>9.6561966242767472E-3</c:v>
                </c:pt>
                <c:pt idx="13">
                  <c:v>1.2497810771459505E-2</c:v>
                </c:pt>
                <c:pt idx="14">
                  <c:v>4.6656671022055063E-3</c:v>
                </c:pt>
                <c:pt idx="15">
                  <c:v>9.0864177824745429E-3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D-C44F-A805-7A760BFB8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1550655"/>
        <c:axId val="361551999"/>
      </c:barChart>
      <c:catAx>
        <c:axId val="36155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361551999"/>
        <c:crosses val="autoZero"/>
        <c:auto val="1"/>
        <c:lblAlgn val="ctr"/>
        <c:lblOffset val="100"/>
        <c:noMultiLvlLbl val="0"/>
      </c:catAx>
      <c:valAx>
        <c:axId val="36155199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36155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844550</xdr:colOff>
      <xdr:row>16</xdr:row>
      <xdr:rowOff>146050</xdr:rowOff>
    </xdr:from>
    <xdr:to>
      <xdr:col>8</xdr:col>
      <xdr:colOff>615950</xdr:colOff>
      <xdr:row>28</xdr:row>
      <xdr:rowOff>184150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C83AC90-5082-7CF2-C150-ABADD778D9A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0.11558</cdr:x>
      <cdr:y>0.00546</cdr:y>
    </cdr:from>
    <cdr:to>
      <cdr:x>0.92328</cdr:x>
      <cdr:y>0.80546</cdr:y>
    </cdr:to>
    <cdr:grpSp>
      <cdr:nvGrpSpPr>
        <cdr:cNvPr id="12" name="グループ化 11">
          <a:extLst xmlns:a="http://schemas.openxmlformats.org/drawingml/2006/main">
            <a:ext uri="{FF2B5EF4-FFF2-40B4-BE49-F238E27FC236}">
              <a16:creationId xmlns:a16="http://schemas.microsoft.com/office/drawing/2014/main" id="{09B893E8-A271-B5B2-794C-9AD4ACC12F06}"/>
            </a:ext>
          </a:extLst>
        </cdr:cNvPr>
        <cdr:cNvGrpSpPr/>
      </cdr:nvGrpSpPr>
      <cdr:grpSpPr>
        <a:xfrm xmlns:a="http://schemas.openxmlformats.org/drawingml/2006/main">
          <a:off x="634093" y="16838"/>
          <a:ext cx="4431392" cy="2468880"/>
          <a:chOff x="634093" y="16838"/>
          <a:chExt cx="4431392" cy="2468880"/>
        </a:xfrm>
      </cdr:grpSpPr>
      <cdr:cxnSp macro="">
        <cdr:nvCxnSpPr>
          <cdr:cNvPr id="3" name="直線コネクタ 2">
            <a:extLst xmlns:a="http://schemas.openxmlformats.org/drawingml/2006/main">
              <a:ext uri="{FF2B5EF4-FFF2-40B4-BE49-F238E27FC236}">
                <a16:creationId xmlns:a16="http://schemas.microsoft.com/office/drawing/2014/main" id="{BBB534CC-8016-6BD8-BEAF-40F234A1D5C4}"/>
              </a:ext>
            </a:extLst>
          </cdr:cNvPr>
          <cdr:cNvCxnSpPr/>
        </cdr:nvCxnSpPr>
        <cdr:spPr>
          <a:xfrm xmlns:a="http://schemas.openxmlformats.org/drawingml/2006/main">
            <a:off x="2001883" y="16838"/>
            <a:ext cx="0" cy="2468880"/>
          </a:xfrm>
          <a:prstGeom xmlns:a="http://schemas.openxmlformats.org/drawingml/2006/main" prst="line">
            <a:avLst/>
          </a:prstGeom>
          <a:ln xmlns:a="http://schemas.openxmlformats.org/drawingml/2006/main" w="12700">
            <a:solidFill>
              <a:schemeClr val="accent5">
                <a:lumMod val="75000"/>
              </a:schemeClr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直線コネクタ 5">
            <a:extLst xmlns:a="http://schemas.openxmlformats.org/drawingml/2006/main">
              <a:ext uri="{FF2B5EF4-FFF2-40B4-BE49-F238E27FC236}">
                <a16:creationId xmlns:a16="http://schemas.microsoft.com/office/drawing/2014/main" id="{D1FB1E05-1426-D641-EDE8-C73877715E79}"/>
              </a:ext>
            </a:extLst>
          </cdr:cNvPr>
          <cdr:cNvCxnSpPr/>
        </cdr:nvCxnSpPr>
        <cdr:spPr>
          <a:xfrm xmlns:a="http://schemas.openxmlformats.org/drawingml/2006/main">
            <a:off x="3673930" y="16838"/>
            <a:ext cx="0" cy="2468880"/>
          </a:xfrm>
          <a:prstGeom xmlns:a="http://schemas.openxmlformats.org/drawingml/2006/main" prst="line">
            <a:avLst/>
          </a:prstGeom>
          <a:ln xmlns:a="http://schemas.openxmlformats.org/drawingml/2006/main" w="12700">
            <a:solidFill>
              <a:schemeClr val="accent5">
                <a:lumMod val="75000"/>
              </a:schemeClr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9" name="テキスト ボックス 8">
            <a:extLst xmlns:a="http://schemas.openxmlformats.org/drawingml/2006/main">
              <a:ext uri="{FF2B5EF4-FFF2-40B4-BE49-F238E27FC236}">
                <a16:creationId xmlns:a16="http://schemas.microsoft.com/office/drawing/2014/main" id="{F0A2AC15-CB01-C5D5-8B14-07CD19A46A78}"/>
              </a:ext>
            </a:extLst>
          </cdr:cNvPr>
          <cdr:cNvSpPr txBox="1"/>
        </cdr:nvSpPr>
        <cdr:spPr>
          <a:xfrm xmlns:a="http://schemas.openxmlformats.org/drawingml/2006/main">
            <a:off x="634093" y="2159908"/>
            <a:ext cx="914400" cy="26307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pPr algn="ctr"/>
            <a:r>
              <a:rPr lang="en-US" altLang="ja-JP" sz="10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Hungarian</a:t>
            </a:r>
            <a:endParaRPr lang="ja-JP" altLang="en-US" sz="1000" kern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sp macro="" textlink="">
        <cdr:nvSpPr>
          <cdr:cNvPr id="10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1A402892-A2AC-ADFF-257E-36DEAB6D881B}"/>
              </a:ext>
            </a:extLst>
          </cdr:cNvPr>
          <cdr:cNvSpPr txBox="1"/>
        </cdr:nvSpPr>
        <cdr:spPr>
          <a:xfrm xmlns:a="http://schemas.openxmlformats.org/drawingml/2006/main">
            <a:off x="2373085" y="2159908"/>
            <a:ext cx="914400" cy="26307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altLang="ja-JP" sz="10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Top </a:t>
            </a:r>
            <a:r>
              <a:rPr lang="en-US" altLang="ja-JP" sz="1000" i="1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  <a:r>
              <a:rPr lang="en-US" altLang="ja-JP" sz="10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 (</a:t>
            </a:r>
            <a:r>
              <a:rPr lang="en-US" altLang="ja-JP" sz="1000" i="1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  <a:r>
              <a:rPr lang="en-US" altLang="ja-JP" sz="10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=all)</a:t>
            </a:r>
            <a:endParaRPr lang="ja-JP" altLang="en-US" sz="1000" kern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  <cdr:sp macro="" textlink="">
        <cdr:nvSpPr>
          <cdr:cNvPr id="11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3C0759D4-9736-EF19-9C56-CFE35D578152}"/>
              </a:ext>
            </a:extLst>
          </cdr:cNvPr>
          <cdr:cNvSpPr txBox="1"/>
        </cdr:nvSpPr>
        <cdr:spPr>
          <a:xfrm xmlns:a="http://schemas.openxmlformats.org/drawingml/2006/main">
            <a:off x="4151085" y="2159908"/>
            <a:ext cx="914400" cy="26307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altLang="ja-JP" sz="10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Top </a:t>
            </a:r>
            <a:r>
              <a:rPr lang="en-US" altLang="ja-JP" sz="1000" i="1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  <a:r>
              <a:rPr lang="en-US" altLang="ja-JP" sz="10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 (</a:t>
            </a:r>
            <a:r>
              <a:rPr lang="en-US" altLang="ja-JP" sz="1000" i="1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  <a:r>
              <a:rPr lang="en-US" altLang="ja-JP" sz="1000" kern="1200">
                <a:latin typeface="Times New Roman" panose="02020603050405020304" pitchFamily="18" charset="0"/>
                <a:cs typeface="Times New Roman" panose="02020603050405020304" pitchFamily="18" charset="0"/>
              </a:rPr>
              <a:t>=1)</a:t>
            </a:r>
            <a:endParaRPr lang="ja-JP" altLang="en-US" sz="1000" kern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dr:txBody>
      </cdr:sp>
    </cdr:grp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A74C-5F32-6040-A8FA-C8D6BEB34577}">
  <dimension ref="A1:X50"/>
  <sheetViews>
    <sheetView topLeftCell="K1" workbookViewId="0">
      <selection activeCell="X5" sqref="X5"/>
    </sheetView>
  </sheetViews>
  <sheetFormatPr baseColWidth="10" defaultRowHeight="20"/>
  <sheetData>
    <row r="1" spans="1:24">
      <c r="A1" t="s">
        <v>0</v>
      </c>
    </row>
    <row r="2" spans="1:2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>
      <c r="A3" t="s">
        <v>24</v>
      </c>
      <c r="B3">
        <v>36</v>
      </c>
      <c r="C3">
        <v>36</v>
      </c>
      <c r="D3">
        <v>36</v>
      </c>
      <c r="E3">
        <v>36</v>
      </c>
      <c r="F3">
        <v>36</v>
      </c>
      <c r="G3">
        <v>36</v>
      </c>
      <c r="H3">
        <v>36</v>
      </c>
      <c r="I3">
        <v>36</v>
      </c>
      <c r="J3">
        <v>36</v>
      </c>
      <c r="K3">
        <v>36</v>
      </c>
      <c r="L3">
        <v>36</v>
      </c>
      <c r="M3">
        <v>36</v>
      </c>
      <c r="N3">
        <v>36</v>
      </c>
      <c r="O3">
        <v>36</v>
      </c>
      <c r="P3">
        <v>36</v>
      </c>
      <c r="Q3">
        <v>36</v>
      </c>
      <c r="R3">
        <v>36</v>
      </c>
      <c r="S3">
        <v>36</v>
      </c>
      <c r="T3">
        <v>36</v>
      </c>
      <c r="U3">
        <v>36</v>
      </c>
      <c r="V3">
        <v>36</v>
      </c>
      <c r="W3">
        <v>36</v>
      </c>
      <c r="X3">
        <v>36</v>
      </c>
    </row>
    <row r="4" spans="1:24">
      <c r="A4" t="s">
        <v>25</v>
      </c>
      <c r="B4">
        <v>0.97893960050599904</v>
      </c>
      <c r="C4">
        <v>0.97344315522719005</v>
      </c>
      <c r="D4">
        <v>0.98784921546115501</v>
      </c>
      <c r="E4">
        <v>0.95764800125628402</v>
      </c>
      <c r="F4">
        <v>0.95083208833521005</v>
      </c>
      <c r="G4">
        <v>0.93818776150899297</v>
      </c>
      <c r="H4">
        <v>0.97781326923383605</v>
      </c>
      <c r="I4">
        <v>0.949756530917645</v>
      </c>
      <c r="J4">
        <v>0.98818218246020695</v>
      </c>
      <c r="K4">
        <v>0.98357602386356302</v>
      </c>
      <c r="L4">
        <v>0.993924607730577</v>
      </c>
      <c r="M4">
        <v>0.97289166889004597</v>
      </c>
      <c r="N4">
        <v>0.96083377486726795</v>
      </c>
      <c r="O4">
        <v>0.94660174569977695</v>
      </c>
      <c r="P4">
        <v>0.98902582765344205</v>
      </c>
      <c r="Q4">
        <v>0.96239458974796299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>
      <c r="A5" t="s">
        <v>26</v>
      </c>
      <c r="B5">
        <v>2.2986334415114201E-2</v>
      </c>
      <c r="C5">
        <v>2.8582608814580201E-2</v>
      </c>
      <c r="D5">
        <v>1.5909032491126199E-2</v>
      </c>
      <c r="E5">
        <v>4.7979698082520297E-2</v>
      </c>
      <c r="F5">
        <v>5.7903056990061597E-2</v>
      </c>
      <c r="G5">
        <v>7.6421567052976494E-2</v>
      </c>
      <c r="H5">
        <v>2.3325697662998301E-2</v>
      </c>
      <c r="I5">
        <v>5.8765883147614398E-2</v>
      </c>
      <c r="J5">
        <v>1.34600964092037E-2</v>
      </c>
      <c r="K5">
        <v>1.84040049716656E-2</v>
      </c>
      <c r="L5">
        <v>7.95451624556303E-3</v>
      </c>
      <c r="M5">
        <v>3.4320685014372097E-2</v>
      </c>
      <c r="N5">
        <v>5.0356947552289102E-2</v>
      </c>
      <c r="O5">
        <v>6.9880097738689306E-2</v>
      </c>
      <c r="P5">
        <v>1.26400413007092E-2</v>
      </c>
      <c r="Q5">
        <v>4.8114794467391302E-2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t="s">
        <v>27</v>
      </c>
      <c r="B6">
        <v>0.93825159420479598</v>
      </c>
      <c r="C6">
        <v>0.91953388357241805</v>
      </c>
      <c r="D6">
        <v>0.95522388059701402</v>
      </c>
      <c r="E6">
        <v>0.85860292498478596</v>
      </c>
      <c r="F6">
        <v>0.82917884721926605</v>
      </c>
      <c r="G6">
        <v>0.77216500941690402</v>
      </c>
      <c r="H6">
        <v>0.935587627473766</v>
      </c>
      <c r="I6">
        <v>0.821646671027917</v>
      </c>
      <c r="J6">
        <v>0.96381316387976301</v>
      </c>
      <c r="K6">
        <v>0.94676914797186096</v>
      </c>
      <c r="L6">
        <v>0.97761194029850695</v>
      </c>
      <c r="M6">
        <v>0.89465089788558005</v>
      </c>
      <c r="N6">
        <v>0.84844519969388499</v>
      </c>
      <c r="O6">
        <v>0.79108369728323302</v>
      </c>
      <c r="P6">
        <v>0.96461936401406101</v>
      </c>
      <c r="Q6">
        <v>0.85412879495997396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</row>
    <row r="7" spans="1:24">
      <c r="A7" s="1">
        <v>0.25</v>
      </c>
      <c r="B7">
        <v>0.96164211216385698</v>
      </c>
      <c r="C7">
        <v>0.94715166154296504</v>
      </c>
      <c r="D7">
        <v>0.984615384615384</v>
      </c>
      <c r="E7">
        <v>0.91580883244317801</v>
      </c>
      <c r="F7">
        <v>0.908591684896628</v>
      </c>
      <c r="G7">
        <v>0.89262317384685896</v>
      </c>
      <c r="H7">
        <v>0.95365669626605298</v>
      </c>
      <c r="I7">
        <v>0.89928850356992895</v>
      </c>
      <c r="J7">
        <v>0.97684922288801002</v>
      </c>
      <c r="K7">
        <v>0.96398117190188704</v>
      </c>
      <c r="L7">
        <v>0.992307692307692</v>
      </c>
      <c r="M7">
        <v>0.94855092225856896</v>
      </c>
      <c r="N7">
        <v>0.93258966445553904</v>
      </c>
      <c r="O7">
        <v>0.91276959436281202</v>
      </c>
      <c r="P7">
        <v>0.97479932942728598</v>
      </c>
      <c r="Q7">
        <v>0.93160502560123903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</row>
    <row r="8" spans="1:24">
      <c r="A8" s="1">
        <v>0.5</v>
      </c>
      <c r="B8">
        <v>0.98872903161168701</v>
      </c>
      <c r="C8">
        <v>0.98692981468716701</v>
      </c>
      <c r="D8">
        <v>1</v>
      </c>
      <c r="E8">
        <v>0.98348468722804205</v>
      </c>
      <c r="F8">
        <v>0.98240650500682203</v>
      </c>
      <c r="G8">
        <v>0.981097275375585</v>
      </c>
      <c r="H8">
        <v>0.98830538531936296</v>
      </c>
      <c r="I8">
        <v>0.98310544309498704</v>
      </c>
      <c r="J8">
        <v>0.994428283552095</v>
      </c>
      <c r="K8">
        <v>0.99299060156209895</v>
      </c>
      <c r="L8">
        <v>1</v>
      </c>
      <c r="M8">
        <v>0.99301513902024396</v>
      </c>
      <c r="N8">
        <v>0.99028799980429405</v>
      </c>
      <c r="O8">
        <v>0.98739058208568298</v>
      </c>
      <c r="P8">
        <v>0.99533433289779505</v>
      </c>
      <c r="Q8">
        <v>0.99091358221752601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</row>
    <row r="9" spans="1:24">
      <c r="A9" s="1">
        <v>0.75</v>
      </c>
      <c r="B9">
        <v>1</v>
      </c>
      <c r="C9">
        <v>1</v>
      </c>
      <c r="D9">
        <v>1</v>
      </c>
      <c r="E9">
        <v>1</v>
      </c>
      <c r="F9">
        <v>0.99994419642857102</v>
      </c>
      <c r="G9">
        <v>0.99988839285714204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0.99994419642857102</v>
      </c>
      <c r="O9">
        <v>0.99988839285714204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</row>
    <row r="10" spans="1:24">
      <c r="A10" t="s">
        <v>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</row>
    <row r="13" spans="1:24">
      <c r="A13" t="s">
        <v>29</v>
      </c>
    </row>
    <row r="14" spans="1:24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L14" t="s">
        <v>12</v>
      </c>
      <c r="M14" t="s">
        <v>13</v>
      </c>
      <c r="N14" t="s">
        <v>14</v>
      </c>
      <c r="O14" t="s">
        <v>15</v>
      </c>
      <c r="P14" t="s">
        <v>16</v>
      </c>
      <c r="Q14" t="s">
        <v>17</v>
      </c>
      <c r="R14" t="s">
        <v>18</v>
      </c>
      <c r="S14" t="s">
        <v>19</v>
      </c>
      <c r="T14" t="s">
        <v>20</v>
      </c>
      <c r="U14" t="s">
        <v>21</v>
      </c>
      <c r="V14" t="s">
        <v>22</v>
      </c>
      <c r="W14" t="s">
        <v>30</v>
      </c>
      <c r="X14" t="s">
        <v>23</v>
      </c>
    </row>
    <row r="15" spans="1:24">
      <c r="A15">
        <v>0.95419530154740195</v>
      </c>
      <c r="B15">
        <v>0.94343165126747197</v>
      </c>
      <c r="C15">
        <v>0.97014925373134298</v>
      </c>
      <c r="D15">
        <v>0.93671492895208397</v>
      </c>
      <c r="E15">
        <v>0.930821924588492</v>
      </c>
      <c r="F15">
        <v>0.914064633445</v>
      </c>
      <c r="G15">
        <v>0.960258826061826</v>
      </c>
      <c r="H15">
        <v>0.92090289529007296</v>
      </c>
      <c r="I15">
        <v>0.97431462869274399</v>
      </c>
      <c r="J15">
        <v>0.95577768285106202</v>
      </c>
      <c r="K15">
        <v>0.98507462686567104</v>
      </c>
      <c r="L15">
        <v>0.95610614410710903</v>
      </c>
      <c r="M15">
        <v>0.94412820729578595</v>
      </c>
      <c r="N15">
        <v>0.92633241032701497</v>
      </c>
      <c r="O15">
        <v>0.97729748481511003</v>
      </c>
      <c r="P15">
        <v>0.94052323361335199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X15">
        <v>1</v>
      </c>
    </row>
    <row r="16" spans="1:24">
      <c r="A16">
        <v>0.99356857764876605</v>
      </c>
      <c r="B16">
        <v>0.99065827190827205</v>
      </c>
      <c r="C16">
        <v>1</v>
      </c>
      <c r="D16">
        <v>0.98368370311192699</v>
      </c>
      <c r="E16">
        <v>0.998508245511319</v>
      </c>
      <c r="F16">
        <v>0.99985119047618998</v>
      </c>
      <c r="G16">
        <v>0.99200971936023197</v>
      </c>
      <c r="H16">
        <v>0.98344805427472803</v>
      </c>
      <c r="I16">
        <v>0.99812947469197399</v>
      </c>
      <c r="J16">
        <v>0.96398117190188704</v>
      </c>
      <c r="K16">
        <v>1</v>
      </c>
      <c r="L16">
        <v>0.99754537182293701</v>
      </c>
      <c r="M16">
        <v>0.99992559523809499</v>
      </c>
      <c r="N16">
        <v>0.98894832862512405</v>
      </c>
      <c r="O16">
        <v>0.99967129266617005</v>
      </c>
      <c r="P16">
        <v>0.99500039451281597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X16">
        <v>1</v>
      </c>
    </row>
    <row r="17" spans="1:24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0.99662599950428898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X17">
        <v>1</v>
      </c>
    </row>
    <row r="18" spans="1:24">
      <c r="A18">
        <v>0.97111279713667797</v>
      </c>
      <c r="B18">
        <v>0.95576836677731802</v>
      </c>
      <c r="C18">
        <v>0.984615384615384</v>
      </c>
      <c r="D18">
        <v>0.91569788600190805</v>
      </c>
      <c r="E18">
        <v>1</v>
      </c>
      <c r="F18">
        <v>0.77216500941690402</v>
      </c>
      <c r="G18">
        <v>0.96207693870825395</v>
      </c>
      <c r="H18">
        <v>0.865618624223494</v>
      </c>
      <c r="I18">
        <v>0.99072709241221502</v>
      </c>
      <c r="J18">
        <v>1</v>
      </c>
      <c r="K18">
        <v>0.97761194029850695</v>
      </c>
      <c r="L18">
        <v>0.94846816967355996</v>
      </c>
      <c r="M18">
        <v>0.98818928251377303</v>
      </c>
      <c r="N18">
        <v>0.97729955155701198</v>
      </c>
      <c r="O18">
        <v>0.97074823582262304</v>
      </c>
      <c r="P18">
        <v>0.98232320924277405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X18">
        <v>1</v>
      </c>
    </row>
    <row r="19" spans="1:24">
      <c r="A19">
        <v>0.97755737175618895</v>
      </c>
      <c r="B19">
        <v>0.97403248579719104</v>
      </c>
      <c r="C19">
        <v>0.984615384615384</v>
      </c>
      <c r="D19">
        <v>0.881405633863931</v>
      </c>
      <c r="E19">
        <v>0.98338159020608096</v>
      </c>
      <c r="F19">
        <v>0.96433158849616296</v>
      </c>
      <c r="G19">
        <v>0.97678605241282002</v>
      </c>
      <c r="H19">
        <v>0.96790983930459396</v>
      </c>
      <c r="I19">
        <v>0.97797144638175804</v>
      </c>
      <c r="J19">
        <v>0.97155969962747402</v>
      </c>
      <c r="K19">
        <v>0.992307692307692</v>
      </c>
      <c r="L19">
        <v>0.91356995384352901</v>
      </c>
      <c r="M19">
        <v>0.99858265027322402</v>
      </c>
      <c r="N19">
        <v>0.975249854731426</v>
      </c>
      <c r="O19">
        <v>0.97479932942728598</v>
      </c>
      <c r="P19">
        <v>0.98198586900425999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X19">
        <v>1</v>
      </c>
    </row>
    <row r="20" spans="1:24">
      <c r="A20">
        <v>0.99356857764876605</v>
      </c>
      <c r="B20">
        <v>0.99065827190827205</v>
      </c>
      <c r="C20">
        <v>1</v>
      </c>
      <c r="D20">
        <v>0.98348468722804205</v>
      </c>
      <c r="E20">
        <v>0.99858265027322402</v>
      </c>
      <c r="F20">
        <v>0.983178998714071</v>
      </c>
      <c r="G20">
        <v>0.99200607295657195</v>
      </c>
      <c r="H20">
        <v>0.99965738882025901</v>
      </c>
      <c r="I20">
        <v>1</v>
      </c>
      <c r="J20">
        <v>0.98606224835327005</v>
      </c>
      <c r="K20">
        <v>1</v>
      </c>
      <c r="L20">
        <v>0.99980098411611396</v>
      </c>
      <c r="M20">
        <v>1</v>
      </c>
      <c r="N20">
        <v>1</v>
      </c>
      <c r="O20">
        <v>0.99966764626251003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X20">
        <v>1</v>
      </c>
    </row>
    <row r="21" spans="1:24">
      <c r="A21">
        <v>1</v>
      </c>
      <c r="B21">
        <v>0.92703027389155501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0.97761194029850695</v>
      </c>
      <c r="L21">
        <v>1</v>
      </c>
      <c r="M21">
        <v>0.93158310520497201</v>
      </c>
      <c r="N21">
        <v>0.91131029181849299</v>
      </c>
      <c r="O21">
        <v>1</v>
      </c>
      <c r="P21">
        <v>0.98716938110197605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X21">
        <v>1</v>
      </c>
    </row>
    <row r="22" spans="1:24">
      <c r="A22">
        <v>0.94074989522272401</v>
      </c>
      <c r="B22">
        <v>0.94715166154296504</v>
      </c>
      <c r="C22">
        <v>0.95522388059701402</v>
      </c>
      <c r="D22">
        <v>0.91569788600190805</v>
      </c>
      <c r="E22">
        <v>0.86540338705279896</v>
      </c>
      <c r="F22">
        <v>0.98233633204973803</v>
      </c>
      <c r="G22">
        <v>0.942045823401641</v>
      </c>
      <c r="H22">
        <v>0.89906120129330802</v>
      </c>
      <c r="I22">
        <v>0.98888570799018505</v>
      </c>
      <c r="J22">
        <v>1</v>
      </c>
      <c r="K22">
        <v>0.992307692307692</v>
      </c>
      <c r="L22">
        <v>0.98868392210143696</v>
      </c>
      <c r="M22">
        <v>0.87468226623215795</v>
      </c>
      <c r="N22">
        <v>0.82406507590842104</v>
      </c>
      <c r="O22">
        <v>0.99100101953307895</v>
      </c>
      <c r="P22">
        <v>0.87965973921584995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X22">
        <v>1</v>
      </c>
    </row>
    <row r="23" spans="1:24">
      <c r="A23">
        <v>0.97755737175618895</v>
      </c>
      <c r="B23">
        <v>1</v>
      </c>
      <c r="C23">
        <v>1</v>
      </c>
      <c r="D23">
        <v>0.881405633863931</v>
      </c>
      <c r="E23">
        <v>0.968181313496567</v>
      </c>
      <c r="F23">
        <v>0.99776946713770498</v>
      </c>
      <c r="G23">
        <v>0.95365772326469</v>
      </c>
      <c r="H23">
        <v>0.85691153257195596</v>
      </c>
      <c r="I23">
        <v>0.98888570799018505</v>
      </c>
      <c r="J23">
        <v>0.94676914797186096</v>
      </c>
      <c r="K23">
        <v>1</v>
      </c>
      <c r="L23">
        <v>0.918242285398296</v>
      </c>
      <c r="M23">
        <v>0.99238671709481596</v>
      </c>
      <c r="N23">
        <v>0.99103005196361005</v>
      </c>
      <c r="O23">
        <v>0.97516681411621997</v>
      </c>
      <c r="P23">
        <v>0.99965738882025901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X23">
        <v>1</v>
      </c>
    </row>
    <row r="24" spans="1:24">
      <c r="A24">
        <v>1</v>
      </c>
      <c r="B24">
        <v>1</v>
      </c>
      <c r="C24">
        <v>1</v>
      </c>
      <c r="D24">
        <v>0.99980098411611396</v>
      </c>
      <c r="E24">
        <v>0.85304219719243501</v>
      </c>
      <c r="F24">
        <v>1</v>
      </c>
      <c r="G24">
        <v>0.99999635359633998</v>
      </c>
      <c r="H24">
        <v>0.98310544309498704</v>
      </c>
      <c r="I24">
        <v>1</v>
      </c>
      <c r="J24">
        <v>0.98606224835327005</v>
      </c>
      <c r="K24">
        <v>1</v>
      </c>
      <c r="L24">
        <v>0.99734635593905197</v>
      </c>
      <c r="M24">
        <v>0.93292518420572801</v>
      </c>
      <c r="N24">
        <v>0.91325602854425203</v>
      </c>
      <c r="O24">
        <v>0.99999635359633998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X24">
        <v>1</v>
      </c>
    </row>
    <row r="25" spans="1:24">
      <c r="A25">
        <v>0.93825159420479598</v>
      </c>
      <c r="B25">
        <v>0.97403248579719104</v>
      </c>
      <c r="C25">
        <v>0.95522388059701402</v>
      </c>
      <c r="D25">
        <v>1</v>
      </c>
      <c r="E25">
        <v>0.99992559523809499</v>
      </c>
      <c r="F25">
        <v>0.89318068123369998</v>
      </c>
      <c r="G25">
        <v>1</v>
      </c>
      <c r="H25">
        <v>1</v>
      </c>
      <c r="I25">
        <v>0.96519048138637398</v>
      </c>
      <c r="J25">
        <v>1</v>
      </c>
      <c r="K25">
        <v>0.97761194029850695</v>
      </c>
      <c r="L25">
        <v>1</v>
      </c>
      <c r="M25">
        <v>0.87468226623215795</v>
      </c>
      <c r="N25">
        <v>0.82401341968113595</v>
      </c>
      <c r="O25">
        <v>1</v>
      </c>
      <c r="P25">
        <v>0.88436743316232003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X25">
        <v>1</v>
      </c>
    </row>
    <row r="26" spans="1:24">
      <c r="A26">
        <v>0.96164211216385698</v>
      </c>
      <c r="B26">
        <v>0.97403248579719104</v>
      </c>
      <c r="C26">
        <v>0.984615384615384</v>
      </c>
      <c r="D26">
        <v>0.91584581459026804</v>
      </c>
      <c r="E26">
        <v>1</v>
      </c>
      <c r="F26">
        <v>0.80565207681477202</v>
      </c>
      <c r="G26">
        <v>0.98460469768215397</v>
      </c>
      <c r="H26">
        <v>0.89936427099547001</v>
      </c>
      <c r="I26">
        <v>0.97684922288801002</v>
      </c>
      <c r="J26">
        <v>0.95897234094556305</v>
      </c>
      <c r="K26">
        <v>0.992307692307692</v>
      </c>
      <c r="L26">
        <v>0.948578506453572</v>
      </c>
      <c r="M26">
        <v>0.99380406682159195</v>
      </c>
      <c r="N26">
        <v>0.99985119047618998</v>
      </c>
      <c r="O26">
        <v>0.97075132519846496</v>
      </c>
      <c r="P26">
        <v>0.98232320924277405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X26">
        <v>1</v>
      </c>
    </row>
    <row r="27" spans="1:24">
      <c r="A27">
        <v>1</v>
      </c>
      <c r="B27">
        <v>1</v>
      </c>
      <c r="C27">
        <v>1</v>
      </c>
      <c r="D27">
        <v>0.88142845655742996</v>
      </c>
      <c r="E27">
        <v>0.90758512564606098</v>
      </c>
      <c r="F27">
        <v>0.981097275375585</v>
      </c>
      <c r="G27">
        <v>0.95365361527014303</v>
      </c>
      <c r="H27">
        <v>0.85799077404669799</v>
      </c>
      <c r="I27">
        <v>1</v>
      </c>
      <c r="J27">
        <v>0.99662599950428898</v>
      </c>
      <c r="K27">
        <v>1</v>
      </c>
      <c r="L27">
        <v>0.918242285398296</v>
      </c>
      <c r="M27">
        <v>1</v>
      </c>
      <c r="N27">
        <v>1</v>
      </c>
      <c r="O27">
        <v>0.97479932942728598</v>
      </c>
      <c r="P27">
        <v>0.99965738882025901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X27">
        <v>1</v>
      </c>
    </row>
    <row r="28" spans="1:24">
      <c r="A28">
        <v>1</v>
      </c>
      <c r="B28">
        <v>1</v>
      </c>
      <c r="C28">
        <v>1</v>
      </c>
      <c r="D28">
        <v>0.99980098411611396</v>
      </c>
      <c r="E28">
        <v>0.85330763219139405</v>
      </c>
      <c r="F28">
        <v>0.96630802524848902</v>
      </c>
      <c r="G28">
        <v>0.99200607295657195</v>
      </c>
      <c r="H28">
        <v>0.99965738882025901</v>
      </c>
      <c r="I28">
        <v>1</v>
      </c>
      <c r="J28">
        <v>1</v>
      </c>
      <c r="K28">
        <v>1</v>
      </c>
      <c r="L28">
        <v>0.99980098411611396</v>
      </c>
      <c r="M28">
        <v>0.93292518420572801</v>
      </c>
      <c r="N28">
        <v>0.98583283554624201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X28">
        <v>1</v>
      </c>
    </row>
    <row r="29" spans="1:24">
      <c r="A29">
        <v>0.93825159420479598</v>
      </c>
      <c r="B29">
        <v>0.92703027389155501</v>
      </c>
      <c r="C29">
        <v>0.97014925373134298</v>
      </c>
      <c r="D29">
        <v>1</v>
      </c>
      <c r="E29">
        <v>0.98382385473359801</v>
      </c>
      <c r="F29">
        <v>0.96433158849616296</v>
      </c>
      <c r="G29">
        <v>1</v>
      </c>
      <c r="H29">
        <v>0.89906120129330802</v>
      </c>
      <c r="I29">
        <v>0.96697689910923801</v>
      </c>
      <c r="J29">
        <v>0.95577768285106202</v>
      </c>
      <c r="K29">
        <v>0.97761194029850695</v>
      </c>
      <c r="L29">
        <v>1</v>
      </c>
      <c r="M29">
        <v>0.87433418425507403</v>
      </c>
      <c r="N29">
        <v>0.99776946713770498</v>
      </c>
      <c r="O29">
        <v>1</v>
      </c>
      <c r="P29">
        <v>0.93137464863210895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X29">
        <v>1</v>
      </c>
    </row>
    <row r="30" spans="1:24">
      <c r="A30">
        <v>0.96164211216385698</v>
      </c>
      <c r="B30">
        <v>0.94715166154296504</v>
      </c>
      <c r="C30">
        <v>0.984615384615384</v>
      </c>
      <c r="D30">
        <v>0.98391650441964595</v>
      </c>
      <c r="E30">
        <v>1</v>
      </c>
      <c r="F30">
        <v>1</v>
      </c>
      <c r="G30">
        <v>0.97678605241282002</v>
      </c>
      <c r="H30">
        <v>0.85691153257195596</v>
      </c>
      <c r="I30">
        <v>0.99812947469197399</v>
      </c>
      <c r="J30">
        <v>0.96398117190188704</v>
      </c>
      <c r="K30">
        <v>0.992307692307692</v>
      </c>
      <c r="L30">
        <v>0.948578506453572</v>
      </c>
      <c r="M30">
        <v>0.99238671709481596</v>
      </c>
      <c r="N30">
        <v>1</v>
      </c>
      <c r="O30">
        <v>0.97075132519846496</v>
      </c>
      <c r="P30">
        <v>0.88285179132594405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X30">
        <v>1</v>
      </c>
    </row>
    <row r="31" spans="1:24">
      <c r="A31">
        <v>1</v>
      </c>
      <c r="B31">
        <v>0.99065827190827205</v>
      </c>
      <c r="C31">
        <v>1</v>
      </c>
      <c r="D31">
        <v>0.88123745671710796</v>
      </c>
      <c r="E31">
        <v>0.82917884721926605</v>
      </c>
      <c r="F31">
        <v>0.81784145257076502</v>
      </c>
      <c r="G31">
        <v>0.97678246210767805</v>
      </c>
      <c r="H31">
        <v>1</v>
      </c>
      <c r="I31">
        <v>1</v>
      </c>
      <c r="J31">
        <v>0.99662599950428898</v>
      </c>
      <c r="K31">
        <v>1</v>
      </c>
      <c r="L31">
        <v>0.91822714852950604</v>
      </c>
      <c r="M31">
        <v>0.93868080366189899</v>
      </c>
      <c r="N31">
        <v>0.82950099073688</v>
      </c>
      <c r="O31">
        <v>0.97479727543001204</v>
      </c>
      <c r="P31">
        <v>0.99465778333307497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X31">
        <v>1</v>
      </c>
    </row>
    <row r="32" spans="1:24">
      <c r="A32">
        <v>1</v>
      </c>
      <c r="B32">
        <v>1</v>
      </c>
      <c r="C32">
        <v>1</v>
      </c>
      <c r="D32">
        <v>0.99980098411611396</v>
      </c>
      <c r="E32">
        <v>0.96678576915020298</v>
      </c>
      <c r="F32">
        <v>0.96638128532174805</v>
      </c>
      <c r="G32">
        <v>1</v>
      </c>
      <c r="H32">
        <v>1</v>
      </c>
      <c r="I32">
        <v>0.96381316387976301</v>
      </c>
      <c r="J32">
        <v>1</v>
      </c>
      <c r="K32">
        <v>1</v>
      </c>
      <c r="L32">
        <v>1</v>
      </c>
      <c r="M32">
        <v>0.998508245511319</v>
      </c>
      <c r="N32">
        <v>0.97729955155701198</v>
      </c>
      <c r="O32">
        <v>0.99966764626251003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X32">
        <v>1</v>
      </c>
    </row>
    <row r="33" spans="1:24">
      <c r="A33">
        <v>0.97755737175618895</v>
      </c>
      <c r="B33">
        <v>0.91953388357241805</v>
      </c>
      <c r="C33">
        <v>0.95522388059701402</v>
      </c>
      <c r="D33">
        <v>1</v>
      </c>
      <c r="E33">
        <v>0.98382385473359801</v>
      </c>
      <c r="F33">
        <v>0.80562574806621701</v>
      </c>
      <c r="G33">
        <v>0.935587627473766</v>
      </c>
      <c r="H33">
        <v>0.89936427099547001</v>
      </c>
      <c r="I33">
        <v>0.98888570799018505</v>
      </c>
      <c r="J33">
        <v>0.95577768285106202</v>
      </c>
      <c r="K33">
        <v>0.97761194029850695</v>
      </c>
      <c r="L33">
        <v>1</v>
      </c>
      <c r="M33">
        <v>1</v>
      </c>
      <c r="N33">
        <v>0.82401341968113595</v>
      </c>
      <c r="O33">
        <v>1</v>
      </c>
      <c r="P33">
        <v>0.85412879495997396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X33">
        <v>1</v>
      </c>
    </row>
    <row r="34" spans="1:24">
      <c r="A34">
        <v>0.97755737175618895</v>
      </c>
      <c r="B34">
        <v>0.97403248579719104</v>
      </c>
      <c r="C34">
        <v>0.984615384615384</v>
      </c>
      <c r="D34">
        <v>0.92734862574399801</v>
      </c>
      <c r="E34">
        <v>1</v>
      </c>
      <c r="F34">
        <v>0.997918276661514</v>
      </c>
      <c r="G34">
        <v>0.97678246210767805</v>
      </c>
      <c r="H34">
        <v>0.85683088274941399</v>
      </c>
      <c r="I34">
        <v>1</v>
      </c>
      <c r="J34">
        <v>0.96597774889846399</v>
      </c>
      <c r="K34">
        <v>1</v>
      </c>
      <c r="L34">
        <v>0.95085812680193604</v>
      </c>
      <c r="M34">
        <v>0.84844519969388499</v>
      </c>
      <c r="N34">
        <v>0.997918276661514</v>
      </c>
      <c r="O34">
        <v>0.97108296196131705</v>
      </c>
      <c r="P34">
        <v>0.98198586900425999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X34">
        <v>1</v>
      </c>
    </row>
    <row r="35" spans="1:24">
      <c r="A35">
        <v>1</v>
      </c>
      <c r="B35">
        <v>1</v>
      </c>
      <c r="C35">
        <v>1</v>
      </c>
      <c r="D35">
        <v>0.98368370311192699</v>
      </c>
      <c r="E35">
        <v>0.968181313496567</v>
      </c>
      <c r="F35">
        <v>1</v>
      </c>
      <c r="G35">
        <v>0.99999635359633998</v>
      </c>
      <c r="H35">
        <v>0.98310544309498704</v>
      </c>
      <c r="I35">
        <v>0.98453579026555404</v>
      </c>
      <c r="J35">
        <v>1</v>
      </c>
      <c r="K35">
        <v>1</v>
      </c>
      <c r="L35">
        <v>0.99754537182293701</v>
      </c>
      <c r="M35">
        <v>0.98086102272797204</v>
      </c>
      <c r="N35">
        <v>1</v>
      </c>
      <c r="O35">
        <v>0.99967129266617005</v>
      </c>
      <c r="P35">
        <v>0.99965738882025901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X35">
        <v>1</v>
      </c>
    </row>
    <row r="36" spans="1:24">
      <c r="A36">
        <v>0.94414221103957896</v>
      </c>
      <c r="B36">
        <v>0.92703027389155501</v>
      </c>
      <c r="C36">
        <v>1</v>
      </c>
      <c r="D36">
        <v>1</v>
      </c>
      <c r="E36">
        <v>0.96678576915020298</v>
      </c>
      <c r="F36">
        <v>0.89116387130253905</v>
      </c>
      <c r="G36">
        <v>0.942045823401641</v>
      </c>
      <c r="H36">
        <v>1</v>
      </c>
      <c r="I36">
        <v>0.98888570799018505</v>
      </c>
      <c r="J36">
        <v>1</v>
      </c>
      <c r="K36">
        <v>0.98507462686567104</v>
      </c>
      <c r="L36">
        <v>1</v>
      </c>
      <c r="M36">
        <v>0.99380406682159195</v>
      </c>
      <c r="N36">
        <v>0.79108369728323302</v>
      </c>
      <c r="O36">
        <v>1</v>
      </c>
      <c r="P36">
        <v>0.93137464863210895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X36">
        <v>1</v>
      </c>
    </row>
    <row r="37" spans="1:24">
      <c r="A37">
        <v>0.99356857764876605</v>
      </c>
      <c r="B37">
        <v>0.94715166154296504</v>
      </c>
      <c r="C37">
        <v>1</v>
      </c>
      <c r="D37">
        <v>0.85860292498478596</v>
      </c>
      <c r="E37">
        <v>1</v>
      </c>
      <c r="F37">
        <v>0.80739102496451698</v>
      </c>
      <c r="G37">
        <v>0.95365361527014303</v>
      </c>
      <c r="H37">
        <v>0.91436626885946304</v>
      </c>
      <c r="I37">
        <v>0.99812947469197399</v>
      </c>
      <c r="J37">
        <v>0.96631430758296399</v>
      </c>
      <c r="K37">
        <v>0.992307692307692</v>
      </c>
      <c r="L37">
        <v>0.89465089788558005</v>
      </c>
      <c r="M37">
        <v>1</v>
      </c>
      <c r="N37">
        <v>0.975249854731426</v>
      </c>
      <c r="O37">
        <v>0.96461936401406101</v>
      </c>
      <c r="P37">
        <v>0.88279636885235002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X37">
        <v>1</v>
      </c>
    </row>
    <row r="38" spans="1:24">
      <c r="A38">
        <v>1</v>
      </c>
      <c r="B38">
        <v>1</v>
      </c>
      <c r="C38">
        <v>0.984615384615384</v>
      </c>
      <c r="D38">
        <v>0.96839843523879798</v>
      </c>
      <c r="E38">
        <v>0.90758512564606098</v>
      </c>
      <c r="F38">
        <v>0.997918276661514</v>
      </c>
      <c r="G38">
        <v>0.99999635359633998</v>
      </c>
      <c r="H38">
        <v>0.98344805427472803</v>
      </c>
      <c r="I38">
        <v>1</v>
      </c>
      <c r="J38">
        <v>0.99662599950428898</v>
      </c>
      <c r="K38">
        <v>1</v>
      </c>
      <c r="L38">
        <v>0.98613820548745201</v>
      </c>
      <c r="M38">
        <v>0.98225656707433595</v>
      </c>
      <c r="N38">
        <v>0.99103005196361005</v>
      </c>
      <c r="O38">
        <v>0.99065558825699696</v>
      </c>
      <c r="P38">
        <v>0.99465778333307497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X38">
        <v>1</v>
      </c>
    </row>
    <row r="39" spans="1:24">
      <c r="A39">
        <v>0.98388948557460798</v>
      </c>
      <c r="B39">
        <v>1</v>
      </c>
      <c r="C39">
        <v>1</v>
      </c>
      <c r="D39">
        <v>0.99980098411611396</v>
      </c>
      <c r="E39">
        <v>0.855537639177672</v>
      </c>
      <c r="F39">
        <v>1</v>
      </c>
      <c r="G39">
        <v>1</v>
      </c>
      <c r="H39">
        <v>1</v>
      </c>
      <c r="I39">
        <v>0.96519048138637398</v>
      </c>
      <c r="J39">
        <v>1</v>
      </c>
      <c r="K39">
        <v>1</v>
      </c>
      <c r="L39">
        <v>0.99980098411611396</v>
      </c>
      <c r="M39">
        <v>0.98086102272797204</v>
      </c>
      <c r="N39">
        <v>1</v>
      </c>
      <c r="O39">
        <v>0.99999635359633998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X39">
        <v>1</v>
      </c>
    </row>
    <row r="40" spans="1:24">
      <c r="A40">
        <v>0.963657304600541</v>
      </c>
      <c r="B40">
        <v>0.98320135746606296</v>
      </c>
      <c r="C40">
        <v>1</v>
      </c>
      <c r="D40">
        <v>0.96859438933985398</v>
      </c>
      <c r="E40">
        <v>0.99858265027322402</v>
      </c>
      <c r="F40">
        <v>0.90858838470470604</v>
      </c>
      <c r="G40">
        <v>0.94944928370539905</v>
      </c>
      <c r="H40">
        <v>0.821646671027917</v>
      </c>
      <c r="I40">
        <v>0.97684922288801002</v>
      </c>
      <c r="J40">
        <v>0.98935520361990903</v>
      </c>
      <c r="K40">
        <v>0.992307692307692</v>
      </c>
      <c r="L40">
        <v>0.98633415958850801</v>
      </c>
      <c r="M40">
        <v>1</v>
      </c>
      <c r="N40">
        <v>1</v>
      </c>
      <c r="O40">
        <v>0.99065917856213903</v>
      </c>
      <c r="P40">
        <v>0.93168181792428195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X40">
        <v>1</v>
      </c>
    </row>
    <row r="41" spans="1:24">
      <c r="A41">
        <v>1</v>
      </c>
      <c r="B41">
        <v>0.95086431113796799</v>
      </c>
      <c r="C41">
        <v>0.95522388059701402</v>
      </c>
      <c r="D41">
        <v>0.96839843523879798</v>
      </c>
      <c r="E41">
        <v>1</v>
      </c>
      <c r="F41">
        <v>0.99776946713770498</v>
      </c>
      <c r="G41">
        <v>0.99200971936023197</v>
      </c>
      <c r="H41">
        <v>0.96757249906608001</v>
      </c>
      <c r="I41">
        <v>1</v>
      </c>
      <c r="J41">
        <v>0.96398117190188704</v>
      </c>
      <c r="K41">
        <v>0.992307692307692</v>
      </c>
      <c r="L41">
        <v>0.98613820548745201</v>
      </c>
      <c r="M41">
        <v>0.87862057178525999</v>
      </c>
      <c r="N41">
        <v>0.91325602854425203</v>
      </c>
      <c r="O41">
        <v>0.99065558825699696</v>
      </c>
      <c r="P41">
        <v>0.88285179132594405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X41">
        <v>1</v>
      </c>
    </row>
    <row r="42" spans="1:24">
      <c r="A42">
        <v>1</v>
      </c>
      <c r="B42">
        <v>1</v>
      </c>
      <c r="C42">
        <v>0.984615384615384</v>
      </c>
      <c r="D42">
        <v>1</v>
      </c>
      <c r="E42">
        <v>0.90892720464681698</v>
      </c>
      <c r="F42">
        <v>1</v>
      </c>
      <c r="G42">
        <v>1</v>
      </c>
      <c r="H42">
        <v>0.99965738882025901</v>
      </c>
      <c r="I42">
        <v>1</v>
      </c>
      <c r="J42">
        <v>1</v>
      </c>
      <c r="K42">
        <v>1</v>
      </c>
      <c r="L42">
        <v>1</v>
      </c>
      <c r="M42">
        <v>0.98225656707433595</v>
      </c>
      <c r="N42">
        <v>0.82406507590842104</v>
      </c>
      <c r="O42">
        <v>1</v>
      </c>
      <c r="P42">
        <v>0.99965738882025901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X42">
        <v>1</v>
      </c>
    </row>
    <row r="43" spans="1:24">
      <c r="A43">
        <v>0.93825159420479598</v>
      </c>
      <c r="B43">
        <v>1</v>
      </c>
      <c r="C43">
        <v>1</v>
      </c>
      <c r="D43">
        <v>0.89122565607982196</v>
      </c>
      <c r="E43">
        <v>0.85330763219139405</v>
      </c>
      <c r="F43">
        <v>1</v>
      </c>
      <c r="G43">
        <v>0.94204091218400898</v>
      </c>
      <c r="H43">
        <v>1</v>
      </c>
      <c r="I43">
        <v>0.96519048138637398</v>
      </c>
      <c r="J43">
        <v>1</v>
      </c>
      <c r="K43">
        <v>1</v>
      </c>
      <c r="L43">
        <v>0.91926669305184605</v>
      </c>
      <c r="M43">
        <v>0.87433418425507403</v>
      </c>
      <c r="N43">
        <v>0.98894832862512405</v>
      </c>
      <c r="O43">
        <v>0.97074823582262304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X43">
        <v>1</v>
      </c>
    </row>
    <row r="44" spans="1:24">
      <c r="A44">
        <v>0.96164211216385698</v>
      </c>
      <c r="B44">
        <v>0.92703027389155501</v>
      </c>
      <c r="C44">
        <v>1</v>
      </c>
      <c r="D44">
        <v>0.96859438933985398</v>
      </c>
      <c r="E44">
        <v>0.98240650500682203</v>
      </c>
      <c r="F44">
        <v>0.89310960802829797</v>
      </c>
      <c r="G44">
        <v>0.95135014248577299</v>
      </c>
      <c r="H44">
        <v>0.96790983930459396</v>
      </c>
      <c r="I44">
        <v>0.97684922288801002</v>
      </c>
      <c r="J44">
        <v>0.98606224835327005</v>
      </c>
      <c r="K44">
        <v>1</v>
      </c>
      <c r="L44">
        <v>0.98633415958850801</v>
      </c>
      <c r="M44">
        <v>0.998508245511319</v>
      </c>
      <c r="N44">
        <v>0.921534587638281</v>
      </c>
      <c r="O44">
        <v>0.97479727543001204</v>
      </c>
      <c r="P44">
        <v>0.93168181792428195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X44">
        <v>1</v>
      </c>
    </row>
    <row r="45" spans="1:24">
      <c r="A45">
        <v>1</v>
      </c>
      <c r="B45">
        <v>0.94715166154296504</v>
      </c>
      <c r="C45">
        <v>0.984615384615384</v>
      </c>
      <c r="D45">
        <v>1</v>
      </c>
      <c r="E45">
        <v>0.90892720464681698</v>
      </c>
      <c r="F45">
        <v>0.80571925854134296</v>
      </c>
      <c r="G45">
        <v>0.99999635359633998</v>
      </c>
      <c r="H45">
        <v>0.96757249906608001</v>
      </c>
      <c r="I45">
        <v>1</v>
      </c>
      <c r="J45">
        <v>0.98606224835327005</v>
      </c>
      <c r="K45">
        <v>0.992307692307692</v>
      </c>
      <c r="L45">
        <v>0.99980098411611396</v>
      </c>
      <c r="M45">
        <v>1</v>
      </c>
      <c r="N45">
        <v>0.99776946713770498</v>
      </c>
      <c r="O45">
        <v>0.99999635359633998</v>
      </c>
      <c r="P45">
        <v>0.88279636885235002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X45">
        <v>1</v>
      </c>
    </row>
    <row r="46" spans="1:24">
      <c r="A46">
        <v>1</v>
      </c>
      <c r="B46">
        <v>1</v>
      </c>
      <c r="C46">
        <v>0.984615384615384</v>
      </c>
      <c r="D46">
        <v>1</v>
      </c>
      <c r="E46">
        <v>0.85304219719243501</v>
      </c>
      <c r="F46">
        <v>0.983178998714071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X46">
        <v>1</v>
      </c>
    </row>
    <row r="47" spans="1:24">
      <c r="A47">
        <v>0.93825159420479598</v>
      </c>
      <c r="B47">
        <v>1</v>
      </c>
      <c r="C47">
        <v>1</v>
      </c>
      <c r="D47">
        <v>0.91584581459026804</v>
      </c>
      <c r="E47">
        <v>0.98240650500682203</v>
      </c>
      <c r="F47">
        <v>1</v>
      </c>
      <c r="G47">
        <v>0.94204091218400898</v>
      </c>
      <c r="H47">
        <v>0.98367287760547295</v>
      </c>
      <c r="I47">
        <v>0.96519048138637398</v>
      </c>
      <c r="J47">
        <v>0.95577768285106202</v>
      </c>
      <c r="K47">
        <v>1</v>
      </c>
      <c r="L47">
        <v>0.94846816967355996</v>
      </c>
      <c r="M47">
        <v>0.93158310520497201</v>
      </c>
      <c r="N47">
        <v>0.91131029181849299</v>
      </c>
      <c r="O47">
        <v>0.98227699344635899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X47">
        <v>1</v>
      </c>
    </row>
    <row r="48" spans="1:24">
      <c r="A48">
        <v>0.96164211216385698</v>
      </c>
      <c r="B48">
        <v>0.93566324539766099</v>
      </c>
      <c r="C48">
        <v>0.95522388059701402</v>
      </c>
      <c r="D48">
        <v>0.88142845655742996</v>
      </c>
      <c r="E48">
        <v>0.92340520088826905</v>
      </c>
      <c r="F48">
        <v>0.89116387130253905</v>
      </c>
      <c r="G48">
        <v>0.95365772326469</v>
      </c>
      <c r="H48">
        <v>0.85683088274941399</v>
      </c>
      <c r="I48">
        <v>0.97684922288801002</v>
      </c>
      <c r="J48">
        <v>0.96398117190188704</v>
      </c>
      <c r="K48">
        <v>0.992307692307692</v>
      </c>
      <c r="L48">
        <v>0.91822714852950604</v>
      </c>
      <c r="M48">
        <v>0.87217821623057201</v>
      </c>
      <c r="N48">
        <v>0.82180643992674596</v>
      </c>
      <c r="O48">
        <v>0.99065917856213903</v>
      </c>
      <c r="P48">
        <v>0.93638332793694101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X48">
        <v>1</v>
      </c>
    </row>
    <row r="49" spans="1:24">
      <c r="A49">
        <v>0.99356857764876605</v>
      </c>
      <c r="B49">
        <v>0.99065827190827205</v>
      </c>
      <c r="C49">
        <v>0.984615384615384</v>
      </c>
      <c r="D49">
        <v>0.98348468722804205</v>
      </c>
      <c r="E49">
        <v>0.998508245511319</v>
      </c>
      <c r="F49">
        <v>0.80562574806621701</v>
      </c>
      <c r="G49">
        <v>1</v>
      </c>
      <c r="H49">
        <v>0.99965738882025901</v>
      </c>
      <c r="I49">
        <v>0.99812947469197399</v>
      </c>
      <c r="J49">
        <v>1</v>
      </c>
      <c r="K49">
        <v>0.992307692307692</v>
      </c>
      <c r="L49">
        <v>0.99734635593905197</v>
      </c>
      <c r="M49">
        <v>0.99858265027322402</v>
      </c>
      <c r="N49">
        <v>0.997918276661514</v>
      </c>
      <c r="O49">
        <v>0.99999635359633998</v>
      </c>
      <c r="P49">
        <v>0.99500039451281597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X49">
        <v>1</v>
      </c>
    </row>
    <row r="50" spans="1:24">
      <c r="A50">
        <v>1</v>
      </c>
      <c r="B50">
        <v>1</v>
      </c>
      <c r="C50">
        <v>1</v>
      </c>
      <c r="D50">
        <v>1</v>
      </c>
      <c r="E50">
        <v>1</v>
      </c>
      <c r="F50">
        <v>0.981097275375585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X50">
        <v>1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2BC7-761E-9544-8E3F-82BF6B2A1B39}">
  <dimension ref="A1:Y14"/>
  <sheetViews>
    <sheetView tabSelected="1" zoomScale="140" workbookViewId="0">
      <selection activeCell="I21" sqref="I21"/>
    </sheetView>
  </sheetViews>
  <sheetFormatPr baseColWidth="10" defaultRowHeight="20"/>
  <sheetData>
    <row r="1" spans="1:25">
      <c r="B1" t="str">
        <f>data!A14</f>
        <v>hungarian_dice</v>
      </c>
      <c r="C1" t="str">
        <f>data!B14</f>
        <v>hungarian_jaccard</v>
      </c>
      <c r="D1" t="str">
        <f>data!C14</f>
        <v>hungarian_simpson</v>
      </c>
      <c r="E1" t="str">
        <f>data!D14</f>
        <v>hungarian_euclidean</v>
      </c>
      <c r="F1" t="str">
        <f>data!E14</f>
        <v>hungarian_lcs</v>
      </c>
      <c r="G1" t="str">
        <f>data!F14</f>
        <v>hungarian_levenshtein</v>
      </c>
      <c r="H1" t="str">
        <f>data!G14</f>
        <v>hungarian_cosine</v>
      </c>
      <c r="I1" t="str">
        <f>data!H14</f>
        <v>hungarian_weighted-jaccard</v>
      </c>
      <c r="J1" t="str">
        <f>data!I14</f>
        <v>top-n-all_dice</v>
      </c>
      <c r="K1" t="str">
        <f>data!J14</f>
        <v>top-n-all_jaccard</v>
      </c>
      <c r="L1" t="str">
        <f>data!K14</f>
        <v>top-n-all_simpson</v>
      </c>
      <c r="M1" t="str">
        <f>data!L14</f>
        <v>top-n-all_euclidean</v>
      </c>
      <c r="N1" t="str">
        <f>data!M14</f>
        <v>top-n-all_lcs</v>
      </c>
      <c r="O1" t="str">
        <f>data!N14</f>
        <v>top-n-all_levenshtein</v>
      </c>
      <c r="P1" t="str">
        <f>data!O14</f>
        <v>top-n-all_cosine</v>
      </c>
      <c r="Q1" t="str">
        <f>data!P14</f>
        <v>top-n-all_weighted-jaccard</v>
      </c>
      <c r="R1" t="str">
        <f>data!Q14</f>
        <v>top-n-one_dice</v>
      </c>
      <c r="S1" t="str">
        <f>data!R14</f>
        <v>top-n-one_jaccard</v>
      </c>
      <c r="T1" t="str">
        <f>data!S14</f>
        <v>top-n-one_simpson</v>
      </c>
      <c r="U1" t="str">
        <f>data!T14</f>
        <v>top-n-one_euclidean</v>
      </c>
      <c r="V1" t="str">
        <f>data!U14</f>
        <v>top-n-one_lcs</v>
      </c>
      <c r="W1" t="str">
        <f>data!V14</f>
        <v>top-n-one_levenshtein</v>
      </c>
      <c r="X1" t="str">
        <f>data!W14</f>
        <v>top-n-one_cosine</v>
      </c>
      <c r="Y1" t="str">
        <f>data!X14</f>
        <v>top-n-one_weighted-jaccard</v>
      </c>
    </row>
    <row r="2" spans="1:25">
      <c r="A2" t="s">
        <v>31</v>
      </c>
      <c r="B2">
        <f>MAX(data!A15:A50)</f>
        <v>1</v>
      </c>
      <c r="C2">
        <f>MAX(data!B15:B50)</f>
        <v>1</v>
      </c>
      <c r="D2">
        <f>MAX(data!C15:C50)</f>
        <v>1</v>
      </c>
      <c r="E2">
        <f>MAX(data!D15:D50)</f>
        <v>1</v>
      </c>
      <c r="F2">
        <f>MAX(data!E15:E50)</f>
        <v>1</v>
      </c>
      <c r="G2">
        <f>MAX(data!F15:F50)</f>
        <v>1</v>
      </c>
      <c r="H2">
        <f>MAX(data!G15:G50)</f>
        <v>1</v>
      </c>
      <c r="I2">
        <f>MAX(data!H15:H50)</f>
        <v>1</v>
      </c>
      <c r="J2">
        <f>MAX(data!I15:I50)</f>
        <v>1</v>
      </c>
      <c r="K2">
        <f>MAX(data!J15:J50)</f>
        <v>1</v>
      </c>
      <c r="L2">
        <f>MAX(data!K15:K50)</f>
        <v>1</v>
      </c>
      <c r="M2">
        <f>MAX(data!L15:L50)</f>
        <v>1</v>
      </c>
      <c r="N2">
        <f>MAX(data!M15:M50)</f>
        <v>1</v>
      </c>
      <c r="O2">
        <f>MAX(data!N15:N50)</f>
        <v>1</v>
      </c>
      <c r="P2">
        <f>MAX(data!O15:O50)</f>
        <v>1</v>
      </c>
      <c r="Q2">
        <f>MAX(data!P15:P50)</f>
        <v>1</v>
      </c>
      <c r="R2">
        <f>MAX(data!Q15:Q50)</f>
        <v>1</v>
      </c>
      <c r="S2">
        <f>MAX(data!R15:R50)</f>
        <v>1</v>
      </c>
      <c r="T2">
        <f>MAX(data!S15:S50)</f>
        <v>1</v>
      </c>
      <c r="U2">
        <f>MAX(data!T15:T50)</f>
        <v>1</v>
      </c>
      <c r="V2">
        <f>MAX(data!U15:U50)</f>
        <v>1</v>
      </c>
      <c r="W2">
        <f>MAX(data!V15:V50)</f>
        <v>1</v>
      </c>
      <c r="X2">
        <v>1</v>
      </c>
      <c r="Y2">
        <f>MAX(data!X15:X50)</f>
        <v>1</v>
      </c>
    </row>
    <row r="3" spans="1:25">
      <c r="A3" s="1">
        <v>0.75</v>
      </c>
      <c r="B3">
        <f>QUARTILE(data!A15:A50,3)</f>
        <v>1</v>
      </c>
      <c r="C3">
        <f>QUARTILE(data!B15:B50,3)</f>
        <v>1</v>
      </c>
      <c r="D3">
        <f>QUARTILE(data!C15:C50,3)</f>
        <v>1</v>
      </c>
      <c r="E3">
        <f>QUARTILE(data!D15:D50,3)</f>
        <v>1</v>
      </c>
      <c r="F3">
        <f>QUARTILE(data!E15:E50,3)</f>
        <v>0.99994419642857124</v>
      </c>
      <c r="G3">
        <f>QUARTILE(data!F15:F50,3)</f>
        <v>0.99988839285714248</v>
      </c>
      <c r="H3">
        <f>QUARTILE(data!G15:G50,3)</f>
        <v>1</v>
      </c>
      <c r="I3">
        <f>QUARTILE(data!H15:H50,3)</f>
        <v>1</v>
      </c>
      <c r="J3">
        <f>QUARTILE(data!I15:I50,3)</f>
        <v>1</v>
      </c>
      <c r="K3">
        <f>QUARTILE(data!J15:J50,3)</f>
        <v>1</v>
      </c>
      <c r="L3">
        <f>QUARTILE(data!K15:K50,3)</f>
        <v>1</v>
      </c>
      <c r="M3">
        <f>QUARTILE(data!L15:L50,3)</f>
        <v>1</v>
      </c>
      <c r="N3">
        <f>QUARTILE(data!M15:M50,3)</f>
        <v>0.99994419642857124</v>
      </c>
      <c r="O3">
        <f>QUARTILE(data!N15:N50,3)</f>
        <v>0.99988839285714248</v>
      </c>
      <c r="P3">
        <f>QUARTILE(data!O15:O50,3)</f>
        <v>1</v>
      </c>
      <c r="Q3">
        <f>QUARTILE(data!P15:P50,3)</f>
        <v>1</v>
      </c>
      <c r="R3">
        <f>QUARTILE(data!Q15:Q50,3)</f>
        <v>1</v>
      </c>
      <c r="S3">
        <f>QUARTILE(data!R15:R50,3)</f>
        <v>1</v>
      </c>
      <c r="T3">
        <f>QUARTILE(data!S15:S50,3)</f>
        <v>1</v>
      </c>
      <c r="U3">
        <f>QUARTILE(data!T15:T50,3)</f>
        <v>1</v>
      </c>
      <c r="V3">
        <f>QUARTILE(data!U15:U50,3)</f>
        <v>1</v>
      </c>
      <c r="W3">
        <f>QUARTILE(data!V15:V50,3)</f>
        <v>1</v>
      </c>
      <c r="X3">
        <v>1</v>
      </c>
      <c r="Y3">
        <f>QUARTILE(data!X15:X50,3)</f>
        <v>1</v>
      </c>
    </row>
    <row r="4" spans="1:25">
      <c r="A4" t="s">
        <v>32</v>
      </c>
      <c r="B4">
        <f>MEDIAN(data!A15:A50)</f>
        <v>0.98872903161168701</v>
      </c>
      <c r="C4">
        <f>MEDIAN(data!B15:B50)</f>
        <v>0.98692981468716745</v>
      </c>
      <c r="D4">
        <f>MEDIAN(data!C15:C50)</f>
        <v>1</v>
      </c>
      <c r="E4">
        <f>MEDIAN(data!D15:D50)</f>
        <v>0.98348468722804205</v>
      </c>
      <c r="F4">
        <f>MEDIAN(data!E15:E50)</f>
        <v>0.98240650500682203</v>
      </c>
      <c r="G4">
        <f>MEDIAN(data!F15:F50)</f>
        <v>0.981097275375585</v>
      </c>
      <c r="H4">
        <f>MEDIAN(data!G15:G50)</f>
        <v>0.98830538531936296</v>
      </c>
      <c r="I4">
        <f>MEDIAN(data!H15:H50)</f>
        <v>0.98310544309498704</v>
      </c>
      <c r="J4">
        <f>MEDIAN(data!I15:I50)</f>
        <v>0.99442828355209456</v>
      </c>
      <c r="K4">
        <f>MEDIAN(data!J15:J50)</f>
        <v>0.99299060156209906</v>
      </c>
      <c r="L4">
        <f>MEDIAN(data!K15:K50)</f>
        <v>1</v>
      </c>
      <c r="M4">
        <f>MEDIAN(data!L15:L50)</f>
        <v>0.99301513902024441</v>
      </c>
      <c r="N4">
        <f>MEDIAN(data!M15:M50)</f>
        <v>0.99028799980429449</v>
      </c>
      <c r="O4">
        <f>MEDIAN(data!N15:N50)</f>
        <v>0.98739058208568298</v>
      </c>
      <c r="P4">
        <f>MEDIAN(data!O15:O50)</f>
        <v>0.99533433289779449</v>
      </c>
      <c r="Q4">
        <f>MEDIAN(data!P15:P50)</f>
        <v>0.99091358221752546</v>
      </c>
      <c r="R4">
        <f>MEDIAN(data!Q15:Q50)</f>
        <v>1</v>
      </c>
      <c r="S4">
        <f>MEDIAN(data!R15:R50)</f>
        <v>1</v>
      </c>
      <c r="T4">
        <f>MEDIAN(data!S15:S50)</f>
        <v>1</v>
      </c>
      <c r="U4">
        <f>MEDIAN(data!T15:T50)</f>
        <v>1</v>
      </c>
      <c r="V4">
        <f>MEDIAN(data!U15:U50)</f>
        <v>1</v>
      </c>
      <c r="W4">
        <f>MEDIAN(data!V15:V50)</f>
        <v>1</v>
      </c>
      <c r="X4">
        <v>1</v>
      </c>
      <c r="Y4">
        <f>MEDIAN(data!X15:X50)</f>
        <v>1</v>
      </c>
    </row>
    <row r="5" spans="1:25">
      <c r="A5" s="1">
        <v>0.25</v>
      </c>
      <c r="B5">
        <f>QUARTILE(data!A15:A50,1)</f>
        <v>0.96164211216385698</v>
      </c>
      <c r="C5">
        <f>QUARTILE(data!B15:B50,1)</f>
        <v>0.94715166154296504</v>
      </c>
      <c r="D5">
        <f>QUARTILE(data!C15:C50,1)</f>
        <v>0.984615384615384</v>
      </c>
      <c r="E5">
        <f>QUARTILE(data!D15:D50,1)</f>
        <v>0.91580883244317801</v>
      </c>
      <c r="F5">
        <f>QUARTILE(data!E15:E50,1)</f>
        <v>0.908591684896628</v>
      </c>
      <c r="G5">
        <f>QUARTILE(data!F15:F50,1)</f>
        <v>0.89262317384685819</v>
      </c>
      <c r="H5">
        <f>QUARTILE(data!G15:G50,1)</f>
        <v>0.95365669626605332</v>
      </c>
      <c r="I5">
        <f>QUARTILE(data!H15:H50,1)</f>
        <v>0.89928850356992951</v>
      </c>
      <c r="J5">
        <f>QUARTILE(data!I15:I50,1)</f>
        <v>0.97684922288801002</v>
      </c>
      <c r="K5">
        <f>QUARTILE(data!J15:J50,1)</f>
        <v>0.96398117190188704</v>
      </c>
      <c r="L5">
        <f>QUARTILE(data!K15:K50,1)</f>
        <v>0.992307692307692</v>
      </c>
      <c r="M5">
        <f>QUARTILE(data!L15:L50,1)</f>
        <v>0.94855092225856896</v>
      </c>
      <c r="N5">
        <f>QUARTILE(data!M15:M50,1)</f>
        <v>0.93258966445553904</v>
      </c>
      <c r="O5">
        <f>QUARTILE(data!N15:N50,1)</f>
        <v>0.91276959436281224</v>
      </c>
      <c r="P5">
        <f>QUARTILE(data!O15:O50,1)</f>
        <v>0.97479932942728598</v>
      </c>
      <c r="Q5">
        <f>QUARTILE(data!P15:P50,1)</f>
        <v>0.9316050256012387</v>
      </c>
      <c r="R5">
        <f>QUARTILE(data!Q15:Q50,1)</f>
        <v>1</v>
      </c>
      <c r="S5">
        <f>QUARTILE(data!R15:R50,1)</f>
        <v>1</v>
      </c>
      <c r="T5">
        <f>QUARTILE(data!S15:S50,1)</f>
        <v>1</v>
      </c>
      <c r="U5">
        <f>QUARTILE(data!T15:T50,1)</f>
        <v>1</v>
      </c>
      <c r="V5">
        <f>QUARTILE(data!U15:U50,1)</f>
        <v>1</v>
      </c>
      <c r="W5">
        <f>QUARTILE(data!V15:V50,1)</f>
        <v>1</v>
      </c>
      <c r="X5">
        <v>1</v>
      </c>
      <c r="Y5">
        <f>QUARTILE(data!X15:X50,1)</f>
        <v>1</v>
      </c>
    </row>
    <row r="6" spans="1:25">
      <c r="A6" t="s">
        <v>33</v>
      </c>
      <c r="B6">
        <f>MIN(data!A15:A50)</f>
        <v>0.93825159420479598</v>
      </c>
      <c r="C6">
        <f>MIN(data!B15:B50)</f>
        <v>0.91953388357241805</v>
      </c>
      <c r="D6">
        <f>MIN(data!C15:C50)</f>
        <v>0.95522388059701402</v>
      </c>
      <c r="E6">
        <f>MIN(data!D15:D50)</f>
        <v>0.85860292498478596</v>
      </c>
      <c r="F6">
        <f>MIN(data!E15:E50)</f>
        <v>0.82917884721926605</v>
      </c>
      <c r="G6">
        <f>MIN(data!F15:F50)</f>
        <v>0.77216500941690402</v>
      </c>
      <c r="H6">
        <f>MIN(data!G15:G50)</f>
        <v>0.935587627473766</v>
      </c>
      <c r="I6">
        <f>MIN(data!H15:H50)</f>
        <v>0.821646671027917</v>
      </c>
      <c r="J6">
        <f>MIN(data!I15:I50)</f>
        <v>0.96381316387976301</v>
      </c>
      <c r="K6">
        <f>MIN(data!J15:J50)</f>
        <v>0.94676914797186096</v>
      </c>
      <c r="L6">
        <f>MIN(data!K15:K50)</f>
        <v>0.97761194029850695</v>
      </c>
      <c r="M6">
        <f>MIN(data!L15:L50)</f>
        <v>0.89465089788558005</v>
      </c>
      <c r="N6">
        <f>MIN(data!M15:M50)</f>
        <v>0.84844519969388499</v>
      </c>
      <c r="O6">
        <f>MIN(data!N15:N50)</f>
        <v>0.79108369728323302</v>
      </c>
      <c r="P6">
        <f>MIN(data!O15:O50)</f>
        <v>0.96461936401406101</v>
      </c>
      <c r="Q6">
        <f>MIN(data!P15:P50)</f>
        <v>0.85412879495997396</v>
      </c>
      <c r="R6">
        <f>MIN(data!Q15:Q50)</f>
        <v>1</v>
      </c>
      <c r="S6">
        <f>MIN(data!R15:R50)</f>
        <v>1</v>
      </c>
      <c r="T6">
        <f>MIN(data!S15:S50)</f>
        <v>1</v>
      </c>
      <c r="U6">
        <f>MIN(data!T15:T50)</f>
        <v>1</v>
      </c>
      <c r="V6">
        <f>MIN(data!U15:U50)</f>
        <v>1</v>
      </c>
      <c r="W6">
        <f>MIN(data!V15:V50)</f>
        <v>1</v>
      </c>
      <c r="X6">
        <v>1</v>
      </c>
      <c r="Y6">
        <f>MIN(data!X15:X50)</f>
        <v>1</v>
      </c>
    </row>
    <row r="8" spans="1:25"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P8" t="s">
        <v>46</v>
      </c>
      <c r="Q8" t="s">
        <v>47</v>
      </c>
      <c r="R8" t="s">
        <v>40</v>
      </c>
      <c r="S8" t="s">
        <v>41</v>
      </c>
      <c r="T8" t="s">
        <v>42</v>
      </c>
      <c r="U8" t="s">
        <v>43</v>
      </c>
      <c r="V8" t="s">
        <v>44</v>
      </c>
      <c r="W8" t="s">
        <v>45</v>
      </c>
      <c r="X8" t="s">
        <v>46</v>
      </c>
      <c r="Y8" t="s">
        <v>47</v>
      </c>
    </row>
    <row r="9" spans="1:25">
      <c r="A9" t="s">
        <v>34</v>
      </c>
      <c r="B9" t="str">
        <f>B1</f>
        <v>hungarian_dice</v>
      </c>
      <c r="C9" t="str">
        <f t="shared" ref="C9:Y9" si="0">C1</f>
        <v>hungarian_jaccard</v>
      </c>
      <c r="D9" t="str">
        <f t="shared" si="0"/>
        <v>hungarian_simpson</v>
      </c>
      <c r="E9" t="str">
        <f t="shared" si="0"/>
        <v>hungarian_euclidean</v>
      </c>
      <c r="F9" t="str">
        <f t="shared" si="0"/>
        <v>hungarian_lcs</v>
      </c>
      <c r="G9" t="str">
        <f t="shared" si="0"/>
        <v>hungarian_levenshtein</v>
      </c>
      <c r="H9" t="str">
        <f t="shared" si="0"/>
        <v>hungarian_cosine</v>
      </c>
      <c r="I9" t="str">
        <f t="shared" si="0"/>
        <v>hungarian_weighted-jaccard</v>
      </c>
      <c r="J9" t="str">
        <f t="shared" si="0"/>
        <v>top-n-all_dice</v>
      </c>
      <c r="K9" t="str">
        <f t="shared" si="0"/>
        <v>top-n-all_jaccard</v>
      </c>
      <c r="L9" t="str">
        <f t="shared" si="0"/>
        <v>top-n-all_simpson</v>
      </c>
      <c r="M9" t="str">
        <f t="shared" si="0"/>
        <v>top-n-all_euclidean</v>
      </c>
      <c r="N9" t="str">
        <f t="shared" si="0"/>
        <v>top-n-all_lcs</v>
      </c>
      <c r="O9" t="str">
        <f t="shared" si="0"/>
        <v>top-n-all_levenshtein</v>
      </c>
      <c r="P9" t="str">
        <f t="shared" si="0"/>
        <v>top-n-all_cosine</v>
      </c>
      <c r="Q9" t="str">
        <f t="shared" si="0"/>
        <v>top-n-all_weighted-jaccard</v>
      </c>
      <c r="R9" t="str">
        <f t="shared" si="0"/>
        <v>top-n-one_dice</v>
      </c>
      <c r="S9" t="str">
        <f t="shared" si="0"/>
        <v>top-n-one_jaccard</v>
      </c>
      <c r="T9" t="str">
        <f t="shared" si="0"/>
        <v>top-n-one_simpson</v>
      </c>
      <c r="U9" t="str">
        <f t="shared" si="0"/>
        <v>top-n-one_euclidean</v>
      </c>
      <c r="V9" t="str">
        <f t="shared" si="0"/>
        <v>top-n-one_lcs</v>
      </c>
      <c r="W9" t="str">
        <f t="shared" si="0"/>
        <v>top-n-one_levenshtein</v>
      </c>
      <c r="X9" t="str">
        <f t="shared" si="0"/>
        <v>top-n-one_cosine</v>
      </c>
      <c r="Y9" t="str">
        <f t="shared" si="0"/>
        <v>top-n-one_weighted-jaccard</v>
      </c>
    </row>
    <row r="10" spans="1:25">
      <c r="A10" t="s">
        <v>35</v>
      </c>
      <c r="B10">
        <f>B2-B3</f>
        <v>0</v>
      </c>
      <c r="C10">
        <f t="shared" ref="C10:Y10" si="1">C2-C3</f>
        <v>0</v>
      </c>
      <c r="D10">
        <f t="shared" si="1"/>
        <v>0</v>
      </c>
      <c r="E10">
        <f t="shared" si="1"/>
        <v>0</v>
      </c>
      <c r="F10">
        <f t="shared" si="1"/>
        <v>5.580357142875858E-5</v>
      </c>
      <c r="G10">
        <f t="shared" si="1"/>
        <v>1.1160714285751716E-4</v>
      </c>
      <c r="H10">
        <f t="shared" si="1"/>
        <v>0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>
        <f t="shared" si="1"/>
        <v>5.580357142875858E-5</v>
      </c>
      <c r="O10">
        <f t="shared" si="1"/>
        <v>1.1160714285751716E-4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</row>
    <row r="11" spans="1:25">
      <c r="A11" t="s">
        <v>36</v>
      </c>
      <c r="B11">
        <f>B3-B4</f>
        <v>1.1270968388312985E-2</v>
      </c>
      <c r="C11">
        <f t="shared" ref="C11:Y11" si="2">C3-C4</f>
        <v>1.307018531283255E-2</v>
      </c>
      <c r="D11">
        <f t="shared" si="2"/>
        <v>0</v>
      </c>
      <c r="E11">
        <f t="shared" si="2"/>
        <v>1.6515312771957946E-2</v>
      </c>
      <c r="F11">
        <f t="shared" si="2"/>
        <v>1.7537691421749213E-2</v>
      </c>
      <c r="G11">
        <f t="shared" si="2"/>
        <v>1.8791117481557484E-2</v>
      </c>
      <c r="H11">
        <f t="shared" si="2"/>
        <v>1.1694614680637039E-2</v>
      </c>
      <c r="I11">
        <f t="shared" si="2"/>
        <v>1.6894556905012958E-2</v>
      </c>
      <c r="J11">
        <f t="shared" si="2"/>
        <v>5.5717164479054393E-3</v>
      </c>
      <c r="K11">
        <f t="shared" si="2"/>
        <v>7.0093984379009378E-3</v>
      </c>
      <c r="L11">
        <f t="shared" si="2"/>
        <v>0</v>
      </c>
      <c r="M11">
        <f t="shared" si="2"/>
        <v>6.9848609797555916E-3</v>
      </c>
      <c r="N11">
        <f t="shared" si="2"/>
        <v>9.6561966242767472E-3</v>
      </c>
      <c r="O11">
        <f t="shared" si="2"/>
        <v>1.2497810771459505E-2</v>
      </c>
      <c r="P11">
        <f t="shared" si="2"/>
        <v>4.6656671022055063E-3</v>
      </c>
      <c r="Q11">
        <f t="shared" si="2"/>
        <v>9.0864177824745429E-3</v>
      </c>
      <c r="R11">
        <f t="shared" si="2"/>
        <v>0</v>
      </c>
      <c r="S11">
        <f t="shared" si="2"/>
        <v>0</v>
      </c>
      <c r="T11">
        <f t="shared" si="2"/>
        <v>0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</row>
    <row r="12" spans="1:25">
      <c r="A12" t="s">
        <v>37</v>
      </c>
      <c r="B12">
        <f>B4-B5</f>
        <v>2.7086919447830038E-2</v>
      </c>
      <c r="C12">
        <f t="shared" ref="C12:Y12" si="3">C4-C5</f>
        <v>3.9778153144202411E-2</v>
      </c>
      <c r="D12">
        <f t="shared" si="3"/>
        <v>1.5384615384615996E-2</v>
      </c>
      <c r="E12">
        <f t="shared" si="3"/>
        <v>6.7675854784864042E-2</v>
      </c>
      <c r="F12">
        <f t="shared" si="3"/>
        <v>7.3814820110194024E-2</v>
      </c>
      <c r="G12">
        <f t="shared" si="3"/>
        <v>8.8474101528726812E-2</v>
      </c>
      <c r="H12">
        <f t="shared" si="3"/>
        <v>3.4648689053309645E-2</v>
      </c>
      <c r="I12">
        <f t="shared" si="3"/>
        <v>8.3816939525057532E-2</v>
      </c>
      <c r="J12">
        <f t="shared" si="3"/>
        <v>1.7579060664084545E-2</v>
      </c>
      <c r="K12">
        <f t="shared" si="3"/>
        <v>2.9009429660212027E-2</v>
      </c>
      <c r="L12">
        <f t="shared" si="3"/>
        <v>7.692307692307998E-3</v>
      </c>
      <c r="M12">
        <f t="shared" si="3"/>
        <v>4.4464216761675446E-2</v>
      </c>
      <c r="N12">
        <f t="shared" si="3"/>
        <v>5.7698335348755458E-2</v>
      </c>
      <c r="O12">
        <f t="shared" si="3"/>
        <v>7.4620987722870735E-2</v>
      </c>
      <c r="P12">
        <f t="shared" si="3"/>
        <v>2.0535003470508517E-2</v>
      </c>
      <c r="Q12">
        <f t="shared" si="3"/>
        <v>5.9308556616286756E-2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</row>
    <row r="13" spans="1:25">
      <c r="A13" s="2" t="s">
        <v>39</v>
      </c>
      <c r="B13">
        <f>B5</f>
        <v>0.96164211216385698</v>
      </c>
      <c r="C13">
        <f t="shared" ref="C13:Y13" si="4">C5</f>
        <v>0.94715166154296504</v>
      </c>
      <c r="D13">
        <f t="shared" si="4"/>
        <v>0.984615384615384</v>
      </c>
      <c r="E13">
        <f t="shared" si="4"/>
        <v>0.91580883244317801</v>
      </c>
      <c r="F13">
        <f t="shared" si="4"/>
        <v>0.908591684896628</v>
      </c>
      <c r="G13">
        <f t="shared" si="4"/>
        <v>0.89262317384685819</v>
      </c>
      <c r="H13">
        <f t="shared" si="4"/>
        <v>0.95365669626605332</v>
      </c>
      <c r="I13">
        <f t="shared" si="4"/>
        <v>0.89928850356992951</v>
      </c>
      <c r="J13">
        <f t="shared" si="4"/>
        <v>0.97684922288801002</v>
      </c>
      <c r="K13">
        <f t="shared" si="4"/>
        <v>0.96398117190188704</v>
      </c>
      <c r="L13">
        <f t="shared" si="4"/>
        <v>0.992307692307692</v>
      </c>
      <c r="M13">
        <f t="shared" si="4"/>
        <v>0.94855092225856896</v>
      </c>
      <c r="N13">
        <f t="shared" si="4"/>
        <v>0.93258966445553904</v>
      </c>
      <c r="O13">
        <f t="shared" si="4"/>
        <v>0.91276959436281224</v>
      </c>
      <c r="P13">
        <f t="shared" si="4"/>
        <v>0.97479932942728598</v>
      </c>
      <c r="Q13">
        <f t="shared" si="4"/>
        <v>0.9316050256012387</v>
      </c>
      <c r="R13">
        <f t="shared" si="4"/>
        <v>1</v>
      </c>
      <c r="S13">
        <f t="shared" si="4"/>
        <v>1</v>
      </c>
      <c r="T13">
        <f t="shared" si="4"/>
        <v>1</v>
      </c>
      <c r="U13">
        <f t="shared" si="4"/>
        <v>1</v>
      </c>
      <c r="V13">
        <f t="shared" si="4"/>
        <v>1</v>
      </c>
      <c r="W13">
        <f t="shared" si="4"/>
        <v>1</v>
      </c>
      <c r="X13">
        <f t="shared" si="4"/>
        <v>1</v>
      </c>
      <c r="Y13">
        <f t="shared" si="4"/>
        <v>1</v>
      </c>
    </row>
    <row r="14" spans="1:25">
      <c r="A14" t="s">
        <v>38</v>
      </c>
      <c r="B14">
        <f>B5-B6</f>
        <v>2.3390517959060997E-2</v>
      </c>
      <c r="C14">
        <f t="shared" ref="C14:Y14" si="5">C5-C6</f>
        <v>2.7617777970546986E-2</v>
      </c>
      <c r="D14">
        <f t="shared" si="5"/>
        <v>2.9391504018369985E-2</v>
      </c>
      <c r="E14">
        <f t="shared" si="5"/>
        <v>5.7205907458392047E-2</v>
      </c>
      <c r="F14">
        <f t="shared" si="5"/>
        <v>7.9412837677361958E-2</v>
      </c>
      <c r="G14">
        <f t="shared" si="5"/>
        <v>0.12045816442995416</v>
      </c>
      <c r="H14">
        <f t="shared" si="5"/>
        <v>1.8069068792287313E-2</v>
      </c>
      <c r="I14">
        <f t="shared" si="5"/>
        <v>7.7641832542012512E-2</v>
      </c>
      <c r="J14">
        <f t="shared" si="5"/>
        <v>1.3036059008247003E-2</v>
      </c>
      <c r="K14">
        <f t="shared" si="5"/>
        <v>1.7212023930026077E-2</v>
      </c>
      <c r="L14">
        <f t="shared" si="5"/>
        <v>1.4695752009185048E-2</v>
      </c>
      <c r="M14">
        <f t="shared" si="5"/>
        <v>5.3900024372988908E-2</v>
      </c>
      <c r="N14">
        <f t="shared" si="5"/>
        <v>8.4144464761654048E-2</v>
      </c>
      <c r="O14">
        <f t="shared" si="5"/>
        <v>0.12168589707957922</v>
      </c>
      <c r="P14">
        <f t="shared" si="5"/>
        <v>1.0179965413224967E-2</v>
      </c>
      <c r="Q14">
        <f t="shared" si="5"/>
        <v>7.7476230641264743E-2</v>
      </c>
      <c r="R14">
        <f t="shared" si="5"/>
        <v>0</v>
      </c>
      <c r="S14">
        <f t="shared" si="5"/>
        <v>0</v>
      </c>
      <c r="T14">
        <f t="shared" si="5"/>
        <v>0</v>
      </c>
      <c r="U14">
        <f t="shared" si="5"/>
        <v>0</v>
      </c>
      <c r="V14">
        <f t="shared" si="5"/>
        <v>0</v>
      </c>
      <c r="W14">
        <f t="shared" si="5"/>
        <v>0</v>
      </c>
      <c r="X14">
        <f t="shared" si="5"/>
        <v>0</v>
      </c>
      <c r="Y14">
        <f t="shared" si="5"/>
        <v>0</v>
      </c>
    </row>
  </sheetData>
  <phoneticPr fontId="18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Box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2026-05-12T11:04:34Z</dcterms:created>
  <dcterms:modified xsi:type="dcterms:W3CDTF">2026-05-12T11:17:06Z</dcterms:modified>
</cp:coreProperties>
</file>