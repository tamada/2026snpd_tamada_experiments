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1/"/>
    </mc:Choice>
  </mc:AlternateContent>
  <xr:revisionPtr revIDLastSave="0" documentId="13_ncr:9_{AFEF5307-E3EC-8143-8A21-5A8C427E4B29}" xr6:coauthVersionLast="47" xr6:coauthVersionMax="47" xr10:uidLastSave="{00000000-0000-0000-0000-000000000000}"/>
  <bookViews>
    <workbookView xWindow="540" yWindow="660" windowWidth="28300" windowHeight="17260" xr2:uid="{EC77720E-C1FA-7249-8EDD-513A8FD49D68}"/>
  </bookViews>
  <sheets>
    <sheet name="hungarian" sheetId="1" r:id="rId1"/>
    <sheet name="top-n-one" sheetId="2" r:id="rId2"/>
    <sheet name="top-n-all" sheetId="3" r:id="rId3"/>
  </sheets>
  <calcPr calcId="0"/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2" i="3"/>
  <c r="M3" i="3"/>
  <c r="M4" i="3"/>
  <c r="M5" i="3"/>
  <c r="M6" i="3"/>
  <c r="M7" i="3"/>
  <c r="M8" i="3"/>
  <c r="M9" i="3"/>
  <c r="L10" i="3"/>
  <c r="K10" i="3"/>
  <c r="J10" i="3"/>
  <c r="J11" i="3" s="1"/>
  <c r="I10" i="3"/>
  <c r="I11" i="3" s="1"/>
  <c r="H10" i="3"/>
  <c r="H11" i="3" s="1"/>
  <c r="G10" i="3"/>
  <c r="G11" i="3" s="1"/>
  <c r="F10" i="3"/>
  <c r="E10" i="3"/>
  <c r="D10" i="3"/>
  <c r="D11" i="3" s="1"/>
  <c r="C10" i="3"/>
  <c r="C11" i="3" s="1"/>
  <c r="B10" i="3"/>
  <c r="M10" i="3" s="1"/>
  <c r="L10" i="2"/>
  <c r="K10" i="2"/>
  <c r="J10" i="2"/>
  <c r="I10" i="2"/>
  <c r="H10" i="2"/>
  <c r="G10" i="2"/>
  <c r="F10" i="2"/>
  <c r="E10" i="2"/>
  <c r="M10" i="2" s="1"/>
  <c r="D10" i="2"/>
  <c r="C10" i="2"/>
  <c r="B10" i="2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B12" i="1"/>
  <c r="B13" i="1"/>
  <c r="B11" i="1"/>
  <c r="C11" i="1"/>
  <c r="D11" i="1"/>
  <c r="E11" i="1"/>
  <c r="F11" i="1"/>
  <c r="G11" i="1"/>
  <c r="H11" i="1"/>
  <c r="I11" i="1"/>
  <c r="J11" i="1"/>
  <c r="K11" i="1"/>
  <c r="L11" i="1"/>
  <c r="M2" i="1"/>
  <c r="M3" i="1"/>
  <c r="M4" i="1"/>
  <c r="M5" i="1"/>
  <c r="M6" i="1"/>
  <c r="M7" i="1"/>
  <c r="M8" i="1"/>
  <c r="M9" i="1"/>
  <c r="M10" i="1"/>
  <c r="C10" i="1"/>
  <c r="D10" i="1"/>
  <c r="E10" i="1"/>
  <c r="F10" i="1"/>
  <c r="G10" i="1"/>
  <c r="H10" i="1"/>
  <c r="I10" i="1"/>
  <c r="J10" i="1"/>
  <c r="K10" i="1"/>
  <c r="L10" i="1"/>
  <c r="B10" i="1"/>
  <c r="K11" i="3" l="1"/>
  <c r="L13" i="3"/>
  <c r="B13" i="3"/>
  <c r="C12" i="3"/>
  <c r="I13" i="3"/>
  <c r="H13" i="3"/>
  <c r="I12" i="3"/>
  <c r="G13" i="3"/>
  <c r="H12" i="3"/>
  <c r="F13" i="3"/>
  <c r="G12" i="3"/>
  <c r="E13" i="3"/>
  <c r="F12" i="3"/>
  <c r="D13" i="3"/>
  <c r="E12" i="3"/>
  <c r="F11" i="3"/>
  <c r="D12" i="3"/>
  <c r="E11" i="3"/>
  <c r="K13" i="3"/>
  <c r="L12" i="3"/>
  <c r="B12" i="3"/>
  <c r="J12" i="3"/>
  <c r="C13" i="3"/>
  <c r="J13" i="3"/>
  <c r="K12" i="3"/>
  <c r="L11" i="3"/>
  <c r="B11" i="3"/>
  <c r="G11" i="2"/>
  <c r="H11" i="2"/>
  <c r="I11" i="2"/>
  <c r="J11" i="2"/>
  <c r="K11" i="2"/>
  <c r="B11" i="2"/>
  <c r="L11" i="2"/>
  <c r="C11" i="2"/>
  <c r="D11" i="2"/>
  <c r="L13" i="2"/>
  <c r="B13" i="2"/>
  <c r="C12" i="2"/>
  <c r="K12" i="2"/>
  <c r="H13" i="2"/>
  <c r="I12" i="2"/>
  <c r="H12" i="2"/>
  <c r="F13" i="2"/>
  <c r="G12" i="2"/>
  <c r="K13" i="2"/>
  <c r="L12" i="2"/>
  <c r="B12" i="2"/>
  <c r="J13" i="2"/>
  <c r="I13" i="2"/>
  <c r="J12" i="2"/>
  <c r="G13" i="2"/>
  <c r="E13" i="2"/>
  <c r="F12" i="2"/>
  <c r="D13" i="2"/>
  <c r="E12" i="2"/>
  <c r="C13" i="2"/>
  <c r="D12" i="2"/>
  <c r="F11" i="2"/>
  <c r="E11" i="2"/>
</calcChain>
</file>

<file path=xl/sharedStrings.xml><?xml version="1.0" encoding="utf-8"?>
<sst xmlns="http://schemas.openxmlformats.org/spreadsheetml/2006/main" count="57" uniqueCount="19">
  <si>
    <t>cosine</t>
  </si>
  <si>
    <t>dice</t>
  </si>
  <si>
    <t>euclidean</t>
  </si>
  <si>
    <t>jaccard</t>
  </si>
  <si>
    <t>lcs</t>
  </si>
  <si>
    <t>levenshtein</t>
  </si>
  <si>
    <t>simpson</t>
  </si>
  <si>
    <t>weighted-jaccard</t>
  </si>
  <si>
    <t>&lt;0.1</t>
  </si>
  <si>
    <t>&lt;0.2</t>
  </si>
  <si>
    <t>&lt;0.3</t>
  </si>
  <si>
    <t>&lt;0.4</t>
  </si>
  <si>
    <t>&lt;0.5</t>
  </si>
  <si>
    <t>&lt;0.6</t>
  </si>
  <si>
    <t>&lt;0.7</t>
  </si>
  <si>
    <t>&lt;0.8</t>
  </si>
  <si>
    <t>&lt;0.9</t>
  </si>
  <si>
    <t>&lt;1</t>
  </si>
  <si>
    <t>=1.0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</si>
</sst>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48673082531357E-2"/>
          <c:y val="4.7911603642137326E-2"/>
          <c:w val="0.90808836395450565"/>
          <c:h val="0.85860730371666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hungarian!$A$2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hungarian!$B$2:$L$2</c:f>
              <c:numCache>
                <c:formatCode>General</c:formatCode>
                <c:ptCount val="11"/>
                <c:pt idx="0">
                  <c:v>35</c:v>
                </c:pt>
                <c:pt idx="1">
                  <c:v>2</c:v>
                </c:pt>
                <c:pt idx="2">
                  <c:v>13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9-0448-BD6B-1F46BEB2AF6A}"/>
            </c:ext>
          </c:extLst>
        </c:ser>
        <c:ser>
          <c:idx val="1"/>
          <c:order val="1"/>
          <c:tx>
            <c:strRef>
              <c:f>hungarian!$A$3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hungarian!$B$3:$L$3</c:f>
              <c:numCache>
                <c:formatCode>General</c:formatCode>
                <c:ptCount val="11"/>
                <c:pt idx="0">
                  <c:v>35</c:v>
                </c:pt>
                <c:pt idx="1">
                  <c:v>2</c:v>
                </c:pt>
                <c:pt idx="2">
                  <c:v>13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9-0448-BD6B-1F46BEB2AF6A}"/>
            </c:ext>
          </c:extLst>
        </c:ser>
        <c:ser>
          <c:idx val="2"/>
          <c:order val="2"/>
          <c:tx>
            <c:strRef>
              <c:f>hungarian!$A$4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hungarian!$B$4:$L$4</c:f>
              <c:numCache>
                <c:formatCode>General</c:formatCode>
                <c:ptCount val="11"/>
                <c:pt idx="0">
                  <c:v>35</c:v>
                </c:pt>
                <c:pt idx="1">
                  <c:v>4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9-0448-BD6B-1F46BEB2AF6A}"/>
            </c:ext>
          </c:extLst>
        </c:ser>
        <c:ser>
          <c:idx val="3"/>
          <c:order val="3"/>
          <c:tx>
            <c:strRef>
              <c:f>hungarian!$A$5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hungarian!$B$5:$L$5</c:f>
              <c:numCache>
                <c:formatCode>General</c:formatCode>
                <c:ptCount val="11"/>
                <c:pt idx="0">
                  <c:v>35</c:v>
                </c:pt>
                <c:pt idx="1">
                  <c:v>2</c:v>
                </c:pt>
                <c:pt idx="2">
                  <c:v>13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9-0448-BD6B-1F46BEB2AF6A}"/>
            </c:ext>
          </c:extLst>
        </c:ser>
        <c:ser>
          <c:idx val="4"/>
          <c:order val="4"/>
          <c:tx>
            <c:strRef>
              <c:f>hungarian!$A$6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hungarian!$B$6:$L$6</c:f>
              <c:numCache>
                <c:formatCode>General</c:formatCode>
                <c:ptCount val="11"/>
                <c:pt idx="0">
                  <c:v>35</c:v>
                </c:pt>
                <c:pt idx="1">
                  <c:v>15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49-0448-BD6B-1F46BEB2AF6A}"/>
            </c:ext>
          </c:extLst>
        </c:ser>
        <c:ser>
          <c:idx val="5"/>
          <c:order val="5"/>
          <c:tx>
            <c:strRef>
              <c:f>hungarian!$A$7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hungarian!$B$7:$L$7</c:f>
              <c:numCache>
                <c:formatCode>General</c:formatCode>
                <c:ptCount val="11"/>
                <c:pt idx="0">
                  <c:v>35</c:v>
                </c:pt>
                <c:pt idx="1">
                  <c:v>19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9-0448-BD6B-1F46BEB2AF6A}"/>
            </c:ext>
          </c:extLst>
        </c:ser>
        <c:ser>
          <c:idx val="6"/>
          <c:order val="6"/>
          <c:tx>
            <c:strRef>
              <c:f>hungarian!$A$8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hungarian!$B$8:$L$8</c:f>
              <c:numCache>
                <c:formatCode>General</c:formatCode>
                <c:ptCount val="11"/>
                <c:pt idx="0">
                  <c:v>35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49-0448-BD6B-1F46BEB2AF6A}"/>
            </c:ext>
          </c:extLst>
        </c:ser>
        <c:ser>
          <c:idx val="7"/>
          <c:order val="7"/>
          <c:tx>
            <c:strRef>
              <c:f>hungarian!$A$9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hungarian!$B$1:$L$1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hungarian!$B$9:$L$9</c:f>
              <c:numCache>
                <c:formatCode>General</c:formatCode>
                <c:ptCount val="11"/>
                <c:pt idx="0">
                  <c:v>35</c:v>
                </c:pt>
                <c:pt idx="1">
                  <c:v>15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49-0448-BD6B-1F46BEB2A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060543"/>
        <c:axId val="1681062335"/>
      </c:barChart>
      <c:catAx>
        <c:axId val="16810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81062335"/>
        <c:crosses val="autoZero"/>
        <c:auto val="1"/>
        <c:lblAlgn val="ctr"/>
        <c:lblOffset val="100"/>
        <c:noMultiLvlLbl val="0"/>
      </c:catAx>
      <c:valAx>
        <c:axId val="16810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810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4504593175853"/>
          <c:y val="4.6073037166650482E-2"/>
          <c:w val="0.66728710994459028"/>
          <c:h val="0.23787758011730012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48673082531357E-2"/>
          <c:y val="4.7911603642137326E-2"/>
          <c:w val="0.90808836395450565"/>
          <c:h val="0.85860730371666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'top-n-one'!$A$2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'top-n-one'!$B$2:$L$2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8</c:v>
                </c:pt>
                <c:pt idx="9">
                  <c:v>20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984A-B9D4-CACBC47B39A2}"/>
            </c:ext>
          </c:extLst>
        </c:ser>
        <c:ser>
          <c:idx val="1"/>
          <c:order val="1"/>
          <c:tx>
            <c:strRef>
              <c:f>'top-n-one'!$A$3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'top-n-one'!$B$3:$L$3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8</c:v>
                </c:pt>
                <c:pt idx="9">
                  <c:v>18</c:v>
                </c:pt>
                <c:pt idx="1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5-984A-B9D4-CACBC47B39A2}"/>
            </c:ext>
          </c:extLst>
        </c:ser>
        <c:ser>
          <c:idx val="2"/>
          <c:order val="2"/>
          <c:tx>
            <c:strRef>
              <c:f>'top-n-one'!$A$4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'top-n-one'!$B$4:$L$4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12</c:v>
                </c:pt>
                <c:pt idx="8">
                  <c:v>15</c:v>
                </c:pt>
                <c:pt idx="9">
                  <c:v>0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5-984A-B9D4-CACBC47B39A2}"/>
            </c:ext>
          </c:extLst>
        </c:ser>
        <c:ser>
          <c:idx val="3"/>
          <c:order val="3"/>
          <c:tx>
            <c:strRef>
              <c:f>'top-n-one'!$A$5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'top-n-one'!$B$5:$L$5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8</c:v>
                </c:pt>
                <c:pt idx="1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5-984A-B9D4-CACBC47B39A2}"/>
            </c:ext>
          </c:extLst>
        </c:ser>
        <c:ser>
          <c:idx val="4"/>
          <c:order val="4"/>
          <c:tx>
            <c:strRef>
              <c:f>'top-n-one'!$A$6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'top-n-one'!$B$6:$L$6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15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5-984A-B9D4-CACBC47B39A2}"/>
            </c:ext>
          </c:extLst>
        </c:ser>
        <c:ser>
          <c:idx val="5"/>
          <c:order val="5"/>
          <c:tx>
            <c:strRef>
              <c:f>'top-n-one'!$A$7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'top-n-one'!$B$7:$L$7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5-984A-B9D4-CACBC47B39A2}"/>
            </c:ext>
          </c:extLst>
        </c:ser>
        <c:ser>
          <c:idx val="6"/>
          <c:order val="6"/>
          <c:tx>
            <c:strRef>
              <c:f>'top-n-one'!$A$8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'top-n-one'!$B$8:$L$8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5-984A-B9D4-CACBC47B39A2}"/>
            </c:ext>
          </c:extLst>
        </c:ser>
        <c:ser>
          <c:idx val="7"/>
          <c:order val="7"/>
          <c:tx>
            <c:strRef>
              <c:f>'top-n-one'!$A$9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'top-n-one'!$B$1:$L$1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'top-n-one'!$B$9:$L$9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11</c:v>
                </c:pt>
                <c:pt idx="6">
                  <c:v>11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5-984A-B9D4-CACBC47B3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141439"/>
        <c:axId val="1659131135"/>
      </c:barChart>
      <c:catAx>
        <c:axId val="165914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9131135"/>
        <c:crosses val="autoZero"/>
        <c:auto val="1"/>
        <c:lblAlgn val="ctr"/>
        <c:lblOffset val="100"/>
        <c:noMultiLvlLbl val="0"/>
      </c:catAx>
      <c:valAx>
        <c:axId val="16591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591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819407990667851E-2"/>
          <c:y val="4.6073037166650482E-2"/>
          <c:w val="0.6649722951297754"/>
          <c:h val="0.23787758011730012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48673082531357E-2"/>
          <c:y val="4.7911603642137326E-2"/>
          <c:w val="0.90808836395450565"/>
          <c:h val="0.85860730371666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'top-n-all'!$A$2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'top-n-all'!$B$2:$L$2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B-0448-A476-36C60C4DA249}"/>
            </c:ext>
          </c:extLst>
        </c:ser>
        <c:ser>
          <c:idx val="1"/>
          <c:order val="1"/>
          <c:tx>
            <c:strRef>
              <c:f>'top-n-all'!$A$3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'top-n-all'!$B$3:$L$3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  <c:pt idx="8">
                  <c:v>0</c:v>
                </c:pt>
                <c:pt idx="9">
                  <c:v>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B-0448-A476-36C60C4DA249}"/>
            </c:ext>
          </c:extLst>
        </c:ser>
        <c:ser>
          <c:idx val="2"/>
          <c:order val="2"/>
          <c:tx>
            <c:strRef>
              <c:f>'top-n-all'!$A$4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'top-n-all'!$B$4:$L$4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0B-0448-A476-36C60C4DA249}"/>
            </c:ext>
          </c:extLst>
        </c:ser>
        <c:ser>
          <c:idx val="3"/>
          <c:order val="3"/>
          <c:tx>
            <c:strRef>
              <c:f>'top-n-all'!$A$5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'top-n-all'!$B$5:$L$5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23</c:v>
                </c:pt>
                <c:pt idx="3">
                  <c:v>8</c:v>
                </c:pt>
                <c:pt idx="4">
                  <c:v>2</c:v>
                </c:pt>
                <c:pt idx="5">
                  <c:v>15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0B-0448-A476-36C60C4DA249}"/>
            </c:ext>
          </c:extLst>
        </c:ser>
        <c:ser>
          <c:idx val="4"/>
          <c:order val="4"/>
          <c:tx>
            <c:strRef>
              <c:f>'top-n-all'!$A$6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'top-n-all'!$B$6:$L$6</c:f>
              <c:numCache>
                <c:formatCode>General</c:formatCode>
                <c:ptCount val="11"/>
                <c:pt idx="0">
                  <c:v>1</c:v>
                </c:pt>
                <c:pt idx="1">
                  <c:v>26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0B-0448-A476-36C60C4DA249}"/>
            </c:ext>
          </c:extLst>
        </c:ser>
        <c:ser>
          <c:idx val="5"/>
          <c:order val="5"/>
          <c:tx>
            <c:strRef>
              <c:f>'top-n-all'!$A$7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'top-n-all'!$B$7:$L$7</c:f>
              <c:numCache>
                <c:formatCode>General</c:formatCode>
                <c:ptCount val="11"/>
                <c:pt idx="0">
                  <c:v>26</c:v>
                </c:pt>
                <c:pt idx="1">
                  <c:v>8</c:v>
                </c:pt>
                <c:pt idx="2">
                  <c:v>15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0B-0448-A476-36C60C4DA249}"/>
            </c:ext>
          </c:extLst>
        </c:ser>
        <c:ser>
          <c:idx val="6"/>
          <c:order val="6"/>
          <c:tx>
            <c:strRef>
              <c:f>'top-n-all'!$A$8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'top-n-all'!$B$8:$L$8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17</c:v>
                </c:pt>
                <c:pt idx="5">
                  <c:v>11</c:v>
                </c:pt>
                <c:pt idx="6">
                  <c:v>14</c:v>
                </c:pt>
                <c:pt idx="7">
                  <c:v>5</c:v>
                </c:pt>
                <c:pt idx="8">
                  <c:v>1</c:v>
                </c:pt>
                <c:pt idx="9">
                  <c:v>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0B-0448-A476-36C60C4DA249}"/>
            </c:ext>
          </c:extLst>
        </c:ser>
        <c:ser>
          <c:idx val="7"/>
          <c:order val="7"/>
          <c:tx>
            <c:strRef>
              <c:f>'top-n-all'!$A$9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'top-n-all'!$B$1:$L$1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'top-n-all'!$B$9:$L$9</c:f>
              <c:numCache>
                <c:formatCode>General</c:formatCode>
                <c:ptCount val="11"/>
                <c:pt idx="0">
                  <c:v>8</c:v>
                </c:pt>
                <c:pt idx="1">
                  <c:v>19</c:v>
                </c:pt>
                <c:pt idx="2">
                  <c:v>10</c:v>
                </c:pt>
                <c:pt idx="3">
                  <c:v>12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0B-0448-A476-36C60C4D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134911"/>
        <c:axId val="1611275263"/>
      </c:barChart>
      <c:catAx>
        <c:axId val="163113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11275263"/>
        <c:crosses val="autoZero"/>
        <c:auto val="1"/>
        <c:lblAlgn val="ctr"/>
        <c:lblOffset val="100"/>
        <c:noMultiLvlLbl val="0"/>
      </c:catAx>
      <c:valAx>
        <c:axId val="161127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63113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987496354622346"/>
          <c:y val="5.0188263504099023E-2"/>
          <c:w val="0.66728710994459028"/>
          <c:h val="0.23787758011730012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15</xdr:row>
      <xdr:rowOff>184150</xdr:rowOff>
    </xdr:from>
    <xdr:to>
      <xdr:col>9</xdr:col>
      <xdr:colOff>755650</xdr:colOff>
      <xdr:row>27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73615A-7505-0779-25C1-F18F4531682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15</xdr:row>
      <xdr:rowOff>44450</xdr:rowOff>
    </xdr:from>
    <xdr:to>
      <xdr:col>8</xdr:col>
      <xdr:colOff>908050</xdr:colOff>
      <xdr:row>27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D25CD1D-832A-6EEF-905A-9C96839C662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15</xdr:row>
      <xdr:rowOff>6350</xdr:rowOff>
    </xdr:from>
    <xdr:to>
      <xdr:col>9</xdr:col>
      <xdr:colOff>95250</xdr:colOff>
      <xdr:row>27</xdr:row>
      <xdr:rowOff>44450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D4C432D-7D0B-B323-089C-E509C1A6C58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413D-FA86-2C4E-A7F1-47B39A55F1DE}">
  <dimension ref="A1:M13"/>
  <sheetViews>
    <sheetView tabSelected="1" workbookViewId="0">
      <selection activeCell="C26" sqref="C26"/>
    </sheetView>
  </sheetViews>
  <sheetFormatPr baseColWidth="10" defaultRowHeight="20"/>
  <cols>
    <col min="2" max="2" width="13" bestFit="1" customWidth="1"/>
  </cols>
  <sheetData>
    <row r="1" spans="1:1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3">
      <c r="A2" t="s">
        <v>0</v>
      </c>
      <c r="B2">
        <v>35</v>
      </c>
      <c r="C2">
        <v>2</v>
      </c>
      <c r="D2">
        <v>13</v>
      </c>
      <c r="E2">
        <v>2</v>
      </c>
      <c r="F2">
        <v>3</v>
      </c>
      <c r="G2">
        <v>1</v>
      </c>
      <c r="H2">
        <v>0</v>
      </c>
      <c r="I2">
        <v>0</v>
      </c>
      <c r="J2">
        <v>4</v>
      </c>
      <c r="K2">
        <v>5</v>
      </c>
      <c r="L2">
        <v>1</v>
      </c>
      <c r="M2">
        <f t="shared" ref="M2:M9" si="0">SUM(B2:L2)</f>
        <v>66</v>
      </c>
    </row>
    <row r="3" spans="1:13">
      <c r="A3" t="s">
        <v>1</v>
      </c>
      <c r="B3">
        <v>35</v>
      </c>
      <c r="C3">
        <v>2</v>
      </c>
      <c r="D3">
        <v>13</v>
      </c>
      <c r="E3">
        <v>0</v>
      </c>
      <c r="F3">
        <v>2</v>
      </c>
      <c r="G3">
        <v>3</v>
      </c>
      <c r="H3">
        <v>1</v>
      </c>
      <c r="I3">
        <v>0</v>
      </c>
      <c r="J3">
        <v>3</v>
      </c>
      <c r="K3">
        <v>6</v>
      </c>
      <c r="L3">
        <v>1</v>
      </c>
      <c r="M3">
        <f t="shared" si="0"/>
        <v>66</v>
      </c>
    </row>
    <row r="4" spans="1:13">
      <c r="A4" t="s">
        <v>2</v>
      </c>
      <c r="B4">
        <v>35</v>
      </c>
      <c r="C4">
        <v>4</v>
      </c>
      <c r="D4">
        <v>13</v>
      </c>
      <c r="E4">
        <v>3</v>
      </c>
      <c r="F4">
        <v>1</v>
      </c>
      <c r="G4">
        <v>1</v>
      </c>
      <c r="H4">
        <v>0</v>
      </c>
      <c r="I4">
        <v>0</v>
      </c>
      <c r="J4">
        <v>3</v>
      </c>
      <c r="K4">
        <v>5</v>
      </c>
      <c r="L4">
        <v>1</v>
      </c>
      <c r="M4">
        <f t="shared" si="0"/>
        <v>66</v>
      </c>
    </row>
    <row r="5" spans="1:13">
      <c r="A5" t="s">
        <v>3</v>
      </c>
      <c r="B5">
        <v>35</v>
      </c>
      <c r="C5">
        <v>2</v>
      </c>
      <c r="D5">
        <v>13</v>
      </c>
      <c r="E5">
        <v>2</v>
      </c>
      <c r="F5">
        <v>3</v>
      </c>
      <c r="G5">
        <v>1</v>
      </c>
      <c r="H5">
        <v>0</v>
      </c>
      <c r="I5">
        <v>0</v>
      </c>
      <c r="J5">
        <v>3</v>
      </c>
      <c r="K5">
        <v>6</v>
      </c>
      <c r="L5">
        <v>1</v>
      </c>
      <c r="M5">
        <f t="shared" si="0"/>
        <v>66</v>
      </c>
    </row>
    <row r="6" spans="1:13">
      <c r="A6" t="s">
        <v>4</v>
      </c>
      <c r="B6">
        <v>35</v>
      </c>
      <c r="C6">
        <v>15</v>
      </c>
      <c r="D6">
        <v>5</v>
      </c>
      <c r="E6">
        <v>1</v>
      </c>
      <c r="F6">
        <v>0</v>
      </c>
      <c r="G6">
        <v>0</v>
      </c>
      <c r="H6">
        <v>1</v>
      </c>
      <c r="I6">
        <v>0</v>
      </c>
      <c r="J6">
        <v>3</v>
      </c>
      <c r="K6">
        <v>5</v>
      </c>
      <c r="L6">
        <v>1</v>
      </c>
      <c r="M6">
        <f t="shared" si="0"/>
        <v>66</v>
      </c>
    </row>
    <row r="7" spans="1:13">
      <c r="A7" t="s">
        <v>5</v>
      </c>
      <c r="B7">
        <v>35</v>
      </c>
      <c r="C7">
        <v>19</v>
      </c>
      <c r="D7">
        <v>2</v>
      </c>
      <c r="E7">
        <v>0</v>
      </c>
      <c r="F7">
        <v>0</v>
      </c>
      <c r="G7">
        <v>1</v>
      </c>
      <c r="H7">
        <v>0</v>
      </c>
      <c r="I7">
        <v>0</v>
      </c>
      <c r="J7">
        <v>3</v>
      </c>
      <c r="K7">
        <v>5</v>
      </c>
      <c r="L7">
        <v>1</v>
      </c>
      <c r="M7">
        <f t="shared" si="0"/>
        <v>66</v>
      </c>
    </row>
    <row r="8" spans="1:13">
      <c r="A8" t="s">
        <v>6</v>
      </c>
      <c r="B8">
        <v>35</v>
      </c>
      <c r="C8">
        <v>2</v>
      </c>
      <c r="D8">
        <v>4</v>
      </c>
      <c r="E8">
        <v>9</v>
      </c>
      <c r="F8">
        <v>0</v>
      </c>
      <c r="G8">
        <v>5</v>
      </c>
      <c r="H8">
        <v>0</v>
      </c>
      <c r="I8">
        <v>1</v>
      </c>
      <c r="J8">
        <v>3</v>
      </c>
      <c r="K8">
        <v>6</v>
      </c>
      <c r="L8">
        <v>1</v>
      </c>
      <c r="M8">
        <f t="shared" si="0"/>
        <v>66</v>
      </c>
    </row>
    <row r="9" spans="1:13">
      <c r="A9" t="s">
        <v>7</v>
      </c>
      <c r="B9">
        <v>35</v>
      </c>
      <c r="C9">
        <v>15</v>
      </c>
      <c r="D9">
        <v>5</v>
      </c>
      <c r="E9">
        <v>1</v>
      </c>
      <c r="F9">
        <v>0</v>
      </c>
      <c r="G9">
        <v>1</v>
      </c>
      <c r="H9">
        <v>0</v>
      </c>
      <c r="I9">
        <v>0</v>
      </c>
      <c r="J9">
        <v>3</v>
      </c>
      <c r="K9">
        <v>5</v>
      </c>
      <c r="L9">
        <v>1</v>
      </c>
      <c r="M9">
        <f t="shared" si="0"/>
        <v>66</v>
      </c>
    </row>
    <row r="10" spans="1:13">
      <c r="B10">
        <f>SUM(B2:B9)</f>
        <v>280</v>
      </c>
      <c r="C10">
        <f t="shared" ref="C10:L10" si="1">SUM(C2:C9)</f>
        <v>61</v>
      </c>
      <c r="D10">
        <f t="shared" si="1"/>
        <v>68</v>
      </c>
      <c r="E10">
        <f t="shared" si="1"/>
        <v>18</v>
      </c>
      <c r="F10">
        <f t="shared" si="1"/>
        <v>9</v>
      </c>
      <c r="G10">
        <f t="shared" si="1"/>
        <v>13</v>
      </c>
      <c r="H10">
        <f t="shared" si="1"/>
        <v>2</v>
      </c>
      <c r="I10">
        <f t="shared" si="1"/>
        <v>1</v>
      </c>
      <c r="J10">
        <f t="shared" si="1"/>
        <v>25</v>
      </c>
      <c r="K10">
        <f t="shared" si="1"/>
        <v>43</v>
      </c>
      <c r="L10">
        <f t="shared" si="1"/>
        <v>8</v>
      </c>
      <c r="M10">
        <f>SUM(B10:L10)</f>
        <v>528</v>
      </c>
    </row>
    <row r="11" spans="1:13">
      <c r="B11" s="1">
        <f t="shared" ref="B11:K11" si="2">B10/$M$10</f>
        <v>0.53030303030303028</v>
      </c>
      <c r="C11" s="1">
        <f t="shared" si="2"/>
        <v>0.11553030303030302</v>
      </c>
      <c r="D11" s="1">
        <f t="shared" si="2"/>
        <v>0.12878787878787878</v>
      </c>
      <c r="E11" s="1">
        <f t="shared" si="2"/>
        <v>3.4090909090909088E-2</v>
      </c>
      <c r="F11" s="1">
        <f t="shared" si="2"/>
        <v>1.7045454545454544E-2</v>
      </c>
      <c r="G11" s="1">
        <f t="shared" si="2"/>
        <v>2.462121212121212E-2</v>
      </c>
      <c r="H11" s="1">
        <f t="shared" si="2"/>
        <v>3.787878787878788E-3</v>
      </c>
      <c r="I11" s="1">
        <f t="shared" si="2"/>
        <v>1.893939393939394E-3</v>
      </c>
      <c r="J11" s="1">
        <f t="shared" si="2"/>
        <v>4.7348484848484848E-2</v>
      </c>
      <c r="K11" s="1">
        <f t="shared" si="2"/>
        <v>8.1439393939393936E-2</v>
      </c>
      <c r="L11" s="1">
        <f>L10/$M$10</f>
        <v>1.5151515151515152E-2</v>
      </c>
    </row>
    <row r="12" spans="1:13">
      <c r="B12" s="1">
        <f>SUM($B$10:B$10)/$M$10</f>
        <v>0.53030303030303028</v>
      </c>
      <c r="C12" s="1">
        <f>SUM($B$10:C$10)/$M$10</f>
        <v>0.64583333333333337</v>
      </c>
      <c r="D12" s="1">
        <f>SUM($B$10:D$10)/$M$10</f>
        <v>0.77462121212121215</v>
      </c>
      <c r="E12" s="1">
        <f>SUM($B$10:E$10)/$M$10</f>
        <v>0.80871212121212122</v>
      </c>
      <c r="F12" s="1">
        <f>SUM($B$10:F$10)/$M$10</f>
        <v>0.8257575757575758</v>
      </c>
      <c r="G12" s="1">
        <f>SUM($B$10:G$10)/$M$10</f>
        <v>0.85037878787878785</v>
      </c>
      <c r="H12" s="1">
        <f>SUM($B$10:H$10)/$M$10</f>
        <v>0.85416666666666663</v>
      </c>
      <c r="I12" s="1">
        <f>SUM($B$10:I$10)/$M$10</f>
        <v>0.85606060606060608</v>
      </c>
      <c r="J12" s="1">
        <f>SUM($B$10:J$10)/$M$10</f>
        <v>0.90340909090909094</v>
      </c>
      <c r="K12" s="1">
        <f>SUM($B$10:K$10)/$M$10</f>
        <v>0.98484848484848486</v>
      </c>
      <c r="L12" s="1">
        <f>SUM($B$10:L$10)/$M$10</f>
        <v>1</v>
      </c>
    </row>
    <row r="13" spans="1:13">
      <c r="B13" s="1">
        <f>SUM(B10:$L10)/$M$10</f>
        <v>1</v>
      </c>
      <c r="C13" s="1">
        <f>SUM(C10:$L10)/$M$10</f>
        <v>0.46969696969696972</v>
      </c>
      <c r="D13" s="1">
        <f>SUM(D10:$L10)/$M$10</f>
        <v>0.35416666666666669</v>
      </c>
      <c r="E13" s="1">
        <f>SUM(E10:$L10)/$M$10</f>
        <v>0.22537878787878787</v>
      </c>
      <c r="F13" s="1">
        <f>SUM(F10:$L10)/$M$10</f>
        <v>0.19128787878787878</v>
      </c>
      <c r="G13" s="1">
        <f>SUM(G10:$L10)/$M$10</f>
        <v>0.17424242424242425</v>
      </c>
      <c r="H13" s="1">
        <f>SUM(H10:$L10)/$M$10</f>
        <v>0.14962121212121213</v>
      </c>
      <c r="I13" s="1">
        <f>SUM(I10:$L10)/$M$10</f>
        <v>0.14583333333333334</v>
      </c>
      <c r="J13" s="1">
        <f>SUM(J10:$L10)/$M$10</f>
        <v>0.14393939393939395</v>
      </c>
      <c r="K13" s="1">
        <f>SUM(K10:$L10)/$M$10</f>
        <v>9.6590909090909088E-2</v>
      </c>
      <c r="L13" s="1">
        <f>SUM(L10:$L10)/$M$10</f>
        <v>1.5151515151515152E-2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26CA-36BE-CF45-BA74-CF1AC1E01177}">
  <dimension ref="A1:M13"/>
  <sheetViews>
    <sheetView workbookViewId="0">
      <selection activeCell="B26" sqref="B26"/>
    </sheetView>
  </sheetViews>
  <sheetFormatPr baseColWidth="10" defaultRowHeight="20"/>
  <sheetData>
    <row r="1" spans="1:1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3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8</v>
      </c>
      <c r="K2">
        <v>20</v>
      </c>
      <c r="L2">
        <v>36</v>
      </c>
      <c r="M2">
        <f t="shared" ref="M2:M9" si="0">SUM(B2:L2)</f>
        <v>66</v>
      </c>
    </row>
    <row r="3" spans="1:1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</v>
      </c>
      <c r="J3">
        <v>8</v>
      </c>
      <c r="K3">
        <v>18</v>
      </c>
      <c r="L3">
        <v>37</v>
      </c>
      <c r="M3">
        <f t="shared" si="0"/>
        <v>66</v>
      </c>
    </row>
    <row r="4" spans="1:1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12</v>
      </c>
      <c r="J4">
        <v>15</v>
      </c>
      <c r="K4">
        <v>0</v>
      </c>
      <c r="L4">
        <v>36</v>
      </c>
      <c r="M4">
        <f t="shared" si="0"/>
        <v>66</v>
      </c>
    </row>
    <row r="5" spans="1:1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4</v>
      </c>
      <c r="J5">
        <v>10</v>
      </c>
      <c r="K5">
        <v>8</v>
      </c>
      <c r="L5">
        <v>37</v>
      </c>
      <c r="M5">
        <f t="shared" si="0"/>
        <v>66</v>
      </c>
    </row>
    <row r="6" spans="1:13">
      <c r="A6" t="s">
        <v>4</v>
      </c>
      <c r="B6">
        <v>0</v>
      </c>
      <c r="C6">
        <v>0</v>
      </c>
      <c r="D6">
        <v>0</v>
      </c>
      <c r="E6">
        <v>0</v>
      </c>
      <c r="F6">
        <v>13</v>
      </c>
      <c r="G6">
        <v>15</v>
      </c>
      <c r="H6">
        <v>1</v>
      </c>
      <c r="I6">
        <v>0</v>
      </c>
      <c r="J6">
        <v>0</v>
      </c>
      <c r="K6">
        <v>1</v>
      </c>
      <c r="L6">
        <v>36</v>
      </c>
      <c r="M6">
        <f t="shared" si="0"/>
        <v>66</v>
      </c>
    </row>
    <row r="7" spans="1:13">
      <c r="A7" t="s">
        <v>5</v>
      </c>
      <c r="B7">
        <v>0</v>
      </c>
      <c r="C7">
        <v>0</v>
      </c>
      <c r="D7">
        <v>2</v>
      </c>
      <c r="E7">
        <v>20</v>
      </c>
      <c r="F7">
        <v>7</v>
      </c>
      <c r="G7">
        <v>0</v>
      </c>
      <c r="H7">
        <v>0</v>
      </c>
      <c r="I7">
        <v>0</v>
      </c>
      <c r="J7">
        <v>1</v>
      </c>
      <c r="K7">
        <v>0</v>
      </c>
      <c r="L7">
        <v>36</v>
      </c>
      <c r="M7">
        <f t="shared" si="0"/>
        <v>66</v>
      </c>
    </row>
    <row r="8" spans="1:1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66</v>
      </c>
      <c r="M8">
        <f t="shared" si="0"/>
        <v>66</v>
      </c>
    </row>
    <row r="9" spans="1:13">
      <c r="A9" t="s">
        <v>7</v>
      </c>
      <c r="B9">
        <v>0</v>
      </c>
      <c r="C9">
        <v>0</v>
      </c>
      <c r="D9">
        <v>0</v>
      </c>
      <c r="E9">
        <v>1</v>
      </c>
      <c r="F9">
        <v>6</v>
      </c>
      <c r="G9">
        <v>11</v>
      </c>
      <c r="H9">
        <v>11</v>
      </c>
      <c r="I9">
        <v>0</v>
      </c>
      <c r="J9">
        <v>1</v>
      </c>
      <c r="K9">
        <v>0</v>
      </c>
      <c r="L9">
        <v>36</v>
      </c>
      <c r="M9">
        <f t="shared" si="0"/>
        <v>66</v>
      </c>
    </row>
    <row r="10" spans="1:13">
      <c r="B10">
        <f>SUM(B2:B9)</f>
        <v>0</v>
      </c>
      <c r="C10">
        <f t="shared" ref="C10:L10" si="1">SUM(C2:C9)</f>
        <v>0</v>
      </c>
      <c r="D10">
        <f t="shared" si="1"/>
        <v>2</v>
      </c>
      <c r="E10">
        <f t="shared" si="1"/>
        <v>21</v>
      </c>
      <c r="F10">
        <f t="shared" si="1"/>
        <v>26</v>
      </c>
      <c r="G10">
        <f t="shared" si="1"/>
        <v>30</v>
      </c>
      <c r="H10">
        <f t="shared" si="1"/>
        <v>20</v>
      </c>
      <c r="I10">
        <f t="shared" si="1"/>
        <v>19</v>
      </c>
      <c r="J10">
        <f t="shared" si="1"/>
        <v>43</v>
      </c>
      <c r="K10">
        <f t="shared" si="1"/>
        <v>47</v>
      </c>
      <c r="L10">
        <f t="shared" si="1"/>
        <v>320</v>
      </c>
      <c r="M10">
        <f>SUM(B10:L10)</f>
        <v>528</v>
      </c>
    </row>
    <row r="11" spans="1:13">
      <c r="B11" s="1">
        <f t="shared" ref="B11:K11" si="2">B10/$M$10</f>
        <v>0</v>
      </c>
      <c r="C11" s="1">
        <f t="shared" si="2"/>
        <v>0</v>
      </c>
      <c r="D11" s="1">
        <f t="shared" si="2"/>
        <v>3.787878787878788E-3</v>
      </c>
      <c r="E11" s="1">
        <f t="shared" si="2"/>
        <v>3.9772727272727272E-2</v>
      </c>
      <c r="F11" s="1">
        <f t="shared" si="2"/>
        <v>4.924242424242424E-2</v>
      </c>
      <c r="G11" s="1">
        <f t="shared" si="2"/>
        <v>5.6818181818181816E-2</v>
      </c>
      <c r="H11" s="1">
        <f t="shared" si="2"/>
        <v>3.787878787878788E-2</v>
      </c>
      <c r="I11" s="1">
        <f t="shared" si="2"/>
        <v>3.5984848484848488E-2</v>
      </c>
      <c r="J11" s="1">
        <f t="shared" si="2"/>
        <v>8.1439393939393936E-2</v>
      </c>
      <c r="K11" s="1">
        <f t="shared" si="2"/>
        <v>8.9015151515151519E-2</v>
      </c>
      <c r="L11" s="1">
        <f>L10/$M$10</f>
        <v>0.60606060606060608</v>
      </c>
    </row>
    <row r="12" spans="1:13">
      <c r="B12" s="1">
        <f>SUM($B$10:B$10)/$M$10</f>
        <v>0</v>
      </c>
      <c r="C12" s="1">
        <f>SUM($B$10:C$10)/$M$10</f>
        <v>0</v>
      </c>
      <c r="D12" s="1">
        <f>SUM($B$10:D$10)/$M$10</f>
        <v>3.787878787878788E-3</v>
      </c>
      <c r="E12" s="1">
        <f>SUM($B$10:E$10)/$M$10</f>
        <v>4.3560606060606064E-2</v>
      </c>
      <c r="F12" s="1">
        <f>SUM($B$10:F$10)/$M$10</f>
        <v>9.2803030303030304E-2</v>
      </c>
      <c r="G12" s="1">
        <f>SUM($B$10:G$10)/$M$10</f>
        <v>0.14962121212121213</v>
      </c>
      <c r="H12" s="1">
        <f>SUM($B$10:H$10)/$M$10</f>
        <v>0.1875</v>
      </c>
      <c r="I12" s="1">
        <f>SUM($B$10:I$10)/$M$10</f>
        <v>0.22348484848484848</v>
      </c>
      <c r="J12" s="1">
        <f>SUM($B$10:J$10)/$M$10</f>
        <v>0.30492424242424243</v>
      </c>
      <c r="K12" s="1">
        <f>SUM($B$10:K$10)/$M$10</f>
        <v>0.39393939393939392</v>
      </c>
      <c r="L12" s="1">
        <f>SUM($B$10:L$10)/$M$10</f>
        <v>1</v>
      </c>
    </row>
    <row r="13" spans="1:13">
      <c r="B13" s="1">
        <f>SUM(B10:$L10)/$M$10</f>
        <v>1</v>
      </c>
      <c r="C13" s="1">
        <f>SUM(C10:$L10)/$M$10</f>
        <v>1</v>
      </c>
      <c r="D13" s="1">
        <f>SUM(D10:$L10)/$M$10</f>
        <v>1</v>
      </c>
      <c r="E13" s="1">
        <f>SUM(E10:$L10)/$M$10</f>
        <v>0.99621212121212122</v>
      </c>
      <c r="F13" s="1">
        <f>SUM(F10:$L10)/$M$10</f>
        <v>0.95643939393939392</v>
      </c>
      <c r="G13" s="1">
        <f>SUM(G10:$L10)/$M$10</f>
        <v>0.90719696969696972</v>
      </c>
      <c r="H13" s="1">
        <f>SUM(H10:$L10)/$M$10</f>
        <v>0.85037878787878785</v>
      </c>
      <c r="I13" s="1">
        <f>SUM(I10:$L10)/$M$10</f>
        <v>0.8125</v>
      </c>
      <c r="J13" s="1">
        <f>SUM(J10:$L10)/$M$10</f>
        <v>0.77651515151515149</v>
      </c>
      <c r="K13" s="1">
        <f>SUM(K10:$L10)/$M$10</f>
        <v>0.69507575757575757</v>
      </c>
      <c r="L13" s="1">
        <f>SUM(L10:$L10)/$M$10</f>
        <v>0.60606060606060608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D1F7-21E8-0748-B8EA-F3DAB258D2BC}">
  <dimension ref="A1:M13"/>
  <sheetViews>
    <sheetView workbookViewId="0">
      <selection activeCell="K19" sqref="K19"/>
    </sheetView>
  </sheetViews>
  <sheetFormatPr baseColWidth="10" defaultRowHeight="20"/>
  <sheetData>
    <row r="1" spans="1:1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3">
      <c r="A2" t="s">
        <v>0</v>
      </c>
      <c r="B2">
        <v>0</v>
      </c>
      <c r="C2">
        <v>4</v>
      </c>
      <c r="D2">
        <v>16</v>
      </c>
      <c r="E2">
        <v>7</v>
      </c>
      <c r="F2">
        <v>10</v>
      </c>
      <c r="G2">
        <v>10</v>
      </c>
      <c r="H2">
        <v>5</v>
      </c>
      <c r="I2">
        <v>4</v>
      </c>
      <c r="J2">
        <v>1</v>
      </c>
      <c r="K2">
        <v>6</v>
      </c>
      <c r="L2">
        <v>3</v>
      </c>
      <c r="M2">
        <f t="shared" ref="M2:M9" si="0">SUM(B2:L2)</f>
        <v>66</v>
      </c>
    </row>
    <row r="3" spans="1:13">
      <c r="A3" t="s">
        <v>1</v>
      </c>
      <c r="B3">
        <v>0</v>
      </c>
      <c r="C3">
        <v>0</v>
      </c>
      <c r="D3">
        <v>15</v>
      </c>
      <c r="E3">
        <v>12</v>
      </c>
      <c r="F3">
        <v>8</v>
      </c>
      <c r="G3">
        <v>11</v>
      </c>
      <c r="H3">
        <v>6</v>
      </c>
      <c r="I3">
        <v>4</v>
      </c>
      <c r="J3">
        <v>0</v>
      </c>
      <c r="K3">
        <v>7</v>
      </c>
      <c r="L3">
        <v>3</v>
      </c>
      <c r="M3">
        <f t="shared" si="0"/>
        <v>66</v>
      </c>
    </row>
    <row r="4" spans="1:13">
      <c r="A4" t="s">
        <v>2</v>
      </c>
      <c r="B4">
        <v>0</v>
      </c>
      <c r="C4">
        <v>15</v>
      </c>
      <c r="D4">
        <v>12</v>
      </c>
      <c r="E4">
        <v>10</v>
      </c>
      <c r="F4">
        <v>9</v>
      </c>
      <c r="G4">
        <v>6</v>
      </c>
      <c r="H4">
        <v>5</v>
      </c>
      <c r="I4">
        <v>0</v>
      </c>
      <c r="J4">
        <v>3</v>
      </c>
      <c r="K4">
        <v>3</v>
      </c>
      <c r="L4">
        <v>3</v>
      </c>
      <c r="M4">
        <f t="shared" si="0"/>
        <v>66</v>
      </c>
    </row>
    <row r="5" spans="1:13">
      <c r="A5" t="s">
        <v>3</v>
      </c>
      <c r="B5">
        <v>0</v>
      </c>
      <c r="C5">
        <v>4</v>
      </c>
      <c r="D5">
        <v>23</v>
      </c>
      <c r="E5">
        <v>8</v>
      </c>
      <c r="F5">
        <v>2</v>
      </c>
      <c r="G5">
        <v>15</v>
      </c>
      <c r="H5">
        <v>3</v>
      </c>
      <c r="I5">
        <v>1</v>
      </c>
      <c r="J5">
        <v>2</v>
      </c>
      <c r="K5">
        <v>5</v>
      </c>
      <c r="L5">
        <v>3</v>
      </c>
      <c r="M5">
        <f t="shared" si="0"/>
        <v>66</v>
      </c>
    </row>
    <row r="6" spans="1:13">
      <c r="A6" t="s">
        <v>4</v>
      </c>
      <c r="B6">
        <v>1</v>
      </c>
      <c r="C6">
        <v>26</v>
      </c>
      <c r="D6">
        <v>10</v>
      </c>
      <c r="E6">
        <v>12</v>
      </c>
      <c r="F6">
        <v>7</v>
      </c>
      <c r="G6">
        <v>0</v>
      </c>
      <c r="H6">
        <v>1</v>
      </c>
      <c r="I6">
        <v>0</v>
      </c>
      <c r="J6">
        <v>3</v>
      </c>
      <c r="K6">
        <v>3</v>
      </c>
      <c r="L6">
        <v>3</v>
      </c>
      <c r="M6">
        <f t="shared" si="0"/>
        <v>66</v>
      </c>
    </row>
    <row r="7" spans="1:13">
      <c r="A7" t="s">
        <v>5</v>
      </c>
      <c r="B7">
        <v>26</v>
      </c>
      <c r="C7">
        <v>8</v>
      </c>
      <c r="D7">
        <v>15</v>
      </c>
      <c r="E7">
        <v>4</v>
      </c>
      <c r="F7">
        <v>3</v>
      </c>
      <c r="G7">
        <v>1</v>
      </c>
      <c r="H7">
        <v>0</v>
      </c>
      <c r="I7">
        <v>0</v>
      </c>
      <c r="J7">
        <v>3</v>
      </c>
      <c r="K7">
        <v>3</v>
      </c>
      <c r="L7">
        <v>3</v>
      </c>
      <c r="M7">
        <f t="shared" si="0"/>
        <v>66</v>
      </c>
    </row>
    <row r="8" spans="1:13">
      <c r="A8" t="s">
        <v>6</v>
      </c>
      <c r="B8">
        <v>0</v>
      </c>
      <c r="C8">
        <v>0</v>
      </c>
      <c r="D8">
        <v>0</v>
      </c>
      <c r="E8">
        <v>8</v>
      </c>
      <c r="F8">
        <v>17</v>
      </c>
      <c r="G8">
        <v>11</v>
      </c>
      <c r="H8">
        <v>14</v>
      </c>
      <c r="I8">
        <v>5</v>
      </c>
      <c r="J8">
        <v>1</v>
      </c>
      <c r="K8">
        <v>7</v>
      </c>
      <c r="L8">
        <v>3</v>
      </c>
      <c r="M8">
        <f t="shared" si="0"/>
        <v>66</v>
      </c>
    </row>
    <row r="9" spans="1:13">
      <c r="A9" t="s">
        <v>7</v>
      </c>
      <c r="B9">
        <v>8</v>
      </c>
      <c r="C9">
        <v>19</v>
      </c>
      <c r="D9">
        <v>10</v>
      </c>
      <c r="E9">
        <v>12</v>
      </c>
      <c r="F9">
        <v>6</v>
      </c>
      <c r="G9">
        <v>2</v>
      </c>
      <c r="H9">
        <v>0</v>
      </c>
      <c r="I9">
        <v>0</v>
      </c>
      <c r="J9">
        <v>3</v>
      </c>
      <c r="K9">
        <v>3</v>
      </c>
      <c r="L9">
        <v>3</v>
      </c>
      <c r="M9">
        <f t="shared" si="0"/>
        <v>66</v>
      </c>
    </row>
    <row r="10" spans="1:13">
      <c r="B10">
        <f>SUM(B2:B9)</f>
        <v>35</v>
      </c>
      <c r="C10">
        <f t="shared" ref="C10:L10" si="1">SUM(C2:C9)</f>
        <v>76</v>
      </c>
      <c r="D10">
        <f t="shared" si="1"/>
        <v>101</v>
      </c>
      <c r="E10">
        <f t="shared" si="1"/>
        <v>73</v>
      </c>
      <c r="F10">
        <f t="shared" si="1"/>
        <v>62</v>
      </c>
      <c r="G10">
        <f t="shared" si="1"/>
        <v>56</v>
      </c>
      <c r="H10">
        <f t="shared" si="1"/>
        <v>34</v>
      </c>
      <c r="I10">
        <f t="shared" si="1"/>
        <v>14</v>
      </c>
      <c r="J10">
        <f t="shared" si="1"/>
        <v>16</v>
      </c>
      <c r="K10">
        <f t="shared" si="1"/>
        <v>37</v>
      </c>
      <c r="L10">
        <f t="shared" si="1"/>
        <v>24</v>
      </c>
      <c r="M10">
        <f>SUM(B10:L10)</f>
        <v>528</v>
      </c>
    </row>
    <row r="11" spans="1:13">
      <c r="B11" s="1">
        <f t="shared" ref="B11:K11" si="2">B10/$M$10</f>
        <v>6.6287878787878785E-2</v>
      </c>
      <c r="C11" s="1">
        <f t="shared" si="2"/>
        <v>0.14393939393939395</v>
      </c>
      <c r="D11" s="1">
        <f t="shared" si="2"/>
        <v>0.19128787878787878</v>
      </c>
      <c r="E11" s="1">
        <f t="shared" si="2"/>
        <v>0.13825757575757575</v>
      </c>
      <c r="F11" s="1">
        <f t="shared" si="2"/>
        <v>0.11742424242424243</v>
      </c>
      <c r="G11" s="1">
        <f t="shared" si="2"/>
        <v>0.10606060606060606</v>
      </c>
      <c r="H11" s="1">
        <f t="shared" si="2"/>
        <v>6.4393939393939392E-2</v>
      </c>
      <c r="I11" s="1">
        <f t="shared" si="2"/>
        <v>2.6515151515151516E-2</v>
      </c>
      <c r="J11" s="1">
        <f t="shared" si="2"/>
        <v>3.0303030303030304E-2</v>
      </c>
      <c r="K11" s="1">
        <f t="shared" si="2"/>
        <v>7.0075757575757569E-2</v>
      </c>
      <c r="L11" s="1">
        <f>L10/$M$10</f>
        <v>4.5454545454545456E-2</v>
      </c>
    </row>
    <row r="12" spans="1:13">
      <c r="B12" s="1">
        <f>SUM($B$10:B$10)/$M$10</f>
        <v>6.6287878787878785E-2</v>
      </c>
      <c r="C12" s="1">
        <f>SUM($B$10:C$10)/$M$10</f>
        <v>0.21022727272727273</v>
      </c>
      <c r="D12" s="1">
        <f>SUM($B$10:D$10)/$M$10</f>
        <v>0.40151515151515149</v>
      </c>
      <c r="E12" s="1">
        <f>SUM($B$10:E$10)/$M$10</f>
        <v>0.53977272727272729</v>
      </c>
      <c r="F12" s="1">
        <f>SUM($B$10:F$10)/$M$10</f>
        <v>0.65719696969696972</v>
      </c>
      <c r="G12" s="1">
        <f>SUM($B$10:G$10)/$M$10</f>
        <v>0.7632575757575758</v>
      </c>
      <c r="H12" s="1">
        <f>SUM($B$10:H$10)/$M$10</f>
        <v>0.82765151515151514</v>
      </c>
      <c r="I12" s="1">
        <f>SUM($B$10:I$10)/$M$10</f>
        <v>0.85416666666666663</v>
      </c>
      <c r="J12" s="1">
        <f>SUM($B$10:J$10)/$M$10</f>
        <v>0.88446969696969702</v>
      </c>
      <c r="K12" s="1">
        <f>SUM($B$10:K$10)/$M$10</f>
        <v>0.95454545454545459</v>
      </c>
      <c r="L12" s="1">
        <f>SUM($B$10:L$10)/$M$10</f>
        <v>1</v>
      </c>
    </row>
    <row r="13" spans="1:13">
      <c r="B13" s="1">
        <f>SUM(B10:$L10)/$M$10</f>
        <v>1</v>
      </c>
      <c r="C13" s="1">
        <f>SUM(C10:$L10)/$M$10</f>
        <v>0.93371212121212122</v>
      </c>
      <c r="D13" s="1">
        <f>SUM(D10:$L10)/$M$10</f>
        <v>0.78977272727272729</v>
      </c>
      <c r="E13" s="1">
        <f>SUM(E10:$L10)/$M$10</f>
        <v>0.59848484848484851</v>
      </c>
      <c r="F13" s="1">
        <f>SUM(F10:$L10)/$M$10</f>
        <v>0.46022727272727271</v>
      </c>
      <c r="G13" s="1">
        <f>SUM(G10:$L10)/$M$10</f>
        <v>0.34280303030303028</v>
      </c>
      <c r="H13" s="1">
        <f>SUM(H10:$L10)/$M$10</f>
        <v>0.23674242424242425</v>
      </c>
      <c r="I13" s="1">
        <f>SUM(I10:$L10)/$M$10</f>
        <v>0.17234848484848486</v>
      </c>
      <c r="J13" s="1">
        <f>SUM(J10:$L10)/$M$10</f>
        <v>0.14583333333333334</v>
      </c>
      <c r="K13" s="1">
        <f>SUM(K10:$L10)/$M$10</f>
        <v>0.11553030303030302</v>
      </c>
      <c r="L13" s="1">
        <f>SUM(L10:$L10)/$M$10</f>
        <v>4.5454545454545456E-2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hungarian</vt:lpstr>
      <vt:lpstr>top-n-one</vt:lpstr>
      <vt:lpstr>top-n-all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2026-04-16T08:43:33Z</dcterms:created>
  <dcterms:modified xsi:type="dcterms:W3CDTF">2026-04-16T08:54:06Z</dcterms:modified>
</cp:coreProperties>
</file>